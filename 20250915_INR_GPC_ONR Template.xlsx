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showInkAnnotation="0" updateLinks="never" codeName="ThisWorkbook" autoCompressPictures="0" defaultThemeVersion="124226"/>
  <mc:AlternateContent xmlns:mc="http://schemas.openxmlformats.org/markup-compatibility/2006">
    <mc:Choice Requires="x15">
      <x15ac:absPath xmlns:x15ac="http://schemas.microsoft.com/office/spreadsheetml/2010/11/ac" url="/Users/ggallon/Desktop/"/>
    </mc:Choice>
  </mc:AlternateContent>
  <xr:revisionPtr revIDLastSave="0" documentId="13_ncr:1_{53743CE6-6992-0E41-B1EA-441454CCBEEA}" xr6:coauthVersionLast="47" xr6:coauthVersionMax="47" xr10:uidLastSave="{00000000-0000-0000-0000-000000000000}"/>
  <bookViews>
    <workbookView xWindow="27940" yWindow="9160" windowWidth="32420" windowHeight="19880" tabRatio="879" xr2:uid="{00000000-000D-0000-FFFF-FFFF00000000}"/>
  </bookViews>
  <sheets>
    <sheet name="Accueil" sheetId="69" r:id="rId1"/>
    <sheet name="Méthodologie" sheetId="64" r:id="rId2"/>
    <sheet name="Contexte" sheetId="62" r:id="rId3"/>
    <sheet name="ONR 1" sheetId="46" r:id="rId4"/>
    <sheet name="ONR 2" sheetId="21" r:id="rId5"/>
    <sheet name="ONR 3" sheetId="47" r:id="rId6"/>
    <sheet name="ONR 4" sheetId="48" r:id="rId7"/>
    <sheet name="ONR 5" sheetId="49" r:id="rId8"/>
    <sheet name="Priorisation" sheetId="44" state="hidden" r:id="rId9"/>
    <sheet name="Résultats détaillés" sheetId="45" r:id="rId10"/>
    <sheet name="Résultats synthèse" sheetId="65" r:id="rId11"/>
    <sheet name="Liste ONR" sheetId="71" r:id="rId12"/>
  </sheets>
  <definedNames>
    <definedName name="HTML_CodePage" hidden="1">1252</definedName>
    <definedName name="HTML_Control" localSheetId="0" hidden="1">{"'Pôle écologique'!$B$2:$K$23"}</definedName>
    <definedName name="HTML_Control" hidden="1">{"'Pôle écologique'!$B$2:$K$23"}</definedName>
    <definedName name="HTML_Description" hidden="1">""</definedName>
    <definedName name="HTML_Email" hidden="1">""</definedName>
    <definedName name="HTML_Header" hidden="1">"Pôle écologique"</definedName>
    <definedName name="HTML_LastUpdate" hidden="1">"22/09/99"</definedName>
    <definedName name="HTML_LineAfter" hidden="1">FALSE</definedName>
    <definedName name="HTML_LineBefore" hidden="1">FALSE</definedName>
    <definedName name="HTML_Name" hidden="1">"Claude Villeneuve"</definedName>
    <definedName name="HTML_OBDlg2" hidden="1">TRUE</definedName>
    <definedName name="HTML_OBDlg4" hidden="1">TRUE</definedName>
    <definedName name="HTML_OS" hidden="1">1</definedName>
    <definedName name="HTML_PathFileMac" hidden="1">"Disque Dur:Desktop Folder:Francois page web:Grille:tab1dgrilledd.html"</definedName>
    <definedName name="HTML_Title" hidden="1">"Pôle écologique"</definedName>
    <definedName name="liste_évaluation">#REF!</definedName>
    <definedName name="valeurs" localSheetId="0">#REF!</definedName>
    <definedName name="valeurs" localSheetId="1">#REF!</definedName>
    <definedName name="valeurs" localSheetId="3">#REF!</definedName>
    <definedName name="valeurs" localSheetId="5">#REF!</definedName>
    <definedName name="valeurs" localSheetId="6">#REF!</definedName>
    <definedName name="valeurs" localSheetId="7">#REF!</definedName>
    <definedName name="valeurs">#REF!</definedName>
    <definedName name="_xlnm.Print_Area" localSheetId="9">'Résultats détaillés'!$B$2:$X$35</definedName>
    <definedName name="_xlnm.Print_Area" localSheetId="10">'Résultats synthèse'!$C$2:$M$8</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X36" i="45" l="1"/>
  <c r="X34" i="45"/>
  <c r="X35" i="45"/>
  <c r="X32" i="45"/>
  <c r="X33" i="45"/>
  <c r="X31" i="45"/>
  <c r="X29" i="45"/>
  <c r="X27" i="45"/>
  <c r="X28" i="45"/>
  <c r="X26" i="45"/>
  <c r="X23" i="45"/>
  <c r="X24" i="45"/>
  <c r="X21" i="45"/>
  <c r="X22" i="45"/>
  <c r="X19" i="45"/>
  <c r="X20" i="45"/>
  <c r="X18" i="45"/>
  <c r="X16" i="45"/>
  <c r="X14" i="45"/>
  <c r="X15" i="45"/>
  <c r="X13" i="45"/>
  <c r="X11" i="45"/>
  <c r="X6" i="45"/>
  <c r="X7" i="45"/>
  <c r="X8" i="45"/>
  <c r="X9" i="45"/>
  <c r="X10" i="45"/>
  <c r="X5" i="45"/>
  <c r="W6" i="45"/>
  <c r="B10" i="45"/>
  <c r="C10" i="45"/>
  <c r="D10" i="45"/>
  <c r="Z10" i="45" s="1"/>
  <c r="E10" i="45"/>
  <c r="F10" i="45"/>
  <c r="G10" i="45"/>
  <c r="V10" i="45" s="1"/>
  <c r="H10" i="45"/>
  <c r="I10" i="45"/>
  <c r="Y10" i="45" s="1"/>
  <c r="W10" i="45"/>
  <c r="B11" i="45"/>
  <c r="C11" i="45"/>
  <c r="D11" i="45"/>
  <c r="Z11" i="45" s="1"/>
  <c r="E11" i="45"/>
  <c r="F11" i="45"/>
  <c r="G11" i="45"/>
  <c r="V11" i="45" s="1"/>
  <c r="H11" i="45"/>
  <c r="I11" i="45"/>
  <c r="Y11" i="45" s="1"/>
  <c r="W11" i="45"/>
  <c r="B14" i="45"/>
  <c r="C14" i="45"/>
  <c r="D14" i="45"/>
  <c r="Z14" i="45" s="1"/>
  <c r="E14" i="45"/>
  <c r="F14" i="45"/>
  <c r="G14" i="45"/>
  <c r="V14" i="45" s="1"/>
  <c r="H14" i="45"/>
  <c r="I14" i="45"/>
  <c r="Y14" i="45" s="1"/>
  <c r="W14" i="45"/>
  <c r="B15" i="45"/>
  <c r="C15" i="45"/>
  <c r="D15" i="45"/>
  <c r="Z15" i="45" s="1"/>
  <c r="E15" i="45"/>
  <c r="F15" i="45"/>
  <c r="G15" i="45"/>
  <c r="V15" i="45" s="1"/>
  <c r="H15" i="45"/>
  <c r="I15" i="45"/>
  <c r="Y15" i="45" s="1"/>
  <c r="W15" i="45"/>
  <c r="B16" i="45"/>
  <c r="C16" i="45"/>
  <c r="D16" i="45"/>
  <c r="Z16" i="45" s="1"/>
  <c r="E16" i="45"/>
  <c r="F16" i="45"/>
  <c r="G16" i="45"/>
  <c r="V16" i="45" s="1"/>
  <c r="H16" i="45"/>
  <c r="I16" i="45"/>
  <c r="Y16" i="45" s="1"/>
  <c r="W16" i="45"/>
  <c r="B28" i="45"/>
  <c r="C28" i="45"/>
  <c r="D28" i="45"/>
  <c r="Z28" i="45" s="1"/>
  <c r="E28" i="45"/>
  <c r="F28" i="45"/>
  <c r="K28" i="45" s="1"/>
  <c r="P28" i="45" s="1"/>
  <c r="AJ28" i="45" s="1"/>
  <c r="G28" i="45"/>
  <c r="V28" i="45" s="1"/>
  <c r="H28" i="45"/>
  <c r="I28" i="45"/>
  <c r="Y28" i="45" s="1"/>
  <c r="W28" i="45"/>
  <c r="B29" i="45"/>
  <c r="C29" i="45"/>
  <c r="D29" i="45"/>
  <c r="Z29" i="45" s="1"/>
  <c r="E29" i="45"/>
  <c r="F29" i="45"/>
  <c r="G29" i="45"/>
  <c r="V29" i="45" s="1"/>
  <c r="H29" i="45"/>
  <c r="I29" i="45"/>
  <c r="Y29" i="45" s="1"/>
  <c r="W29" i="45"/>
  <c r="B36" i="45"/>
  <c r="C36" i="45"/>
  <c r="D36" i="45"/>
  <c r="Z36" i="45" s="1"/>
  <c r="E36" i="45"/>
  <c r="F36" i="45"/>
  <c r="G36" i="45"/>
  <c r="V36" i="45" s="1"/>
  <c r="H36" i="45"/>
  <c r="I36" i="45"/>
  <c r="Y36" i="45" s="1"/>
  <c r="W36" i="45"/>
  <c r="G2" i="65"/>
  <c r="I5" i="45"/>
  <c r="K11" i="49"/>
  <c r="L11" i="49" s="1"/>
  <c r="K12" i="49"/>
  <c r="M12" i="49" s="1"/>
  <c r="K10" i="48"/>
  <c r="O10" i="48" s="1"/>
  <c r="S10" i="48"/>
  <c r="J10" i="48" s="1"/>
  <c r="K7" i="49"/>
  <c r="R7" i="49" s="1"/>
  <c r="K13" i="46"/>
  <c r="L13" i="46" s="1"/>
  <c r="H32" i="45"/>
  <c r="H33" i="45"/>
  <c r="H34" i="45"/>
  <c r="H35" i="45"/>
  <c r="H31" i="45"/>
  <c r="F32" i="45"/>
  <c r="F33" i="45"/>
  <c r="F34" i="45"/>
  <c r="F35" i="45"/>
  <c r="F31" i="45"/>
  <c r="C32" i="45"/>
  <c r="C33" i="45"/>
  <c r="C34" i="45"/>
  <c r="C35" i="45"/>
  <c r="E32" i="45"/>
  <c r="E33" i="45"/>
  <c r="E34" i="45"/>
  <c r="E35" i="45"/>
  <c r="E31" i="45"/>
  <c r="H5" i="45"/>
  <c r="K12" i="46"/>
  <c r="O12" i="46" s="1"/>
  <c r="K11" i="46"/>
  <c r="R11" i="46" s="1"/>
  <c r="K10" i="46"/>
  <c r="Q10" i="46" s="1"/>
  <c r="K9" i="46"/>
  <c r="O9" i="46" s="1"/>
  <c r="K8" i="46"/>
  <c r="O8" i="46" s="1"/>
  <c r="K7" i="46"/>
  <c r="D18" i="45"/>
  <c r="D19" i="45"/>
  <c r="Z19" i="45" s="1"/>
  <c r="D20" i="45"/>
  <c r="Z20" i="45" s="1"/>
  <c r="D21" i="45"/>
  <c r="Z21" i="45" s="1"/>
  <c r="D22" i="45"/>
  <c r="Z22" i="45" s="1"/>
  <c r="D23" i="45"/>
  <c r="Z23" i="45" s="1"/>
  <c r="K7" i="21"/>
  <c r="N7" i="21" s="1"/>
  <c r="K8" i="21"/>
  <c r="L8" i="21" s="1"/>
  <c r="K9" i="21"/>
  <c r="M9" i="21" s="1"/>
  <c r="K10" i="21"/>
  <c r="L10" i="21" s="1"/>
  <c r="E18" i="45"/>
  <c r="F18" i="45"/>
  <c r="G18" i="45"/>
  <c r="H18" i="45"/>
  <c r="I18" i="45"/>
  <c r="E19" i="45"/>
  <c r="F19" i="45"/>
  <c r="G19" i="45"/>
  <c r="H19" i="45"/>
  <c r="I19" i="45"/>
  <c r="E20" i="45"/>
  <c r="F20" i="45"/>
  <c r="G20" i="45"/>
  <c r="H20" i="45"/>
  <c r="I20" i="45"/>
  <c r="E21" i="45"/>
  <c r="F21" i="45"/>
  <c r="G21" i="45"/>
  <c r="H21" i="45"/>
  <c r="I21" i="45"/>
  <c r="E22" i="45"/>
  <c r="F22" i="45"/>
  <c r="G22" i="45"/>
  <c r="H22" i="45"/>
  <c r="I22" i="45"/>
  <c r="E23" i="45"/>
  <c r="F23" i="45"/>
  <c r="G23" i="45"/>
  <c r="H23" i="45"/>
  <c r="I23" i="45"/>
  <c r="K13" i="47"/>
  <c r="O13" i="47" s="1"/>
  <c r="K12" i="47"/>
  <c r="O12" i="47" s="1"/>
  <c r="K11" i="47"/>
  <c r="R11" i="47" s="1"/>
  <c r="K10" i="47"/>
  <c r="O10" i="47" s="1"/>
  <c r="K9" i="47"/>
  <c r="O9" i="47" s="1"/>
  <c r="K8" i="47"/>
  <c r="O8" i="47" s="1"/>
  <c r="K7" i="47"/>
  <c r="R7" i="47" s="1"/>
  <c r="K36" i="45" l="1"/>
  <c r="N36" i="45" s="1"/>
  <c r="AH36" i="45" s="1"/>
  <c r="N11" i="49"/>
  <c r="R11" i="49"/>
  <c r="Q11" i="49"/>
  <c r="P11" i="49"/>
  <c r="O11" i="49"/>
  <c r="M11" i="49"/>
  <c r="P7" i="49"/>
  <c r="O7" i="49"/>
  <c r="N7" i="49"/>
  <c r="Q7" i="49"/>
  <c r="M7" i="49"/>
  <c r="L28" i="45"/>
  <c r="AF28" i="45" s="1"/>
  <c r="N10" i="48"/>
  <c r="M10" i="48"/>
  <c r="L10" i="48"/>
  <c r="K10" i="45"/>
  <c r="R13" i="46"/>
  <c r="P36" i="45"/>
  <c r="AJ36" i="45" s="1"/>
  <c r="L36" i="45"/>
  <c r="AF36" i="45" s="1"/>
  <c r="T11" i="49"/>
  <c r="U11" i="49" s="1"/>
  <c r="S11" i="49"/>
  <c r="J11" i="49" s="1"/>
  <c r="K16" i="45"/>
  <c r="Q16" i="45" s="1"/>
  <c r="R16" i="45"/>
  <c r="L16" i="45"/>
  <c r="M16" i="45"/>
  <c r="N16" i="45"/>
  <c r="O16" i="45"/>
  <c r="K14" i="45"/>
  <c r="L14" i="45" s="1"/>
  <c r="AF14" i="45" s="1"/>
  <c r="O36" i="45"/>
  <c r="AI36" i="45" s="1"/>
  <c r="M36" i="45"/>
  <c r="AG36" i="45" s="1"/>
  <c r="AE28" i="45"/>
  <c r="O28" i="45"/>
  <c r="AI28" i="45" s="1"/>
  <c r="N28" i="45"/>
  <c r="AH28" i="45" s="1"/>
  <c r="M28" i="45"/>
  <c r="AG28" i="45" s="1"/>
  <c r="AE36" i="45"/>
  <c r="P10" i="45"/>
  <c r="AJ10" i="45" s="1"/>
  <c r="L10" i="45"/>
  <c r="AF10" i="45" s="1"/>
  <c r="M10" i="45"/>
  <c r="AG10" i="45" s="1"/>
  <c r="O13" i="46"/>
  <c r="K11" i="45"/>
  <c r="M11" i="45" s="1"/>
  <c r="AE10" i="45"/>
  <c r="O10" i="45"/>
  <c r="AI10" i="45" s="1"/>
  <c r="N10" i="45"/>
  <c r="AH10" i="45" s="1"/>
  <c r="R10" i="45"/>
  <c r="AL10" i="45" s="1"/>
  <c r="Q10" i="45"/>
  <c r="AK10" i="45" s="1"/>
  <c r="K15" i="45"/>
  <c r="AE15" i="45" s="1"/>
  <c r="K29" i="45"/>
  <c r="L29" i="45" s="1"/>
  <c r="AF29" i="45" s="1"/>
  <c r="R28" i="45"/>
  <c r="AL28" i="45" s="1"/>
  <c r="Q28" i="45"/>
  <c r="AK28" i="45" s="1"/>
  <c r="R36" i="45"/>
  <c r="AL36" i="45" s="1"/>
  <c r="Q36" i="45"/>
  <c r="AK36" i="45" s="1"/>
  <c r="T10" i="48"/>
  <c r="U10" i="48" s="1"/>
  <c r="L7" i="49"/>
  <c r="Q13" i="46"/>
  <c r="P13" i="46"/>
  <c r="N13" i="46"/>
  <c r="Q10" i="48"/>
  <c r="R10" i="48"/>
  <c r="P10" i="48"/>
  <c r="L12" i="49"/>
  <c r="N12" i="49"/>
  <c r="R12" i="49"/>
  <c r="Q12" i="49"/>
  <c r="P12" i="49"/>
  <c r="O12" i="49"/>
  <c r="M13" i="46"/>
  <c r="Q7" i="21"/>
  <c r="P7" i="21"/>
  <c r="O7" i="21"/>
  <c r="L7" i="21"/>
  <c r="M7" i="21"/>
  <c r="S7" i="21" s="1"/>
  <c r="J7" i="21" s="1"/>
  <c r="K21" i="45"/>
  <c r="M21" i="45" s="1"/>
  <c r="Q9" i="46"/>
  <c r="R9" i="46"/>
  <c r="L9" i="46"/>
  <c r="M9" i="46"/>
  <c r="N9" i="46"/>
  <c r="P9" i="46"/>
  <c r="K19" i="45"/>
  <c r="O19" i="45" s="1"/>
  <c r="R10" i="21"/>
  <c r="Q10" i="21"/>
  <c r="O10" i="21"/>
  <c r="N10" i="21"/>
  <c r="M10" i="21"/>
  <c r="P9" i="21"/>
  <c r="O9" i="21"/>
  <c r="L9" i="21"/>
  <c r="R8" i="21"/>
  <c r="O8" i="21"/>
  <c r="N8" i="21"/>
  <c r="N10" i="46"/>
  <c r="R10" i="46"/>
  <c r="Q12" i="46"/>
  <c r="P12" i="46"/>
  <c r="L12" i="46"/>
  <c r="M12" i="46"/>
  <c r="P8" i="46"/>
  <c r="Q8" i="46"/>
  <c r="L8" i="46"/>
  <c r="M8" i="46"/>
  <c r="R7" i="46"/>
  <c r="N7" i="46"/>
  <c r="L7" i="46"/>
  <c r="Q7" i="46"/>
  <c r="M7" i="46"/>
  <c r="P7" i="46"/>
  <c r="O7" i="46"/>
  <c r="O10" i="46"/>
  <c r="L11" i="46"/>
  <c r="P11" i="46"/>
  <c r="N8" i="46"/>
  <c r="R8" i="46"/>
  <c r="L10" i="46"/>
  <c r="P10" i="46"/>
  <c r="M11" i="46"/>
  <c r="Q11" i="46"/>
  <c r="N12" i="46"/>
  <c r="R12" i="46"/>
  <c r="O11" i="46"/>
  <c r="M10" i="46"/>
  <c r="N11" i="46"/>
  <c r="Q8" i="21"/>
  <c r="M8" i="21"/>
  <c r="P10" i="21"/>
  <c r="R9" i="21"/>
  <c r="N9" i="21"/>
  <c r="P8" i="21"/>
  <c r="R7" i="21"/>
  <c r="Q9" i="21"/>
  <c r="K23" i="45"/>
  <c r="K20" i="45"/>
  <c r="P20" i="45" s="1"/>
  <c r="K22" i="45"/>
  <c r="P22" i="45" s="1"/>
  <c r="K18" i="45"/>
  <c r="N18" i="45" s="1"/>
  <c r="M13" i="47"/>
  <c r="P13" i="47"/>
  <c r="Q13" i="47"/>
  <c r="L13" i="47"/>
  <c r="L12" i="47"/>
  <c r="P12" i="47"/>
  <c r="P10" i="47"/>
  <c r="Q10" i="47"/>
  <c r="M10" i="47"/>
  <c r="R10" i="47"/>
  <c r="N10" i="47"/>
  <c r="L10" i="47"/>
  <c r="L9" i="47"/>
  <c r="M9" i="47"/>
  <c r="P9" i="47"/>
  <c r="Q9" i="47"/>
  <c r="L8" i="47"/>
  <c r="P8" i="47"/>
  <c r="O11" i="47"/>
  <c r="L7" i="47"/>
  <c r="P7" i="47"/>
  <c r="M8" i="47"/>
  <c r="Q8" i="47"/>
  <c r="N9" i="47"/>
  <c r="R9" i="47"/>
  <c r="L11" i="47"/>
  <c r="P11" i="47"/>
  <c r="M12" i="47"/>
  <c r="Q12" i="47"/>
  <c r="N13" i="47"/>
  <c r="R13" i="47"/>
  <c r="O7" i="47"/>
  <c r="M7" i="47"/>
  <c r="Q7" i="47"/>
  <c r="N8" i="47"/>
  <c r="R8" i="47"/>
  <c r="M11" i="47"/>
  <c r="Q11" i="47"/>
  <c r="N12" i="47"/>
  <c r="R12" i="47"/>
  <c r="N7" i="47"/>
  <c r="N11" i="47"/>
  <c r="O29" i="45" l="1"/>
  <c r="AI29" i="45" s="1"/>
  <c r="N29" i="45"/>
  <c r="AH29" i="45" s="1"/>
  <c r="P16" i="45"/>
  <c r="M29" i="45"/>
  <c r="AG29" i="45" s="1"/>
  <c r="O14" i="45"/>
  <c r="AI14" i="45" s="1"/>
  <c r="M14" i="45"/>
  <c r="AG14" i="45" s="1"/>
  <c r="N14" i="45"/>
  <c r="AH14" i="45" s="1"/>
  <c r="AE14" i="45"/>
  <c r="T16" i="45"/>
  <c r="U16" i="45" s="1"/>
  <c r="P14" i="45"/>
  <c r="AJ14" i="45" s="1"/>
  <c r="R14" i="45"/>
  <c r="AL14" i="45" s="1"/>
  <c r="S10" i="21"/>
  <c r="S36" i="45"/>
  <c r="J36" i="45" s="1"/>
  <c r="Q14" i="45"/>
  <c r="AK14" i="45" s="1"/>
  <c r="T36" i="45"/>
  <c r="U36" i="45" s="1"/>
  <c r="L11" i="45"/>
  <c r="S16" i="45"/>
  <c r="J16" i="45" s="1"/>
  <c r="P29" i="45"/>
  <c r="AJ29" i="45" s="1"/>
  <c r="AE29" i="45"/>
  <c r="T28" i="45"/>
  <c r="U28" i="45" s="1"/>
  <c r="S28" i="45"/>
  <c r="J28" i="45" s="1"/>
  <c r="O23" i="45"/>
  <c r="AI23" i="45" s="1"/>
  <c r="AE23" i="45"/>
  <c r="O11" i="45"/>
  <c r="P11" i="45"/>
  <c r="R11" i="45"/>
  <c r="Q11" i="45"/>
  <c r="N11" i="45"/>
  <c r="S8" i="21"/>
  <c r="J8" i="21" s="1"/>
  <c r="S10" i="45"/>
  <c r="J10" i="45" s="1"/>
  <c r="T10" i="45"/>
  <c r="U10" i="45" s="1"/>
  <c r="R29" i="45"/>
  <c r="AL29" i="45" s="1"/>
  <c r="Q29" i="45"/>
  <c r="AK29" i="45" s="1"/>
  <c r="L15" i="45"/>
  <c r="AF15" i="45" s="1"/>
  <c r="M15" i="45"/>
  <c r="AG15" i="45" s="1"/>
  <c r="N15" i="45"/>
  <c r="AH15" i="45" s="1"/>
  <c r="O15" i="45"/>
  <c r="AI15" i="45" s="1"/>
  <c r="P15" i="45"/>
  <c r="AJ15" i="45" s="1"/>
  <c r="Q15" i="45"/>
  <c r="AK15" i="45" s="1"/>
  <c r="R15" i="45"/>
  <c r="AL15" i="45" s="1"/>
  <c r="S29" i="45"/>
  <c r="J29" i="45" s="1"/>
  <c r="S12" i="49"/>
  <c r="J12" i="49" s="1"/>
  <c r="T12" i="49"/>
  <c r="U12" i="49" s="1"/>
  <c r="S7" i="49"/>
  <c r="J7" i="49" s="1"/>
  <c r="T7" i="49"/>
  <c r="U7" i="49" s="1"/>
  <c r="T13" i="46"/>
  <c r="U13" i="46" s="1"/>
  <c r="S13" i="46"/>
  <c r="J13" i="46" s="1"/>
  <c r="T7" i="21"/>
  <c r="U7" i="21" s="1"/>
  <c r="O21" i="45"/>
  <c r="N21" i="45"/>
  <c r="L21" i="45"/>
  <c r="P21" i="45"/>
  <c r="R21" i="45"/>
  <c r="Q21" i="45"/>
  <c r="T10" i="21"/>
  <c r="U10" i="21" s="1"/>
  <c r="M19" i="45"/>
  <c r="Q19" i="45"/>
  <c r="N19" i="45"/>
  <c r="P19" i="45"/>
  <c r="L19" i="45"/>
  <c r="R19" i="45"/>
  <c r="S11" i="46"/>
  <c r="J11" i="46" s="1"/>
  <c r="T11" i="46"/>
  <c r="U11" i="46" s="1"/>
  <c r="S10" i="46"/>
  <c r="J10" i="46" s="1"/>
  <c r="T10" i="46"/>
  <c r="U10" i="46" s="1"/>
  <c r="T9" i="46"/>
  <c r="U9" i="46" s="1"/>
  <c r="S9" i="46"/>
  <c r="J9" i="46" s="1"/>
  <c r="T8" i="46"/>
  <c r="U8" i="46" s="1"/>
  <c r="S8" i="46"/>
  <c r="J8" i="46" s="1"/>
  <c r="R23" i="45"/>
  <c r="AL23" i="45" s="1"/>
  <c r="L23" i="45"/>
  <c r="AF23" i="45" s="1"/>
  <c r="P23" i="45"/>
  <c r="AJ23" i="45" s="1"/>
  <c r="N22" i="45"/>
  <c r="R20" i="45"/>
  <c r="L18" i="45"/>
  <c r="S9" i="21"/>
  <c r="J9" i="21" s="1"/>
  <c r="T9" i="21"/>
  <c r="U9" i="21" s="1"/>
  <c r="T8" i="21"/>
  <c r="U8" i="21" s="1"/>
  <c r="S12" i="46"/>
  <c r="J12" i="46" s="1"/>
  <c r="T12" i="46"/>
  <c r="U12" i="46" s="1"/>
  <c r="T7" i="46"/>
  <c r="U7" i="46" s="1"/>
  <c r="S7" i="46"/>
  <c r="J7" i="46" s="1"/>
  <c r="Q18" i="45"/>
  <c r="O18" i="45"/>
  <c r="M18" i="45"/>
  <c r="R18" i="45"/>
  <c r="P18" i="45"/>
  <c r="L22" i="45"/>
  <c r="Q20" i="45"/>
  <c r="O20" i="45"/>
  <c r="O22" i="45"/>
  <c r="L20" i="45"/>
  <c r="Q22" i="45"/>
  <c r="R22" i="45"/>
  <c r="Q23" i="45"/>
  <c r="AK23" i="45" s="1"/>
  <c r="N23" i="45"/>
  <c r="AH23" i="45" s="1"/>
  <c r="M22" i="45"/>
  <c r="M20" i="45"/>
  <c r="N20" i="45"/>
  <c r="M23" i="45"/>
  <c r="AG23" i="45" s="1"/>
  <c r="S13" i="47"/>
  <c r="J13" i="47" s="1"/>
  <c r="T13" i="47"/>
  <c r="U13" i="47" s="1"/>
  <c r="T12" i="47"/>
  <c r="U12" i="47" s="1"/>
  <c r="S12" i="47"/>
  <c r="J12" i="47" s="1"/>
  <c r="T11" i="47"/>
  <c r="U11" i="47" s="1"/>
  <c r="S11" i="47"/>
  <c r="J11" i="47" s="1"/>
  <c r="T10" i="47"/>
  <c r="U10" i="47" s="1"/>
  <c r="S10" i="47"/>
  <c r="J10" i="47" s="1"/>
  <c r="T9" i="47"/>
  <c r="U9" i="47" s="1"/>
  <c r="S9" i="47"/>
  <c r="J9" i="47" s="1"/>
  <c r="S8" i="47"/>
  <c r="J8" i="47" s="1"/>
  <c r="T8" i="47"/>
  <c r="U8" i="47" s="1"/>
  <c r="T7" i="47"/>
  <c r="U7" i="47" s="1"/>
  <c r="S7" i="47"/>
  <c r="J7" i="47" s="1"/>
  <c r="T29" i="45" l="1"/>
  <c r="U29" i="45" s="1"/>
  <c r="T14" i="45"/>
  <c r="U14" i="45" s="1"/>
  <c r="S14" i="45"/>
  <c r="J14" i="45" s="1"/>
  <c r="S11" i="45"/>
  <c r="J11" i="45" s="1"/>
  <c r="T11" i="45"/>
  <c r="U11" i="45" s="1"/>
  <c r="S15" i="45"/>
  <c r="J15" i="45" s="1"/>
  <c r="T15" i="45"/>
  <c r="U15" i="45" s="1"/>
  <c r="S21" i="45"/>
  <c r="J21" i="45" s="1"/>
  <c r="T21" i="45"/>
  <c r="U21" i="45" s="1"/>
  <c r="S23" i="45"/>
  <c r="J23" i="45" s="1"/>
  <c r="T20" i="45"/>
  <c r="U20" i="45" s="1"/>
  <c r="T23" i="45"/>
  <c r="U23" i="45" s="1"/>
  <c r="S22" i="45"/>
  <c r="J22" i="45" s="1"/>
  <c r="T22" i="45"/>
  <c r="U22" i="45" s="1"/>
  <c r="S19" i="45"/>
  <c r="J19" i="45" s="1"/>
  <c r="S18" i="45"/>
  <c r="J18" i="45" s="1"/>
  <c r="T19" i="45"/>
  <c r="U19" i="45" s="1"/>
  <c r="T18" i="45"/>
  <c r="U18" i="45" s="1"/>
  <c r="S20" i="45"/>
  <c r="J20" i="45" s="1"/>
  <c r="W26" i="45" l="1"/>
  <c r="E3" i="45"/>
  <c r="F3" i="45"/>
  <c r="G3" i="45"/>
  <c r="H3" i="45"/>
  <c r="I3" i="45"/>
  <c r="J3" i="45"/>
  <c r="B4" i="45"/>
  <c r="AB4" i="45" s="1"/>
  <c r="C4" i="65" s="1"/>
  <c r="B5" i="45"/>
  <c r="C5" i="45"/>
  <c r="D5" i="45"/>
  <c r="Z5" i="45" s="1"/>
  <c r="E5" i="45"/>
  <c r="F5" i="45"/>
  <c r="G5" i="45"/>
  <c r="V5" i="45" s="1"/>
  <c r="Y5" i="45"/>
  <c r="W5" i="45"/>
  <c r="B6" i="45"/>
  <c r="C6" i="45"/>
  <c r="D6" i="45"/>
  <c r="Z6" i="45" s="1"/>
  <c r="E6" i="45"/>
  <c r="F6" i="45"/>
  <c r="G6" i="45"/>
  <c r="V6" i="45" s="1"/>
  <c r="H6" i="45"/>
  <c r="I6" i="45"/>
  <c r="Y6" i="45" s="1"/>
  <c r="B7" i="45"/>
  <c r="C7" i="45"/>
  <c r="D7" i="45"/>
  <c r="Z7" i="45" s="1"/>
  <c r="E7" i="45"/>
  <c r="F7" i="45"/>
  <c r="G7" i="45"/>
  <c r="V7" i="45" s="1"/>
  <c r="H7" i="45"/>
  <c r="I7" i="45"/>
  <c r="Y7" i="45" s="1"/>
  <c r="W7" i="45"/>
  <c r="B8" i="45"/>
  <c r="C8" i="45"/>
  <c r="D8" i="45"/>
  <c r="Z8" i="45" s="1"/>
  <c r="E8" i="45"/>
  <c r="F8" i="45"/>
  <c r="G8" i="45"/>
  <c r="V8" i="45" s="1"/>
  <c r="H8" i="45"/>
  <c r="I8" i="45"/>
  <c r="Y8" i="45" s="1"/>
  <c r="W8" i="45"/>
  <c r="B9" i="45"/>
  <c r="C9" i="45"/>
  <c r="D9" i="45"/>
  <c r="Z9" i="45" s="1"/>
  <c r="E9" i="45"/>
  <c r="F9" i="45"/>
  <c r="G9" i="45"/>
  <c r="V9" i="45" s="1"/>
  <c r="H9" i="45"/>
  <c r="I9" i="45"/>
  <c r="Y9" i="45" s="1"/>
  <c r="W9" i="45"/>
  <c r="B12" i="45"/>
  <c r="B13" i="45"/>
  <c r="C13" i="45"/>
  <c r="D13" i="45"/>
  <c r="Z13" i="45" s="1"/>
  <c r="E13" i="45"/>
  <c r="F13" i="45"/>
  <c r="G13" i="45"/>
  <c r="V13" i="45" s="1"/>
  <c r="H13" i="45"/>
  <c r="I13" i="45"/>
  <c r="Y13" i="45" s="1"/>
  <c r="W13" i="45"/>
  <c r="B17" i="45"/>
  <c r="B18" i="45"/>
  <c r="C18" i="45"/>
  <c r="Z18" i="45"/>
  <c r="V18" i="45"/>
  <c r="Y18" i="45"/>
  <c r="W18" i="45"/>
  <c r="C19" i="45"/>
  <c r="V19" i="45"/>
  <c r="Y19" i="45"/>
  <c r="W19" i="45"/>
  <c r="C20" i="45"/>
  <c r="V20" i="45"/>
  <c r="Y20" i="45"/>
  <c r="W20" i="45"/>
  <c r="C21" i="45"/>
  <c r="V21" i="45"/>
  <c r="Y21" i="45"/>
  <c r="W21" i="45"/>
  <c r="C22" i="45"/>
  <c r="V22" i="45"/>
  <c r="Y22" i="45"/>
  <c r="W22" i="45"/>
  <c r="C23" i="45"/>
  <c r="V23" i="45"/>
  <c r="Y23" i="45"/>
  <c r="W23" i="45"/>
  <c r="C24" i="45"/>
  <c r="D24" i="45"/>
  <c r="Z24" i="45" s="1"/>
  <c r="E24" i="45"/>
  <c r="F24" i="45"/>
  <c r="G24" i="45"/>
  <c r="V24" i="45" s="1"/>
  <c r="H24" i="45"/>
  <c r="I24" i="45"/>
  <c r="Y24" i="45" s="1"/>
  <c r="W24" i="45"/>
  <c r="B25" i="45"/>
  <c r="B26" i="45"/>
  <c r="C26" i="45"/>
  <c r="D26" i="45"/>
  <c r="Z26" i="45" s="1"/>
  <c r="E26" i="45"/>
  <c r="F26" i="45"/>
  <c r="G26" i="45"/>
  <c r="V26" i="45" s="1"/>
  <c r="H26" i="45"/>
  <c r="I26" i="45"/>
  <c r="Y26" i="45" s="1"/>
  <c r="B27" i="45"/>
  <c r="C27" i="45"/>
  <c r="D27" i="45"/>
  <c r="Z27" i="45" s="1"/>
  <c r="E27" i="45"/>
  <c r="F27" i="45"/>
  <c r="G27" i="45"/>
  <c r="V27" i="45" s="1"/>
  <c r="H27" i="45"/>
  <c r="I27" i="45"/>
  <c r="Y27" i="45" s="1"/>
  <c r="W27" i="45"/>
  <c r="K13" i="45" l="1"/>
  <c r="L13" i="45" s="1"/>
  <c r="K26" i="45"/>
  <c r="Q26" i="45" s="1"/>
  <c r="K6" i="45"/>
  <c r="L6" i="45" s="1"/>
  <c r="K8" i="45"/>
  <c r="L8" i="45" s="1"/>
  <c r="K27" i="45"/>
  <c r="K5" i="45"/>
  <c r="O5" i="45" s="1"/>
  <c r="K24" i="45"/>
  <c r="AE24" i="45" s="1"/>
  <c r="K9" i="45"/>
  <c r="K7" i="45"/>
  <c r="R13" i="45" l="1"/>
  <c r="P26" i="45"/>
  <c r="AE26" i="45"/>
  <c r="Q13" i="45"/>
  <c r="O13" i="45"/>
  <c r="N6" i="45"/>
  <c r="N13" i="45"/>
  <c r="P13" i="45"/>
  <c r="N26" i="45"/>
  <c r="AH26" i="45" s="1"/>
  <c r="L26" i="45"/>
  <c r="AF26" i="45" s="1"/>
  <c r="M13" i="45"/>
  <c r="O6" i="45"/>
  <c r="R26" i="45"/>
  <c r="M26" i="45"/>
  <c r="AG26" i="45" s="1"/>
  <c r="O26" i="45"/>
  <c r="P6" i="45"/>
  <c r="R6" i="45"/>
  <c r="Q6" i="45"/>
  <c r="O8" i="45"/>
  <c r="M6" i="45"/>
  <c r="P8" i="45"/>
  <c r="R8" i="45"/>
  <c r="M8" i="45"/>
  <c r="N8" i="45"/>
  <c r="Q8" i="45"/>
  <c r="O9" i="45"/>
  <c r="L9" i="45"/>
  <c r="Q9" i="45"/>
  <c r="M9" i="45"/>
  <c r="R9" i="45"/>
  <c r="N9" i="45"/>
  <c r="P9" i="45"/>
  <c r="O27" i="45"/>
  <c r="L27" i="45"/>
  <c r="Q27" i="45"/>
  <c r="M27" i="45"/>
  <c r="R27" i="45"/>
  <c r="N27" i="45"/>
  <c r="P27" i="45"/>
  <c r="O7" i="45"/>
  <c r="N7" i="45"/>
  <c r="P7" i="45"/>
  <c r="Q7" i="45"/>
  <c r="R7" i="45"/>
  <c r="L7" i="45"/>
  <c r="M7" i="45"/>
  <c r="L24" i="45"/>
  <c r="AF24" i="45" s="1"/>
  <c r="P24" i="45"/>
  <c r="AJ24" i="45" s="1"/>
  <c r="Q24" i="45"/>
  <c r="AK24" i="45" s="1"/>
  <c r="M24" i="45"/>
  <c r="AG24" i="45" s="1"/>
  <c r="R24" i="45"/>
  <c r="AL24" i="45" s="1"/>
  <c r="N24" i="45"/>
  <c r="AH24" i="45" s="1"/>
  <c r="O24" i="45"/>
  <c r="AI24" i="45" s="1"/>
  <c r="L5" i="45"/>
  <c r="Q5" i="45"/>
  <c r="M5" i="45"/>
  <c r="R5" i="45"/>
  <c r="N5" i="45"/>
  <c r="P5" i="45"/>
  <c r="T13" i="45" l="1"/>
  <c r="U13" i="45" s="1"/>
  <c r="T26" i="45"/>
  <c r="U26" i="45" s="1"/>
  <c r="S13" i="45"/>
  <c r="J13" i="45" s="1"/>
  <c r="S26" i="45"/>
  <c r="J26" i="45" s="1"/>
  <c r="T6" i="45"/>
  <c r="U6" i="45" s="1"/>
  <c r="S6" i="45"/>
  <c r="J6" i="45" s="1"/>
  <c r="T8" i="45"/>
  <c r="U8" i="45" s="1"/>
  <c r="S8" i="45"/>
  <c r="J8" i="45" s="1"/>
  <c r="T5" i="45"/>
  <c r="U5" i="45" s="1"/>
  <c r="S5" i="45"/>
  <c r="J5" i="45" s="1"/>
  <c r="T7" i="45"/>
  <c r="U7" i="45" s="1"/>
  <c r="S7" i="45"/>
  <c r="J7" i="45" s="1"/>
  <c r="T27" i="45"/>
  <c r="U27" i="45" s="1"/>
  <c r="S27" i="45"/>
  <c r="J27" i="45" s="1"/>
  <c r="T24" i="45"/>
  <c r="U24" i="45" s="1"/>
  <c r="S24" i="45"/>
  <c r="J24" i="45" s="1"/>
  <c r="T9" i="45"/>
  <c r="U9" i="45" s="1"/>
  <c r="S9" i="45"/>
  <c r="J9" i="45" s="1"/>
  <c r="D8" i="65" l="1"/>
  <c r="B32" i="45"/>
  <c r="B33" i="45"/>
  <c r="B34" i="45"/>
  <c r="B35" i="45"/>
  <c r="C31" i="45"/>
  <c r="B31" i="45"/>
  <c r="B30" i="45"/>
  <c r="AG13" i="45" l="1"/>
  <c r="AH13" i="45"/>
  <c r="AL13" i="45"/>
  <c r="AJ13" i="45"/>
  <c r="AE13" i="45"/>
  <c r="AB30" i="45"/>
  <c r="C8" i="65"/>
  <c r="D2" i="65"/>
  <c r="D7" i="65"/>
  <c r="D6" i="65"/>
  <c r="D5" i="65"/>
  <c r="D4" i="65"/>
  <c r="E2" i="65"/>
  <c r="F2" i="65"/>
  <c r="H2" i="65"/>
  <c r="I2" i="65"/>
  <c r="J2" i="65"/>
  <c r="K2" i="65"/>
  <c r="L2" i="65"/>
  <c r="M2" i="65"/>
  <c r="AB12" i="45"/>
  <c r="C5" i="65" s="1"/>
  <c r="AB25" i="45"/>
  <c r="C7" i="65" s="1"/>
  <c r="AB17" i="45"/>
  <c r="C6" i="65" s="1"/>
  <c r="W35" i="45"/>
  <c r="W34" i="45"/>
  <c r="W33" i="45"/>
  <c r="W32" i="45"/>
  <c r="W31" i="45"/>
  <c r="I35" i="45"/>
  <c r="Y35" i="45" s="1"/>
  <c r="G35" i="45"/>
  <c r="V35" i="45" s="1"/>
  <c r="D35" i="45"/>
  <c r="Z35" i="45" s="1"/>
  <c r="I34" i="45"/>
  <c r="Y34" i="45" s="1"/>
  <c r="G34" i="45"/>
  <c r="V34" i="45" s="1"/>
  <c r="D34" i="45"/>
  <c r="Z34" i="45" s="1"/>
  <c r="I33" i="45"/>
  <c r="Y33" i="45" s="1"/>
  <c r="G33" i="45"/>
  <c r="V33" i="45" s="1"/>
  <c r="D33" i="45"/>
  <c r="Z33" i="45" s="1"/>
  <c r="I32" i="45"/>
  <c r="Y32" i="45" s="1"/>
  <c r="G32" i="45"/>
  <c r="V32" i="45" s="1"/>
  <c r="D32" i="45"/>
  <c r="Z32" i="45" s="1"/>
  <c r="I31" i="45"/>
  <c r="Y31" i="45" s="1"/>
  <c r="G31" i="45"/>
  <c r="V31" i="45" s="1"/>
  <c r="D31" i="45"/>
  <c r="Z31" i="45" s="1"/>
  <c r="K10" i="49"/>
  <c r="Q10" i="49" s="1"/>
  <c r="K9" i="49"/>
  <c r="P9" i="49" s="1"/>
  <c r="K8" i="49"/>
  <c r="M8" i="49" s="1"/>
  <c r="K9" i="48"/>
  <c r="N9" i="48" s="1"/>
  <c r="K8" i="48"/>
  <c r="P8" i="48" s="1"/>
  <c r="K7" i="48"/>
  <c r="O7" i="48" s="1"/>
  <c r="L8" i="49" l="1"/>
  <c r="P7" i="48"/>
  <c r="P10" i="49"/>
  <c r="L10" i="49"/>
  <c r="N10" i="49"/>
  <c r="O10" i="49"/>
  <c r="M10" i="49"/>
  <c r="R10" i="49"/>
  <c r="O9" i="49"/>
  <c r="Q9" i="49"/>
  <c r="R9" i="49"/>
  <c r="L9" i="49"/>
  <c r="M9" i="49"/>
  <c r="N9" i="49"/>
  <c r="O8" i="49"/>
  <c r="R8" i="49"/>
  <c r="Q8" i="49"/>
  <c r="P8" i="49"/>
  <c r="N8" i="49"/>
  <c r="M9" i="48"/>
  <c r="Q9" i="48"/>
  <c r="L9" i="48"/>
  <c r="R7" i="48"/>
  <c r="P9" i="48"/>
  <c r="O9" i="48"/>
  <c r="R9" i="48"/>
  <c r="L8" i="48"/>
  <c r="R8" i="48"/>
  <c r="Q8" i="48"/>
  <c r="N8" i="48"/>
  <c r="M8" i="48"/>
  <c r="O8" i="48"/>
  <c r="N7" i="48"/>
  <c r="M7" i="48"/>
  <c r="Q7" i="48"/>
  <c r="L7" i="48"/>
  <c r="AK13" i="45"/>
  <c r="AI13" i="45"/>
  <c r="AF22" i="45"/>
  <c r="K33" i="45"/>
  <c r="AE33" i="45" s="1"/>
  <c r="D3" i="65"/>
  <c r="AK22" i="45"/>
  <c r="K35" i="45"/>
  <c r="AE35" i="45" s="1"/>
  <c r="AF13" i="45"/>
  <c r="AH20" i="45"/>
  <c r="AJ26" i="45"/>
  <c r="K32" i="45"/>
  <c r="Q32" i="45" s="1"/>
  <c r="AK32" i="45" s="1"/>
  <c r="K34" i="45"/>
  <c r="N34" i="45" s="1"/>
  <c r="AH34" i="45" s="1"/>
  <c r="AI20" i="45"/>
  <c r="AE20" i="45"/>
  <c r="AK20" i="45"/>
  <c r="K31" i="45"/>
  <c r="AI22" i="45"/>
  <c r="AL21" i="45"/>
  <c r="AL19" i="45"/>
  <c r="AE16" i="45"/>
  <c r="AK8" i="45"/>
  <c r="AJ9" i="45"/>
  <c r="AG7" i="45"/>
  <c r="AL18" i="45"/>
  <c r="AL20" i="45"/>
  <c r="AG11" i="45"/>
  <c r="AK6" i="45"/>
  <c r="AI6" i="45"/>
  <c r="AG6" i="45"/>
  <c r="AL6" i="45"/>
  <c r="AJ6" i="45"/>
  <c r="AH6" i="45"/>
  <c r="AE6" i="45"/>
  <c r="AJ5" i="45"/>
  <c r="T7" i="48" l="1"/>
  <c r="U7" i="48" s="1"/>
  <c r="S7" i="48"/>
  <c r="J7" i="48" s="1"/>
  <c r="S9" i="49"/>
  <c r="J9" i="49" s="1"/>
  <c r="S10" i="49"/>
  <c r="J10" i="49" s="1"/>
  <c r="T10" i="49"/>
  <c r="U10" i="49" s="1"/>
  <c r="T9" i="49"/>
  <c r="U9" i="49" s="1"/>
  <c r="S8" i="49"/>
  <c r="J8" i="49" s="1"/>
  <c r="T8" i="49"/>
  <c r="U8" i="49" s="1"/>
  <c r="S9" i="48"/>
  <c r="J9" i="48" s="1"/>
  <c r="T9" i="48"/>
  <c r="U9" i="48" s="1"/>
  <c r="T8" i="48"/>
  <c r="U8" i="48" s="1"/>
  <c r="S8" i="48"/>
  <c r="J8" i="48" s="1"/>
  <c r="R35" i="45"/>
  <c r="AL35" i="45" s="1"/>
  <c r="N35" i="45"/>
  <c r="AH35" i="45" s="1"/>
  <c r="Q33" i="45"/>
  <c r="AK33" i="45" s="1"/>
  <c r="Q35" i="45"/>
  <c r="AK35" i="45" s="1"/>
  <c r="N33" i="45"/>
  <c r="AH33" i="45" s="1"/>
  <c r="P32" i="45"/>
  <c r="AJ32" i="45" s="1"/>
  <c r="P33" i="45"/>
  <c r="AJ33" i="45" s="1"/>
  <c r="AH9" i="45"/>
  <c r="M35" i="45"/>
  <c r="AG35" i="45" s="1"/>
  <c r="AE21" i="45"/>
  <c r="O35" i="45"/>
  <c r="AI35" i="45" s="1"/>
  <c r="AG22" i="45"/>
  <c r="O33" i="45"/>
  <c r="AI33" i="45" s="1"/>
  <c r="AH18" i="45"/>
  <c r="L33" i="45"/>
  <c r="AF33" i="45" s="1"/>
  <c r="L32" i="45"/>
  <c r="AF32" i="45" s="1"/>
  <c r="P34" i="45"/>
  <c r="AJ34" i="45" s="1"/>
  <c r="M33" i="45"/>
  <c r="AG33" i="45" s="1"/>
  <c r="R33" i="45"/>
  <c r="AL33" i="45" s="1"/>
  <c r="AK26" i="45"/>
  <c r="AL22" i="45"/>
  <c r="AE18" i="45"/>
  <c r="AG16" i="45"/>
  <c r="AJ22" i="45"/>
  <c r="AE22" i="45"/>
  <c r="AI26" i="45"/>
  <c r="AJ7" i="45"/>
  <c r="AH22" i="45"/>
  <c r="AI16" i="45"/>
  <c r="AE32" i="45"/>
  <c r="AL7" i="45"/>
  <c r="AF8" i="45"/>
  <c r="AL16" i="45"/>
  <c r="L35" i="45"/>
  <c r="AF35" i="45" s="1"/>
  <c r="AJ20" i="45"/>
  <c r="AE7" i="45"/>
  <c r="AH16" i="45"/>
  <c r="M32" i="45"/>
  <c r="AG32" i="45" s="1"/>
  <c r="AF20" i="45"/>
  <c r="P35" i="45"/>
  <c r="AJ35" i="45" s="1"/>
  <c r="AG21" i="45"/>
  <c r="AH7" i="45"/>
  <c r="AK9" i="45"/>
  <c r="AI7" i="45"/>
  <c r="AL9" i="45"/>
  <c r="AE12" i="45"/>
  <c r="AJ16" i="45"/>
  <c r="N32" i="45"/>
  <c r="AH32" i="45" s="1"/>
  <c r="R32" i="45"/>
  <c r="AL32" i="45" s="1"/>
  <c r="AG20" i="45"/>
  <c r="AF16" i="45"/>
  <c r="AK16" i="45"/>
  <c r="O32" i="45"/>
  <c r="AI32" i="45" s="1"/>
  <c r="R34" i="45"/>
  <c r="AL34" i="45" s="1"/>
  <c r="AH21" i="45"/>
  <c r="O34" i="45"/>
  <c r="AI34" i="45" s="1"/>
  <c r="AE34" i="45"/>
  <c r="Q34" i="45"/>
  <c r="AK34" i="45" s="1"/>
  <c r="L34" i="45"/>
  <c r="M34" i="45"/>
  <c r="AG34" i="45" s="1"/>
  <c r="AL26" i="45"/>
  <c r="AG9" i="45"/>
  <c r="AG18" i="45"/>
  <c r="AJ18" i="45"/>
  <c r="AH19" i="45"/>
  <c r="AK18" i="45"/>
  <c r="AI18" i="45"/>
  <c r="AI21" i="45"/>
  <c r="AJ21" i="45"/>
  <c r="AK21" i="45"/>
  <c r="R31" i="45"/>
  <c r="AL31" i="45" s="1"/>
  <c r="Q31" i="45"/>
  <c r="AK31" i="45" s="1"/>
  <c r="AE31" i="45"/>
  <c r="M31" i="45"/>
  <c r="AG31" i="45" s="1"/>
  <c r="O31" i="45"/>
  <c r="AI31" i="45" s="1"/>
  <c r="L31" i="45"/>
  <c r="P31" i="45"/>
  <c r="AJ31" i="45" s="1"/>
  <c r="N31" i="45"/>
  <c r="AH31" i="45" s="1"/>
  <c r="AF18" i="45"/>
  <c r="AH8" i="45"/>
  <c r="AI8" i="45"/>
  <c r="AE8" i="45"/>
  <c r="AG8" i="45"/>
  <c r="AL8" i="45"/>
  <c r="AJ8" i="45"/>
  <c r="AF7" i="45"/>
  <c r="AK7" i="45"/>
  <c r="AI9" i="45"/>
  <c r="AF9" i="45"/>
  <c r="AE9" i="45"/>
  <c r="AK19" i="45"/>
  <c r="AJ19" i="45"/>
  <c r="AG19" i="45"/>
  <c r="AI19" i="45"/>
  <c r="AE19" i="45"/>
  <c r="AJ27" i="45"/>
  <c r="AL27" i="45"/>
  <c r="AH27" i="45"/>
  <c r="AK27" i="45"/>
  <c r="AG27" i="45"/>
  <c r="AI27" i="45"/>
  <c r="AE27" i="45"/>
  <c r="AK5" i="45"/>
  <c r="AH5" i="45"/>
  <c r="AH11" i="45"/>
  <c r="AE11" i="45"/>
  <c r="AF11" i="45"/>
  <c r="AI11" i="45"/>
  <c r="AL11" i="45"/>
  <c r="AK11" i="45"/>
  <c r="AJ11" i="45"/>
  <c r="AF6" i="45"/>
  <c r="AG5" i="45"/>
  <c r="AL5" i="45"/>
  <c r="AE5" i="45"/>
  <c r="AI5" i="45"/>
  <c r="AF5" i="45"/>
  <c r="AH30" i="45" l="1"/>
  <c r="AK30" i="45"/>
  <c r="AJ30" i="45"/>
  <c r="AI30" i="45"/>
  <c r="AG30" i="45"/>
  <c r="AL30" i="45"/>
  <c r="AE30" i="45"/>
  <c r="F8" i="65" s="1"/>
  <c r="AL12" i="45"/>
  <c r="M5" i="65" s="1"/>
  <c r="AF4" i="45"/>
  <c r="G4" i="65" s="1"/>
  <c r="AG4" i="45"/>
  <c r="H4" i="65" s="1"/>
  <c r="AE4" i="45"/>
  <c r="AD4" i="45" s="1"/>
  <c r="E4" i="65" s="1"/>
  <c r="AH4" i="45"/>
  <c r="I4" i="65" s="1"/>
  <c r="S33" i="45"/>
  <c r="J33" i="45" s="1"/>
  <c r="AG12" i="45"/>
  <c r="H5" i="65" s="1"/>
  <c r="AH25" i="45"/>
  <c r="I7" i="65" s="1"/>
  <c r="T33" i="45"/>
  <c r="U33" i="45" s="1"/>
  <c r="AI12" i="45"/>
  <c r="J5" i="65" s="1"/>
  <c r="T35" i="45"/>
  <c r="U35" i="45" s="1"/>
  <c r="S32" i="45"/>
  <c r="J32" i="45" s="1"/>
  <c r="AH12" i="45"/>
  <c r="I5" i="65" s="1"/>
  <c r="J8" i="65"/>
  <c r="AJ4" i="45"/>
  <c r="K4" i="65" s="1"/>
  <c r="AK12" i="45"/>
  <c r="L5" i="65" s="1"/>
  <c r="AJ12" i="45"/>
  <c r="K5" i="65" s="1"/>
  <c r="AI17" i="45"/>
  <c r="J6" i="65" s="1"/>
  <c r="M8" i="65"/>
  <c r="AH17" i="45"/>
  <c r="I6" i="65" s="1"/>
  <c r="AG17" i="45"/>
  <c r="H6" i="65" s="1"/>
  <c r="T32" i="45"/>
  <c r="U32" i="45" s="1"/>
  <c r="S35" i="45"/>
  <c r="J35" i="45" s="1"/>
  <c r="I8" i="65"/>
  <c r="K8" i="65"/>
  <c r="L8" i="65"/>
  <c r="AJ17" i="45"/>
  <c r="K6" i="65" s="1"/>
  <c r="AF34" i="45"/>
  <c r="S34" i="45"/>
  <c r="J34" i="45" s="1"/>
  <c r="T34" i="45"/>
  <c r="U34" i="45" s="1"/>
  <c r="H8" i="65"/>
  <c r="AL17" i="45"/>
  <c r="M6" i="65" s="1"/>
  <c r="AE17" i="45"/>
  <c r="AD17" i="45" s="1"/>
  <c r="E6" i="65" s="1"/>
  <c r="AF31" i="45"/>
  <c r="T31" i="45"/>
  <c r="U31" i="45" s="1"/>
  <c r="S31" i="45"/>
  <c r="J31" i="45" s="1"/>
  <c r="AK4" i="45"/>
  <c r="L4" i="65" s="1"/>
  <c r="AF21" i="45"/>
  <c r="AK17" i="45"/>
  <c r="L6" i="65" s="1"/>
  <c r="AF19" i="45"/>
  <c r="AF27" i="45"/>
  <c r="AF25" i="45" s="1"/>
  <c r="G7" i="65" s="1"/>
  <c r="AG25" i="45"/>
  <c r="H7" i="65" s="1"/>
  <c r="AE25" i="45"/>
  <c r="F7" i="65" s="1"/>
  <c r="AI25" i="45"/>
  <c r="J7" i="65" s="1"/>
  <c r="AJ25" i="45"/>
  <c r="K7" i="65" s="1"/>
  <c r="AK25" i="45"/>
  <c r="L7" i="65" s="1"/>
  <c r="AL25" i="45"/>
  <c r="M7" i="65" s="1"/>
  <c r="F5" i="65"/>
  <c r="AD12" i="45"/>
  <c r="E5" i="65" s="1"/>
  <c r="AF12" i="45"/>
  <c r="G5" i="65" s="1"/>
  <c r="AI4" i="45"/>
  <c r="J4" i="65" s="1"/>
  <c r="AL4" i="45"/>
  <c r="M4" i="65" s="1"/>
  <c r="AF30" i="45" l="1"/>
  <c r="G8" i="65" s="1"/>
  <c r="F4" i="65"/>
  <c r="I3" i="65"/>
  <c r="K3" i="65"/>
  <c r="AD30" i="45"/>
  <c r="E8" i="65" s="1"/>
  <c r="L3" i="65"/>
  <c r="AD25" i="45"/>
  <c r="E7" i="65" s="1"/>
  <c r="H3" i="65"/>
  <c r="F6" i="65"/>
  <c r="AF17" i="45"/>
  <c r="G6" i="65" s="1"/>
  <c r="J3" i="65"/>
  <c r="M3" i="65"/>
  <c r="F3" i="65" l="1"/>
  <c r="G3" i="65"/>
  <c r="E3" i="6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Utilisateur invité</author>
    <author>Utilisateur</author>
  </authors>
  <commentList>
    <comment ref="B4" authorId="0" shapeId="0" xr:uid="{EB80FB45-ED39-4EE0-B694-4C8CBE5F9519}">
      <text>
        <r>
          <rPr>
            <sz val="10"/>
            <color rgb="FF000000"/>
            <rFont val="Helv"/>
          </rPr>
          <t>Parce que le numérique est un acteur majeur d’émissions de Gaz à Effet de Serre, d’épuisement des ressources et d’affaissement de la biodiversité, participant activement au changement climatique, nous nous engageons à optimiser les outils numériques pour limiter leurs impacts et consommations.</t>
        </r>
      </text>
    </comment>
    <comment ref="D5" authorId="1" shapeId="0" xr:uid="{00000000-0006-0000-0300-000002000000}">
      <text>
        <r>
          <rPr>
            <sz val="10"/>
            <color rgb="FF000000"/>
            <rFont val="Helv"/>
          </rPr>
          <t xml:space="preserve">Préciser dans cette colonne les opportunités et les menaces (ou risques) qui pourraient être associés à chacune des cibles, pour la zone étudiée. Les opportunités et les menaces peuvent être liés à des spécificités nationales ou locales, à des pressions externes ou internes, à des contextes temporaires ou permanents. 
</t>
        </r>
        <r>
          <rPr>
            <sz val="10"/>
            <color rgb="FF000000"/>
            <rFont val="Helv"/>
          </rPr>
          <t xml:space="preserve">
</t>
        </r>
        <r>
          <rPr>
            <sz val="10"/>
            <color rgb="FF000000"/>
            <rFont val="Helv"/>
          </rPr>
          <t xml:space="preserve">Quelles sont les enjeux économiques, sociaux, culturels, environnementaux, etc. de l'organisation qui expliquent que l'atteinte de telle cible soit particulièrement importante, ou inversement. </t>
        </r>
      </text>
    </comment>
    <comment ref="E5" authorId="1" shapeId="0" xr:uid="{00000000-0006-0000-0300-000003000000}">
      <text>
        <r>
          <rPr>
            <sz val="10"/>
            <color rgb="FF000000"/>
            <rFont val="Helv"/>
          </rPr>
          <t xml:space="preserve">Notez ici l'importance du fait de ne pas atteindre cette cible à l'horizon décidé. Aurait-il des conséquences faibles, moyennes ou élevées pour l'organisation ?
</t>
        </r>
        <r>
          <rPr>
            <sz val="10"/>
            <color rgb="FF000000"/>
            <rFont val="Helv"/>
          </rPr>
          <t xml:space="preserve">
</t>
        </r>
        <r>
          <rPr>
            <sz val="10"/>
            <color rgb="FF000000"/>
            <rFont val="Helv"/>
          </rPr>
          <t xml:space="preserve">Les valeurs numérales de 0 à 3 sont utilisées pour déterminer l’importance de chaque cible.
</t>
        </r>
        <r>
          <rPr>
            <sz val="10"/>
            <color rgb="FF000000"/>
            <rFont val="Helv"/>
          </rPr>
          <t xml:space="preserve">
</t>
        </r>
        <r>
          <rPr>
            <sz val="10"/>
            <color rgb="FF000000"/>
            <rFont val="Helv"/>
          </rPr>
          <t xml:space="preserve">0 -  Cible non applicable pour l'organisation.
</t>
        </r>
        <r>
          <rPr>
            <sz val="10"/>
            <color rgb="FF000000"/>
            <rFont val="Helv"/>
          </rPr>
          <t xml:space="preserve">
</t>
        </r>
        <r>
          <rPr>
            <sz val="10"/>
            <color rgb="FF000000"/>
            <rFont val="Helv"/>
          </rPr>
          <t xml:space="preserve">1  - Cible dont l'atteinte est jugée peu importante pour l'organisation.
</t>
        </r>
        <r>
          <rPr>
            <sz val="10"/>
            <color rgb="FF000000"/>
            <rFont val="Helv"/>
          </rPr>
          <t xml:space="preserve">
</t>
        </r>
        <r>
          <rPr>
            <sz val="10"/>
            <color rgb="FF000000"/>
            <rFont val="Helv"/>
          </rPr>
          <t xml:space="preserve">2  - Cible dont l'atteinte est jugée importante pour l'organisation.
</t>
        </r>
        <r>
          <rPr>
            <sz val="10"/>
            <color rgb="FF000000"/>
            <rFont val="Helv"/>
          </rPr>
          <t xml:space="preserve">
</t>
        </r>
        <r>
          <rPr>
            <sz val="10"/>
            <color rgb="FF000000"/>
            <rFont val="Helv"/>
          </rPr>
          <t>3  - Cible dont l'atteinte est jugée très importante pour l'organisation.</t>
        </r>
      </text>
    </comment>
    <comment ref="F5" authorId="1" shapeId="0" xr:uid="{00000000-0006-0000-0300-000004000000}">
      <text>
        <r>
          <rPr>
            <sz val="10"/>
            <color rgb="FF000000"/>
            <rFont val="Helv"/>
          </rPr>
          <t xml:space="preserve">Notez ici le niveau de performance ACTUEL de l'organisation au regard des indicateurs de performance de chaque cible. Le niveau de performance est une valeur OBJECTIVE, basée sur l'état de situation RÉEL de l'organisation, au moment de l'évaluation.
</t>
        </r>
        <r>
          <rPr>
            <sz val="10"/>
            <color rgb="FF000000"/>
            <rFont val="Helv"/>
          </rPr>
          <t xml:space="preserve">
</t>
        </r>
        <r>
          <rPr>
            <sz val="10"/>
            <color rgb="FF000000"/>
            <rFont val="Helv"/>
          </rPr>
          <t xml:space="preserve">Les valeurs numérales de 1 à 4 sont utilisées pour déterminer le niveau de performance actuel.
</t>
        </r>
        <r>
          <rPr>
            <sz val="10"/>
            <color rgb="FF000000"/>
            <rFont val="Helv"/>
          </rPr>
          <t xml:space="preserve">
</t>
        </r>
        <r>
          <rPr>
            <sz val="10"/>
            <color rgb="FF000000"/>
            <rFont val="Helv"/>
          </rPr>
          <t xml:space="preserve">1 - Cette cible n'est pas du tout atteinte
</t>
        </r>
        <r>
          <rPr>
            <sz val="10"/>
            <color rgb="FF000000"/>
            <rFont val="Helv"/>
          </rPr>
          <t xml:space="preserve">La situation relative à cette cible est jugée critique, la situation est très inconfortable et il est nécessaire d'apporter rapidement des correctifs.
</t>
        </r>
        <r>
          <rPr>
            <sz val="10"/>
            <color rgb="FF000000"/>
            <rFont val="Helv"/>
          </rPr>
          <t xml:space="preserve">
</t>
        </r>
        <r>
          <rPr>
            <sz val="10"/>
            <color rgb="FF000000"/>
            <rFont val="Helv"/>
          </rPr>
          <t xml:space="preserve">2 - Cette cible est atteinte en partie
</t>
        </r>
        <r>
          <rPr>
            <sz val="10"/>
            <color rgb="FF000000"/>
            <rFont val="Helv"/>
          </rPr>
          <t xml:space="preserve">La situation relative à cette cible est jugée problématique, la situation est relativement inconfortable, il existe une grande marge d'amélioration, même si certains résultats sont visible sur le terrain.
</t>
        </r>
        <r>
          <rPr>
            <sz val="10"/>
            <color rgb="FF000000"/>
            <rFont val="Helv"/>
          </rPr>
          <t xml:space="preserve">
</t>
        </r>
        <r>
          <rPr>
            <sz val="10"/>
            <color rgb="FF000000"/>
            <rFont val="Helv"/>
          </rPr>
          <t xml:space="preserve">3 - Cette cible est en voie d'être atteinte
</t>
        </r>
        <r>
          <rPr>
            <sz val="10"/>
            <color rgb="FF000000"/>
            <rFont val="Helv"/>
          </rPr>
          <t xml:space="preserve">La situation relative à cette cible est jugée perfectible, la situation est confortable, sans être parfaite, des améliorations sont encore possibles.
</t>
        </r>
        <r>
          <rPr>
            <sz val="10"/>
            <color rgb="FF000000"/>
            <rFont val="Helv"/>
          </rPr>
          <t xml:space="preserve">
</t>
        </r>
        <r>
          <rPr>
            <sz val="10"/>
            <color rgb="FF000000"/>
            <rFont val="Helv"/>
          </rPr>
          <t xml:space="preserve">4 - Cette cible est atteinte
</t>
        </r>
        <r>
          <rPr>
            <sz val="10"/>
            <color rgb="FF000000"/>
            <rFont val="Helv"/>
          </rPr>
          <t>La situation relative à cette cible est jugée excellente, la situation actuelle est très confortable, l'organisation pouvant faire figure d'exemplarité.</t>
        </r>
      </text>
    </comment>
    <comment ref="G5" authorId="1" shapeId="0" xr:uid="{00000000-0006-0000-0300-000005000000}">
      <text>
        <r>
          <rPr>
            <sz val="10"/>
            <color rgb="FF000000"/>
            <rFont val="Helv"/>
          </rPr>
          <t xml:space="preserve">Inscrire dans cette colonne les actions et mesures qui ont déjà été planifiées ou mises en œuvre par l'organisation qui contribuent à l'atteinte de cette cible. 
</t>
        </r>
        <r>
          <rPr>
            <sz val="10"/>
            <color rgb="FF000000"/>
            <rFont val="Helv"/>
          </rPr>
          <t xml:space="preserve">
</t>
        </r>
        <r>
          <rPr>
            <sz val="10"/>
            <color rgb="FF000000"/>
            <rFont val="Helv"/>
          </rPr>
          <t xml:space="preserve">C'est en quelque sorte une justification du niveau de performance actuel, ou du niveau d'atteinte de la cible. Une cible atteinte devrait pouvoir s'expliquer par plusieurs éléments positifs déjà mis en œuvre.
</t>
        </r>
        <r>
          <rPr>
            <sz val="10"/>
            <color rgb="FF000000"/>
            <rFont val="Helv"/>
          </rPr>
          <t xml:space="preserve">
</t>
        </r>
        <r>
          <rPr>
            <sz val="10"/>
            <color rgb="FF000000"/>
            <rFont val="Helv"/>
          </rPr>
          <t xml:space="preserve">Utilisez l'ensemble des informations à votre dispositions pour documenter cette section. Précisez par exemple : 
</t>
        </r>
        <r>
          <rPr>
            <sz val="10"/>
            <color rgb="FF000000"/>
            <rFont val="Helv"/>
          </rPr>
          <t xml:space="preserve">
</t>
        </r>
        <r>
          <rPr>
            <sz val="10"/>
            <color rgb="FF000000"/>
            <rFont val="Helv"/>
          </rPr>
          <t xml:space="preserve">-L'inscription d'enjeux associés à la cible dans le ou les document de planification
</t>
        </r>
        <r>
          <rPr>
            <sz val="10"/>
            <color rgb="FF000000"/>
            <rFont val="Helv"/>
          </rPr>
          <t xml:space="preserve">-Les programmes et stratégies existants, avec les services responsables
</t>
        </r>
        <r>
          <rPr>
            <sz val="10"/>
            <color rgb="FF000000"/>
            <rFont val="Helv"/>
          </rPr>
          <t xml:space="preserve">-Les mesures, projets et actions mises en œuvre 
</t>
        </r>
        <r>
          <rPr>
            <sz val="10"/>
            <color rgb="FF000000"/>
            <rFont val="Helv"/>
          </rPr>
          <t xml:space="preserve">-Les partenaires actifs sur ces enjeux
</t>
        </r>
        <r>
          <rPr>
            <sz val="10"/>
            <color rgb="FF000000"/>
            <rFont val="Helv"/>
          </rPr>
          <t xml:space="preserve">-Les statistique et indicateurs de suivi pertinents
</t>
        </r>
        <r>
          <rPr>
            <sz val="10"/>
            <color rgb="FF000000"/>
            <rFont val="Helv"/>
          </rPr>
          <t>-Les financements disponibles</t>
        </r>
      </text>
    </comment>
    <comment ref="I5" authorId="1" shapeId="0" xr:uid="{00000000-0006-0000-0300-000007000000}">
      <text>
        <r>
          <rPr>
            <sz val="10"/>
            <color rgb="FF000000"/>
            <rFont val="Helv"/>
          </rPr>
          <t xml:space="preserve">Inscrire dans cette colonne toutes les forces et les faiblesses de l'organisation en lien avec chaque cible. 
</t>
        </r>
        <r>
          <rPr>
            <sz val="10"/>
            <color rgb="FF000000"/>
            <rFont val="Helv"/>
          </rPr>
          <t xml:space="preserve">
</t>
        </r>
        <r>
          <rPr>
            <sz val="10"/>
            <color rgb="FF000000"/>
            <rFont val="Helv"/>
          </rPr>
          <t xml:space="preserve">Ces forces et faiblesses doivent référer aux capacités d'action réelles sur le terrain des acteurs.
</t>
        </r>
        <r>
          <rPr>
            <sz val="10"/>
            <color rgb="FF000000"/>
            <rFont val="Helv"/>
          </rPr>
          <t xml:space="preserve">
</t>
        </r>
        <r>
          <rPr>
            <sz val="10"/>
            <color rgb="FF000000"/>
            <rFont val="Helv"/>
          </rPr>
          <t xml:space="preserve">Précisez par exemple : 
</t>
        </r>
        <r>
          <rPr>
            <sz val="10"/>
            <color rgb="FF000000"/>
            <rFont val="Helv"/>
          </rPr>
          <t xml:space="preserve">- La nature des capacités;
</t>
        </r>
        <r>
          <rPr>
            <sz val="10"/>
            <color rgb="FF000000"/>
            <rFont val="Helv"/>
          </rPr>
          <t xml:space="preserve">- Les ressources humaines, financières et techniques disponibles;
</t>
        </r>
        <r>
          <rPr>
            <sz val="10"/>
            <color rgb="FF000000"/>
            <rFont val="Helv"/>
          </rPr>
          <t xml:space="preserve">- Les partenaires technique et financier qui peuvent agir sur la cible;
</t>
        </r>
        <r>
          <rPr>
            <sz val="10"/>
            <color rgb="FF000000"/>
            <rFont val="Helv"/>
          </rPr>
          <t xml:space="preserve">- etc.
</t>
        </r>
      </text>
    </comment>
    <comment ref="J5" authorId="1" shapeId="0" xr:uid="{00000000-0006-0000-0300-000008000000}">
      <text>
        <r>
          <rPr>
            <sz val="11"/>
            <color rgb="FF000000"/>
            <rFont val="Tahoma"/>
            <family val="2"/>
          </rPr>
          <t xml:space="preserve">
</t>
        </r>
        <r>
          <rPr>
            <sz val="12"/>
            <color rgb="FF000000"/>
            <rFont val="Tahoma"/>
            <family val="2"/>
          </rPr>
          <t xml:space="preserve">Cette colonne se compile de manière automatique. 
</t>
        </r>
        <r>
          <rPr>
            <sz val="12"/>
            <color rgb="FF000000"/>
            <rFont val="Tahoma"/>
            <family val="2"/>
          </rPr>
          <t xml:space="preserve">
</t>
        </r>
        <r>
          <rPr>
            <sz val="12"/>
            <color rgb="FF000000"/>
            <rFont val="Tahoma"/>
            <family val="2"/>
          </rPr>
          <t xml:space="preserve">Le niveau de priorité de la cible est déterminée en fonction de ses niveau d'importance et de performance actuelle. 
</t>
        </r>
        <r>
          <rPr>
            <sz val="12"/>
            <color rgb="FF000000"/>
            <rFont val="Tahoma"/>
            <family val="2"/>
          </rPr>
          <t xml:space="preserve">
</t>
        </r>
        <r>
          <rPr>
            <sz val="12"/>
            <color rgb="FF000000"/>
            <rFont val="Tahoma"/>
            <family val="2"/>
          </rPr>
          <t xml:space="preserve">De façon générale, plus une cible est jugé importante et peu performante, plus elle sera jugée prioritaire. Il sera alors urgent d’agir et de mettre en œuvre des stratégies d'action pour cette cible. Inversement, pour les cibles moins importantes et déjà performantes, le niveau de priorité est moins élevé. 
</t>
        </r>
        <r>
          <rPr>
            <sz val="12"/>
            <color rgb="FF000000"/>
            <rFont val="Tahoma"/>
            <family val="2"/>
          </rPr>
          <t xml:space="preserve">
</t>
        </r>
        <r>
          <rPr>
            <sz val="12"/>
            <color rgb="FF000000"/>
            <rFont val="Tahoma"/>
            <family val="2"/>
          </rPr>
          <t xml:space="preserve">Le niveau de priorité est précisé automatiquement dans cette colonne, selon le tableau présenté dans l'onglet ''Résultats''.
</t>
        </r>
      </text>
    </comment>
    <comment ref="V5" authorId="1" shapeId="0" xr:uid="{00000000-0006-0000-0300-00000A000000}">
      <text>
        <r>
          <rPr>
            <sz val="10"/>
            <color rgb="FF000000"/>
            <rFont val="Helv"/>
          </rPr>
          <t xml:space="preserve">Inscrivez ici les suggestions de stratégies d'actions pouvant contribuer à l'atteinte de la cible. Vous pouvez inclure des actions déjà planifiées, le cas échéant.
</t>
        </r>
        <r>
          <rPr>
            <sz val="10"/>
            <color rgb="FF000000"/>
            <rFont val="Helv"/>
          </rPr>
          <t xml:space="preserve">
</t>
        </r>
        <r>
          <rPr>
            <sz val="10"/>
            <color rgb="FF000000"/>
            <rFont val="Helv"/>
          </rPr>
          <t xml:space="preserve">Ces propositions peuvent être de nature stratégique (inscription dans la planification, dans une stratégie) ou pratique (mise en place de programmes ou de projets). 
</t>
        </r>
        <r>
          <rPr>
            <sz val="10"/>
            <color rgb="FF000000"/>
            <rFont val="Helv"/>
          </rPr>
          <t xml:space="preserve">
</t>
        </r>
        <r>
          <rPr>
            <sz val="10"/>
            <color rgb="FF000000"/>
            <rFont val="Helv"/>
          </rPr>
          <t xml:space="preserve">Elle peuvent être inspirées d'initiatives d'autres organisations, de partage de bonnes pratiques, de la littérature, d'expériences personnelles des analystes, etc. 
</t>
        </r>
        <r>
          <rPr>
            <sz val="10"/>
            <color rgb="FF000000"/>
            <rFont val="Helv"/>
          </rPr>
          <t xml:space="preserve">
</t>
        </r>
        <r>
          <rPr>
            <sz val="10"/>
            <color rgb="FF000000"/>
            <rFont val="Helv"/>
          </rPr>
          <t xml:space="preserve">Toutefois, les propositions devront par la suite faire l'objet d'un processus de priorisation. Les actions retenues devront faire l'objet d'une analyse de faisabilité et d'impacts. Il ne s'agit pas ici d'écrire le plan de développement, mais de donner des idées et pistes d'actions aux planificateurs en charge d'élaborer le plan.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Utilisateur</author>
  </authors>
  <commentList>
    <comment ref="B4" authorId="0" shapeId="0" xr:uid="{00000000-0006-0000-0400-000001000000}">
      <text>
        <r>
          <rPr>
            <sz val="10"/>
            <color rgb="FF000000"/>
            <rFont val="Helv"/>
          </rPr>
          <t>Parce que les services numériques peuvent être sources d’exclusion sociale, d’individualisation et d’obsolescence matérielle et logicielle, nous nous engageons à développer des offres de services accessibles pour tous, inclusives et durables.</t>
        </r>
      </text>
    </comment>
    <comment ref="D5" authorId="0" shapeId="0" xr:uid="{00000000-0006-0000-0400-000002000000}">
      <text>
        <r>
          <rPr>
            <sz val="10"/>
            <color rgb="FF000000"/>
            <rFont val="Helv"/>
          </rPr>
          <t xml:space="preserve">Préciser dans cette colonne les opportunités et les menaces (ou risques) qui pourraient être associés à chacune des cibles, pour la zone étudiée. Les opportunités et les menaces peuvent être liés à des spécificités nationales ou locales, à des pressions externes ou internes, à des contextes temporaires ou permanents. 
</t>
        </r>
        <r>
          <rPr>
            <sz val="10"/>
            <color rgb="FF000000"/>
            <rFont val="Helv"/>
          </rPr>
          <t xml:space="preserve">
</t>
        </r>
        <r>
          <rPr>
            <sz val="10"/>
            <color rgb="FF000000"/>
            <rFont val="Helv"/>
          </rPr>
          <t xml:space="preserve">Quelles sont les enjeux économiques, sociaux, culturels, environnementaux, etc. de l'organisation qui expliquent que l'atteinte de telle cible soit particulièrement importante, ou inversement. </t>
        </r>
      </text>
    </comment>
    <comment ref="E5" authorId="0" shapeId="0" xr:uid="{00000000-0006-0000-0400-000003000000}">
      <text>
        <r>
          <rPr>
            <sz val="10"/>
            <color rgb="FF000000"/>
            <rFont val="Helv"/>
          </rPr>
          <t xml:space="preserve">Notez ici l'importance du fait de ne pas atteindre cette cible à l'horizon décidé. Aurait-il des conséquences faibles, moyennes ou élevées pour l'organisation ?
</t>
        </r>
        <r>
          <rPr>
            <sz val="10"/>
            <color rgb="FF000000"/>
            <rFont val="Helv"/>
          </rPr>
          <t xml:space="preserve">
</t>
        </r>
        <r>
          <rPr>
            <sz val="10"/>
            <color rgb="FF000000"/>
            <rFont val="Helv"/>
          </rPr>
          <t xml:space="preserve">Les valeurs numérales de 0 à 3 sont utilisées pour déterminer l’importance de chaque cible.
</t>
        </r>
        <r>
          <rPr>
            <sz val="10"/>
            <color rgb="FF000000"/>
            <rFont val="Helv"/>
          </rPr>
          <t xml:space="preserve">
</t>
        </r>
        <r>
          <rPr>
            <sz val="10"/>
            <color rgb="FF000000"/>
            <rFont val="Helv"/>
          </rPr>
          <t xml:space="preserve">0 -  Cible non applicable pour l'organisation.
</t>
        </r>
        <r>
          <rPr>
            <sz val="10"/>
            <color rgb="FF000000"/>
            <rFont val="Helv"/>
          </rPr>
          <t xml:space="preserve">
</t>
        </r>
        <r>
          <rPr>
            <sz val="10"/>
            <color rgb="FF000000"/>
            <rFont val="Helv"/>
          </rPr>
          <t xml:space="preserve">1  - Cible dont l'atteinte est jugée peu importante pour l'organisation.
</t>
        </r>
        <r>
          <rPr>
            <sz val="10"/>
            <color rgb="FF000000"/>
            <rFont val="Helv"/>
          </rPr>
          <t xml:space="preserve">
</t>
        </r>
        <r>
          <rPr>
            <sz val="10"/>
            <color rgb="FF000000"/>
            <rFont val="Helv"/>
          </rPr>
          <t xml:space="preserve">2  - Cible dont l'atteinte est jugée importante pour l'organisation.
</t>
        </r>
        <r>
          <rPr>
            <sz val="10"/>
            <color rgb="FF000000"/>
            <rFont val="Helv"/>
          </rPr>
          <t xml:space="preserve">
</t>
        </r>
        <r>
          <rPr>
            <sz val="10"/>
            <color rgb="FF000000"/>
            <rFont val="Helv"/>
          </rPr>
          <t>3  - Cible dont l'atteinte est jugée très importante pour l'organisation.</t>
        </r>
      </text>
    </comment>
    <comment ref="F5" authorId="0" shapeId="0" xr:uid="{00000000-0006-0000-0400-000004000000}">
      <text>
        <r>
          <rPr>
            <sz val="10"/>
            <color rgb="FF000000"/>
            <rFont val="Helv"/>
          </rPr>
          <t xml:space="preserve">Notez ici le niveau de performance ACTUEL de l'organisation au regard des indicateurs de performance de chaque cible. Le niveau de performance est une valeur OBJECTIVE, basée sur l'état de situation RÉEL de l'organisation, au moment de l'évaluation.
</t>
        </r>
        <r>
          <rPr>
            <sz val="10"/>
            <color rgb="FF000000"/>
            <rFont val="Helv"/>
          </rPr>
          <t xml:space="preserve">
</t>
        </r>
        <r>
          <rPr>
            <sz val="10"/>
            <color rgb="FF000000"/>
            <rFont val="Helv"/>
          </rPr>
          <t xml:space="preserve">Les valeurs numérales de 1 à 4 sont utilisées pour déterminer le niveau de performance actuel.
</t>
        </r>
        <r>
          <rPr>
            <sz val="10"/>
            <color rgb="FF000000"/>
            <rFont val="Helv"/>
          </rPr>
          <t xml:space="preserve">
</t>
        </r>
        <r>
          <rPr>
            <sz val="10"/>
            <color rgb="FF000000"/>
            <rFont val="Helv"/>
          </rPr>
          <t xml:space="preserve">1 - Cette cible n'est pas du tout atteinte
</t>
        </r>
        <r>
          <rPr>
            <sz val="10"/>
            <color rgb="FF000000"/>
            <rFont val="Helv"/>
          </rPr>
          <t xml:space="preserve">La situation relative à cette cible est jugée critique, la situation est très inconfortable et il est nécessaire d'apporter rapidement des correctifs.
</t>
        </r>
        <r>
          <rPr>
            <sz val="10"/>
            <color rgb="FF000000"/>
            <rFont val="Helv"/>
          </rPr>
          <t xml:space="preserve">
</t>
        </r>
        <r>
          <rPr>
            <sz val="10"/>
            <color rgb="FF000000"/>
            <rFont val="Helv"/>
          </rPr>
          <t xml:space="preserve">2 - Cette cible est atteinte en partie
</t>
        </r>
        <r>
          <rPr>
            <sz val="10"/>
            <color rgb="FF000000"/>
            <rFont val="Helv"/>
          </rPr>
          <t xml:space="preserve">La situation relative à cette cible est jugée problématique, la situation est relativement inconfortable, il existe une grande marge d'amélioration, même si certains résultats sont visible sur le terrain.
</t>
        </r>
        <r>
          <rPr>
            <sz val="10"/>
            <color rgb="FF000000"/>
            <rFont val="Helv"/>
          </rPr>
          <t xml:space="preserve">
</t>
        </r>
        <r>
          <rPr>
            <sz val="10"/>
            <color rgb="FF000000"/>
            <rFont val="Helv"/>
          </rPr>
          <t xml:space="preserve">3 - Cette cible est en voie d'être atteinte
</t>
        </r>
        <r>
          <rPr>
            <sz val="10"/>
            <color rgb="FF000000"/>
            <rFont val="Helv"/>
          </rPr>
          <t xml:space="preserve">La situation relative à cette cible est jugée perfectible, la situation est confortable, sans être parfaite, des améliorations sont encore possibles.
</t>
        </r>
        <r>
          <rPr>
            <sz val="10"/>
            <color rgb="FF000000"/>
            <rFont val="Helv"/>
          </rPr>
          <t xml:space="preserve">
</t>
        </r>
        <r>
          <rPr>
            <sz val="10"/>
            <color rgb="FF000000"/>
            <rFont val="Helv"/>
          </rPr>
          <t xml:space="preserve">4 - Cette cible est atteinte
</t>
        </r>
        <r>
          <rPr>
            <sz val="10"/>
            <color rgb="FF000000"/>
            <rFont val="Helv"/>
          </rPr>
          <t>La situation relative à cette cible est jugée excellente, la situation actuelle est très confortable, l'organisation pouvant faire figure d'exemplarité.</t>
        </r>
      </text>
    </comment>
    <comment ref="G5" authorId="0" shapeId="0" xr:uid="{00000000-0006-0000-0400-000005000000}">
      <text>
        <r>
          <rPr>
            <sz val="10"/>
            <color rgb="FF000000"/>
            <rFont val="Helv"/>
          </rPr>
          <t xml:space="preserve">Inscrire dans cette colonne les actions et mesures qui ont déjà été planifiées ou mises en œuvre par l'organisation qui contribuent à l'atteinte de cette cible. 
</t>
        </r>
        <r>
          <rPr>
            <sz val="10"/>
            <color rgb="FF000000"/>
            <rFont val="Helv"/>
          </rPr>
          <t xml:space="preserve">
</t>
        </r>
        <r>
          <rPr>
            <sz val="10"/>
            <color rgb="FF000000"/>
            <rFont val="Helv"/>
          </rPr>
          <t xml:space="preserve">C'est en quelque sorte une justification du niveau de performance actuel, ou du niveau d'atteinte de la cible. Une cible atteinte devrait pouvoir s'expliquer par plusieurs éléments positifs déjà mis en œuvre.
</t>
        </r>
        <r>
          <rPr>
            <sz val="10"/>
            <color rgb="FF000000"/>
            <rFont val="Helv"/>
          </rPr>
          <t xml:space="preserve">
</t>
        </r>
        <r>
          <rPr>
            <sz val="10"/>
            <color rgb="FF000000"/>
            <rFont val="Helv"/>
          </rPr>
          <t xml:space="preserve">Utilisez l'ensemble des informations à votre dispositions pour documenter cette section. Précisez par exemple : 
</t>
        </r>
        <r>
          <rPr>
            <sz val="10"/>
            <color rgb="FF000000"/>
            <rFont val="Helv"/>
          </rPr>
          <t xml:space="preserve">
</t>
        </r>
        <r>
          <rPr>
            <sz val="10"/>
            <color rgb="FF000000"/>
            <rFont val="Helv"/>
          </rPr>
          <t xml:space="preserve">-L'inscription d'enjeux associés à la cible dans le ou les document de planification
</t>
        </r>
        <r>
          <rPr>
            <sz val="10"/>
            <color rgb="FF000000"/>
            <rFont val="Helv"/>
          </rPr>
          <t xml:space="preserve">-Les programmes et stratégies existants, avec les services responsables
</t>
        </r>
        <r>
          <rPr>
            <sz val="10"/>
            <color rgb="FF000000"/>
            <rFont val="Helv"/>
          </rPr>
          <t xml:space="preserve">-Les mesures, projets et actions mises en œuvre 
</t>
        </r>
        <r>
          <rPr>
            <sz val="10"/>
            <color rgb="FF000000"/>
            <rFont val="Helv"/>
          </rPr>
          <t xml:space="preserve">-Les partenaires actifs sur ces enjeux
</t>
        </r>
        <r>
          <rPr>
            <sz val="10"/>
            <color rgb="FF000000"/>
            <rFont val="Helv"/>
          </rPr>
          <t xml:space="preserve">-Les statistique et indicateurs de suivi pertinents
</t>
        </r>
        <r>
          <rPr>
            <sz val="10"/>
            <color rgb="FF000000"/>
            <rFont val="Helv"/>
          </rPr>
          <t xml:space="preserve">-Les financements disponibles
</t>
        </r>
      </text>
    </comment>
    <comment ref="I5" authorId="0" shapeId="0" xr:uid="{00000000-0006-0000-0400-000007000000}">
      <text>
        <r>
          <rPr>
            <sz val="10"/>
            <color rgb="FF000000"/>
            <rFont val="Helv"/>
          </rPr>
          <t xml:space="preserve">Inscrire dans cette colonne toutes les forces et les faiblesses de l'organisation en lien avec chaque cible. 
</t>
        </r>
        <r>
          <rPr>
            <sz val="10"/>
            <color rgb="FF000000"/>
            <rFont val="Helv"/>
          </rPr>
          <t xml:space="preserve">
</t>
        </r>
        <r>
          <rPr>
            <sz val="10"/>
            <color rgb="FF000000"/>
            <rFont val="Helv"/>
          </rPr>
          <t xml:space="preserve">Ces forces et faiblesses doivent référer aux capacités d'action réelles sur le terrain des acteurs.
</t>
        </r>
        <r>
          <rPr>
            <sz val="10"/>
            <color rgb="FF000000"/>
            <rFont val="Helv"/>
          </rPr>
          <t xml:space="preserve">
</t>
        </r>
        <r>
          <rPr>
            <sz val="10"/>
            <color rgb="FF000000"/>
            <rFont val="Helv"/>
          </rPr>
          <t xml:space="preserve">Précisez par exemple : 
</t>
        </r>
        <r>
          <rPr>
            <sz val="10"/>
            <color rgb="FF000000"/>
            <rFont val="Helv"/>
          </rPr>
          <t xml:space="preserve">- La nature des capacités;
</t>
        </r>
        <r>
          <rPr>
            <sz val="10"/>
            <color rgb="FF000000"/>
            <rFont val="Helv"/>
          </rPr>
          <t xml:space="preserve">- Les ressources humaines, financières et techniques disponibles;
</t>
        </r>
        <r>
          <rPr>
            <sz val="10"/>
            <color rgb="FF000000"/>
            <rFont val="Helv"/>
          </rPr>
          <t xml:space="preserve">- Les partenaires technique et financier qui peuvent agir sur la cible;
</t>
        </r>
        <r>
          <rPr>
            <sz val="10"/>
            <color rgb="FF000000"/>
            <rFont val="Helv"/>
          </rPr>
          <t>- etc.</t>
        </r>
      </text>
    </comment>
    <comment ref="J5" authorId="0" shapeId="0" xr:uid="{00000000-0006-0000-0400-000008000000}">
      <text>
        <r>
          <rPr>
            <sz val="11"/>
            <color rgb="FF000000"/>
            <rFont val="Tahoma"/>
            <family val="2"/>
          </rPr>
          <t xml:space="preserve">
</t>
        </r>
        <r>
          <rPr>
            <sz val="12"/>
            <color rgb="FF000000"/>
            <rFont val="Tahoma"/>
            <family val="2"/>
          </rPr>
          <t xml:space="preserve">Cette colonne se compile de manière automatique. 
</t>
        </r>
        <r>
          <rPr>
            <sz val="12"/>
            <color rgb="FF000000"/>
            <rFont val="Tahoma"/>
            <family val="2"/>
          </rPr>
          <t xml:space="preserve">
</t>
        </r>
        <r>
          <rPr>
            <sz val="12"/>
            <color rgb="FF000000"/>
            <rFont val="Tahoma"/>
            <family val="2"/>
          </rPr>
          <t xml:space="preserve">Le niveau de priorité de la cible est déterminée en fonction de ses niveau d'importance et de performance actuelle. 
</t>
        </r>
        <r>
          <rPr>
            <sz val="12"/>
            <color rgb="FF000000"/>
            <rFont val="Tahoma"/>
            <family val="2"/>
          </rPr>
          <t xml:space="preserve">
</t>
        </r>
        <r>
          <rPr>
            <sz val="12"/>
            <color rgb="FF000000"/>
            <rFont val="Tahoma"/>
            <family val="2"/>
          </rPr>
          <t xml:space="preserve">De façon générale, plus une cible est jugé importante et peu performante, plus elle sera jugée prioritaire. Il sera alors urgent d’agir et de mettre en œuvre des stratégies d'action pour cette cible. Inversement, pour les cibles moins importantes et déjà performantes, le niveau de priorité est moins élevé. 
</t>
        </r>
        <r>
          <rPr>
            <sz val="12"/>
            <color rgb="FF000000"/>
            <rFont val="Tahoma"/>
            <family val="2"/>
          </rPr>
          <t xml:space="preserve">
</t>
        </r>
        <r>
          <rPr>
            <sz val="12"/>
            <color rgb="FF000000"/>
            <rFont val="Tahoma"/>
            <family val="2"/>
          </rPr>
          <t xml:space="preserve">Le niveau de priorité est précisé automatiquement dans cette colonne, selon le tableau présenté dans l'onglet ''Résultats''.
</t>
        </r>
      </text>
    </comment>
    <comment ref="V5" authorId="0" shapeId="0" xr:uid="{00000000-0006-0000-0400-00000A000000}">
      <text>
        <r>
          <rPr>
            <sz val="10"/>
            <color rgb="FF000000"/>
            <rFont val="Helv"/>
          </rPr>
          <t xml:space="preserve">
</t>
        </r>
        <r>
          <rPr>
            <sz val="10"/>
            <color rgb="FF000000"/>
            <rFont val="Helv"/>
          </rPr>
          <t xml:space="preserve">Inscrivez ici les suggestions de stratégies d'actions pouvant contribuer à l'atteinte de la cible. Vous pouvez inclure des actions déjà planifiées, le cas échéant.
</t>
        </r>
        <r>
          <rPr>
            <sz val="10"/>
            <color rgb="FF000000"/>
            <rFont val="Helv"/>
          </rPr>
          <t xml:space="preserve">
</t>
        </r>
        <r>
          <rPr>
            <sz val="10"/>
            <color rgb="FF000000"/>
            <rFont val="Helv"/>
          </rPr>
          <t xml:space="preserve">Ces propositions peuvent être de nature stratégique (inscription dans la planification, dans une stratégie) ou pratique (mise en place de programmes ou de projets). 
</t>
        </r>
        <r>
          <rPr>
            <sz val="10"/>
            <color rgb="FF000000"/>
            <rFont val="Helv"/>
          </rPr>
          <t xml:space="preserve">
</t>
        </r>
        <r>
          <rPr>
            <sz val="10"/>
            <color rgb="FF000000"/>
            <rFont val="Helv"/>
          </rPr>
          <t xml:space="preserve">Elle peuvent être inspirées d'initiatives d'autres organisations, de partage de bonnes pratiques, de la littérature, d'expériences personnelles des analystes, etc. 
</t>
        </r>
        <r>
          <rPr>
            <sz val="10"/>
            <color rgb="FF000000"/>
            <rFont val="Helv"/>
          </rPr>
          <t xml:space="preserve">
</t>
        </r>
        <r>
          <rPr>
            <sz val="10"/>
            <color rgb="FF000000"/>
            <rFont val="Helv"/>
          </rPr>
          <t>Toutefois, les propositions devront par la suite faire l'objet d'un processus de priorisation. Les actions retenues devront faire l'objet d'une analyse de faisabilité et d'impacts. Il ne s'agit pas ici d'écrire le plan de développement, mais de donner des idées et pistes d'actions aux planificateurs en charge d'élaborer le plan.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Utilisateur</author>
  </authors>
  <commentList>
    <comment ref="B4" authorId="0" shapeId="0" xr:uid="{00000000-0006-0000-0500-000001000000}">
      <text>
        <r>
          <rPr>
            <sz val="10"/>
            <color rgb="FF000000"/>
            <rFont val="Helv"/>
          </rPr>
          <t>Parce que l’avenir des organisations passe par un usage du numérique transparent et rassurant pour tous, nous nous engageons pour des pratiques numériques éthiques et responsables.</t>
        </r>
      </text>
    </comment>
    <comment ref="D5" authorId="0" shapeId="0" xr:uid="{00000000-0006-0000-0500-000002000000}">
      <text>
        <r>
          <rPr>
            <sz val="10"/>
            <color rgb="FF000000"/>
            <rFont val="Helv"/>
          </rPr>
          <t xml:space="preserve">Préciser dans cette colonne les opportunités et les menaces (ou risques) qui pourraient être associés à chacune des cibles, pour la zone étudiée. Les opportunités et les menaces peuvent être liés à des spécificités nationales ou locales, à des pressions externes ou internes, à des contextes temporaires ou permanents. 
</t>
        </r>
        <r>
          <rPr>
            <sz val="10"/>
            <color rgb="FF000000"/>
            <rFont val="Helv"/>
          </rPr>
          <t xml:space="preserve">
</t>
        </r>
        <r>
          <rPr>
            <sz val="10"/>
            <color rgb="FF000000"/>
            <rFont val="Helv"/>
          </rPr>
          <t xml:space="preserve">Quelles sont les enjeux économiques, sociaux, culturels, environnementaux, etc. de l'organisation qui expliquent que l'atteinte de telle cible soit particulièrement importante, ou inversement. </t>
        </r>
      </text>
    </comment>
    <comment ref="E5" authorId="0" shapeId="0" xr:uid="{00000000-0006-0000-0500-000003000000}">
      <text>
        <r>
          <rPr>
            <sz val="10"/>
            <color rgb="FF000000"/>
            <rFont val="Helv"/>
          </rPr>
          <t xml:space="preserve">Notez ici l'importance du fait de ne pas atteindre cette cible à l'horizon décidé. Aurait-il des conséquences faibles, moyennes ou élevées pour l'organisation ?
</t>
        </r>
        <r>
          <rPr>
            <sz val="10"/>
            <color rgb="FF000000"/>
            <rFont val="Helv"/>
          </rPr>
          <t xml:space="preserve">
</t>
        </r>
        <r>
          <rPr>
            <sz val="10"/>
            <color rgb="FF000000"/>
            <rFont val="Helv"/>
          </rPr>
          <t xml:space="preserve">Les valeurs numérales de 0 à 3 sont utilisées pour déterminer l’importance de chaque cible.
</t>
        </r>
        <r>
          <rPr>
            <sz val="10"/>
            <color rgb="FF000000"/>
            <rFont val="Helv"/>
          </rPr>
          <t xml:space="preserve">
</t>
        </r>
        <r>
          <rPr>
            <sz val="10"/>
            <color rgb="FF000000"/>
            <rFont val="Helv"/>
          </rPr>
          <t xml:space="preserve">0 -  Cible non applicable pour l'organisation.
</t>
        </r>
        <r>
          <rPr>
            <sz val="10"/>
            <color rgb="FF000000"/>
            <rFont val="Helv"/>
          </rPr>
          <t xml:space="preserve">
</t>
        </r>
        <r>
          <rPr>
            <sz val="10"/>
            <color rgb="FF000000"/>
            <rFont val="Helv"/>
          </rPr>
          <t xml:space="preserve">1  - Cible dont l'atteinte est jugée peu importante pour l'organisation.
</t>
        </r>
        <r>
          <rPr>
            <sz val="10"/>
            <color rgb="FF000000"/>
            <rFont val="Helv"/>
          </rPr>
          <t xml:space="preserve">
</t>
        </r>
        <r>
          <rPr>
            <sz val="10"/>
            <color rgb="FF000000"/>
            <rFont val="Helv"/>
          </rPr>
          <t xml:space="preserve">2  - Cible dont l'atteinte est jugée importante pour l'organisation.
</t>
        </r>
        <r>
          <rPr>
            <sz val="10"/>
            <color rgb="FF000000"/>
            <rFont val="Helv"/>
          </rPr>
          <t xml:space="preserve">
</t>
        </r>
        <r>
          <rPr>
            <sz val="10"/>
            <color rgb="FF000000"/>
            <rFont val="Helv"/>
          </rPr>
          <t>3  - Cible dont l'atteinte est jugée très importante pour l'organisation.</t>
        </r>
      </text>
    </comment>
    <comment ref="F5" authorId="0" shapeId="0" xr:uid="{00000000-0006-0000-0500-000004000000}">
      <text>
        <r>
          <rPr>
            <sz val="10"/>
            <color rgb="FF000000"/>
            <rFont val="Helv"/>
          </rPr>
          <t xml:space="preserve">Notez ici le niveau de performance ACTUEL de l'organisation au regard des indicateurs de performance de chaque cible. Le niveau de performance est une valeur OBJECTIVE, basée sur l'état de situation RÉEL de l'organisation, au moment de l'évaluation.
</t>
        </r>
        <r>
          <rPr>
            <sz val="10"/>
            <color rgb="FF000000"/>
            <rFont val="Helv"/>
          </rPr>
          <t xml:space="preserve">
</t>
        </r>
        <r>
          <rPr>
            <sz val="10"/>
            <color rgb="FF000000"/>
            <rFont val="Helv"/>
          </rPr>
          <t xml:space="preserve">Les valeurs numérales de 1 à 4 sont utilisées pour déterminer le niveau de performance actuel.
</t>
        </r>
        <r>
          <rPr>
            <sz val="10"/>
            <color rgb="FF000000"/>
            <rFont val="Helv"/>
          </rPr>
          <t xml:space="preserve">
</t>
        </r>
        <r>
          <rPr>
            <sz val="10"/>
            <color rgb="FF000000"/>
            <rFont val="Helv"/>
          </rPr>
          <t xml:space="preserve">1 - Cette cible n'est pas du tout atteinte
</t>
        </r>
        <r>
          <rPr>
            <sz val="10"/>
            <color rgb="FF000000"/>
            <rFont val="Helv"/>
          </rPr>
          <t xml:space="preserve">La situation relative à cette cible est jugée critique, la situation est très inconfortable et il est nécessaire d'apporter rapidement des correctifs.
</t>
        </r>
        <r>
          <rPr>
            <sz val="10"/>
            <color rgb="FF000000"/>
            <rFont val="Helv"/>
          </rPr>
          <t xml:space="preserve">
</t>
        </r>
        <r>
          <rPr>
            <sz val="10"/>
            <color rgb="FF000000"/>
            <rFont val="Helv"/>
          </rPr>
          <t xml:space="preserve">2 - Cette cible est atteinte en partie
</t>
        </r>
        <r>
          <rPr>
            <sz val="10"/>
            <color rgb="FF000000"/>
            <rFont val="Helv"/>
          </rPr>
          <t xml:space="preserve">La situation relative à cette cible est jugée problématique, la situation est relativement inconfortable, il existe une grande marge d'amélioration, même si certains résultats sont visible sur le terrain.
</t>
        </r>
        <r>
          <rPr>
            <sz val="10"/>
            <color rgb="FF000000"/>
            <rFont val="Helv"/>
          </rPr>
          <t xml:space="preserve">
</t>
        </r>
        <r>
          <rPr>
            <sz val="10"/>
            <color rgb="FF000000"/>
            <rFont val="Helv"/>
          </rPr>
          <t xml:space="preserve">3 - Cette cible est en voie d'être atteinte
</t>
        </r>
        <r>
          <rPr>
            <sz val="10"/>
            <color rgb="FF000000"/>
            <rFont val="Helv"/>
          </rPr>
          <t xml:space="preserve">La situation relative à cette cible est jugée perfectible, la situation est confortable, sans être parfaite, des améliorations sont encore possibles.
</t>
        </r>
        <r>
          <rPr>
            <sz val="10"/>
            <color rgb="FF000000"/>
            <rFont val="Helv"/>
          </rPr>
          <t xml:space="preserve">
</t>
        </r>
        <r>
          <rPr>
            <sz val="10"/>
            <color rgb="FF000000"/>
            <rFont val="Helv"/>
          </rPr>
          <t xml:space="preserve">4 - Cette cible est atteinte
</t>
        </r>
        <r>
          <rPr>
            <sz val="10"/>
            <color rgb="FF000000"/>
            <rFont val="Helv"/>
          </rPr>
          <t>La situation relative à cette cible est jugée excellente, la situation actuelle est très confortable, l'organisation pouvant faire figure d'exemplarité.</t>
        </r>
      </text>
    </comment>
    <comment ref="G5" authorId="0" shapeId="0" xr:uid="{00000000-0006-0000-0500-000005000000}">
      <text>
        <r>
          <rPr>
            <sz val="10"/>
            <color rgb="FF000000"/>
            <rFont val="Helv"/>
          </rPr>
          <t xml:space="preserve">Inscrire dans cette colonne les actions et mesures qui ont déjà été planifiées ou mises en œuvre par l'organisation qui contribuent à l'atteinte de cette cible. 
</t>
        </r>
        <r>
          <rPr>
            <sz val="10"/>
            <color rgb="FF000000"/>
            <rFont val="Helv"/>
          </rPr>
          <t xml:space="preserve">
</t>
        </r>
        <r>
          <rPr>
            <sz val="10"/>
            <color rgb="FF000000"/>
            <rFont val="Helv"/>
          </rPr>
          <t xml:space="preserve">C'est en quelque sorte une justification du niveau de performance actuel, ou du niveau d'atteinte de la cible. Une cible atteinte devrait pouvoir s'expliquer par plusieurs éléments positifs déjà mis en œuvre.
</t>
        </r>
        <r>
          <rPr>
            <sz val="10"/>
            <color rgb="FF000000"/>
            <rFont val="Helv"/>
          </rPr>
          <t xml:space="preserve">
</t>
        </r>
        <r>
          <rPr>
            <sz val="10"/>
            <color rgb="FF000000"/>
            <rFont val="Helv"/>
          </rPr>
          <t xml:space="preserve">Utilisez l'ensemble des informations à votre dispositions pour documenter cette section. Précisez par exemple : 
</t>
        </r>
        <r>
          <rPr>
            <sz val="10"/>
            <color rgb="FF000000"/>
            <rFont val="Helv"/>
          </rPr>
          <t xml:space="preserve">
</t>
        </r>
        <r>
          <rPr>
            <sz val="10"/>
            <color rgb="FF000000"/>
            <rFont val="Helv"/>
          </rPr>
          <t xml:space="preserve">-L'inscription d'enjeux associés à la cible dans le ou les document de planification
</t>
        </r>
        <r>
          <rPr>
            <sz val="10"/>
            <color rgb="FF000000"/>
            <rFont val="Helv"/>
          </rPr>
          <t xml:space="preserve">-Les programmes et stratégies existants, avec les services responsables
</t>
        </r>
        <r>
          <rPr>
            <sz val="10"/>
            <color rgb="FF000000"/>
            <rFont val="Helv"/>
          </rPr>
          <t xml:space="preserve">-Les mesures, projets et actions mises en œuvre 
</t>
        </r>
        <r>
          <rPr>
            <sz val="10"/>
            <color rgb="FF000000"/>
            <rFont val="Helv"/>
          </rPr>
          <t xml:space="preserve">-Les partenaires actifs sur ces enjeux
</t>
        </r>
        <r>
          <rPr>
            <sz val="10"/>
            <color rgb="FF000000"/>
            <rFont val="Helv"/>
          </rPr>
          <t xml:space="preserve">-Les statistique et indicateurs de suivi pertinents
</t>
        </r>
        <r>
          <rPr>
            <sz val="10"/>
            <color rgb="FF000000"/>
            <rFont val="Helv"/>
          </rPr>
          <t xml:space="preserve">-Les financements disponibles
</t>
        </r>
      </text>
    </comment>
    <comment ref="I5" authorId="0" shapeId="0" xr:uid="{00000000-0006-0000-0500-000007000000}">
      <text>
        <r>
          <rPr>
            <sz val="10"/>
            <color rgb="FF000000"/>
            <rFont val="Helv"/>
          </rPr>
          <t xml:space="preserve">Inscrire dans cette colonne toutes les forces et les faiblesses de l'organisation en lien avec chaque cible. 
</t>
        </r>
        <r>
          <rPr>
            <sz val="10"/>
            <color rgb="FF000000"/>
            <rFont val="Helv"/>
          </rPr>
          <t xml:space="preserve">
</t>
        </r>
        <r>
          <rPr>
            <sz val="10"/>
            <color rgb="FF000000"/>
            <rFont val="Helv"/>
          </rPr>
          <t xml:space="preserve">Ces forces et faiblesses doivent référer aux capacités d'action réelles sur le terrain des acteurs.
</t>
        </r>
        <r>
          <rPr>
            <sz val="10"/>
            <color rgb="FF000000"/>
            <rFont val="Helv"/>
          </rPr>
          <t xml:space="preserve">
</t>
        </r>
        <r>
          <rPr>
            <sz val="10"/>
            <color rgb="FF000000"/>
            <rFont val="Helv"/>
          </rPr>
          <t xml:space="preserve">Précisez par exemple : 
</t>
        </r>
        <r>
          <rPr>
            <sz val="10"/>
            <color rgb="FF000000"/>
            <rFont val="Helv"/>
          </rPr>
          <t xml:space="preserve">- La nature des capacités;
</t>
        </r>
        <r>
          <rPr>
            <sz val="10"/>
            <color rgb="FF000000"/>
            <rFont val="Helv"/>
          </rPr>
          <t xml:space="preserve">- Les ressources humaines, financières et techniques disponibles;
</t>
        </r>
        <r>
          <rPr>
            <sz val="10"/>
            <color rgb="FF000000"/>
            <rFont val="Helv"/>
          </rPr>
          <t xml:space="preserve">- Les partenaires technique et financier qui peuvent agir sur la cible;
</t>
        </r>
        <r>
          <rPr>
            <sz val="10"/>
            <color rgb="FF000000"/>
            <rFont val="Helv"/>
          </rPr>
          <t>- etc.</t>
        </r>
      </text>
    </comment>
    <comment ref="J5" authorId="0" shapeId="0" xr:uid="{00000000-0006-0000-0500-000008000000}">
      <text>
        <r>
          <rPr>
            <sz val="11"/>
            <color rgb="FF000000"/>
            <rFont val="Tahoma"/>
            <family val="2"/>
          </rPr>
          <t xml:space="preserve">
</t>
        </r>
        <r>
          <rPr>
            <sz val="12"/>
            <color rgb="FF000000"/>
            <rFont val="Tahoma"/>
            <family val="2"/>
          </rPr>
          <t xml:space="preserve">Cette colonne se compile de manière automatique. 
</t>
        </r>
        <r>
          <rPr>
            <sz val="12"/>
            <color rgb="FF000000"/>
            <rFont val="Tahoma"/>
            <family val="2"/>
          </rPr>
          <t xml:space="preserve">
</t>
        </r>
        <r>
          <rPr>
            <sz val="12"/>
            <color rgb="FF000000"/>
            <rFont val="Tahoma"/>
            <family val="2"/>
          </rPr>
          <t xml:space="preserve">Le niveau de priorité de la cible est déterminée en fonction de ses niveau d'importance et de performance actuelle. 
</t>
        </r>
        <r>
          <rPr>
            <sz val="12"/>
            <color rgb="FF000000"/>
            <rFont val="Tahoma"/>
            <family val="2"/>
          </rPr>
          <t xml:space="preserve">
</t>
        </r>
        <r>
          <rPr>
            <sz val="12"/>
            <color rgb="FF000000"/>
            <rFont val="Tahoma"/>
            <family val="2"/>
          </rPr>
          <t xml:space="preserve">De façon générale, plus une cible est jugé importante et peu performante, plus elle sera jugée prioritaire. Il sera alors urgent d’agir et de mettre en œuvre des stratégies d'action pour cette cible. Inversement, pour les cibles moins importantes et déjà performantes, le niveau de priorité est moins élevé. 
</t>
        </r>
        <r>
          <rPr>
            <sz val="12"/>
            <color rgb="FF000000"/>
            <rFont val="Tahoma"/>
            <family val="2"/>
          </rPr>
          <t xml:space="preserve">
</t>
        </r>
        <r>
          <rPr>
            <sz val="12"/>
            <color rgb="FF000000"/>
            <rFont val="Tahoma"/>
            <family val="2"/>
          </rPr>
          <t xml:space="preserve">Le niveau de priorité est précisé automatiquement dans cette colonne, selon le tableau présenté dans l'onglet ''Résultats''.
</t>
        </r>
      </text>
    </comment>
    <comment ref="V5" authorId="0" shapeId="0" xr:uid="{00000000-0006-0000-0500-00000A000000}">
      <text>
        <r>
          <rPr>
            <sz val="10"/>
            <color rgb="FF000000"/>
            <rFont val="Helv"/>
          </rPr>
          <t xml:space="preserve">
</t>
        </r>
        <r>
          <rPr>
            <sz val="10"/>
            <color rgb="FF000000"/>
            <rFont val="Helv"/>
          </rPr>
          <t xml:space="preserve">Inscrivez ici les suggestions de stratégies d'actions pouvant contribuer à l'atteinte de la cible. Vous pouvez inclure des actions déjà planifiées, le cas échéant.
</t>
        </r>
        <r>
          <rPr>
            <sz val="10"/>
            <color rgb="FF000000"/>
            <rFont val="Helv"/>
          </rPr>
          <t xml:space="preserve">
</t>
        </r>
        <r>
          <rPr>
            <sz val="10"/>
            <color rgb="FF000000"/>
            <rFont val="Helv"/>
          </rPr>
          <t xml:space="preserve">Ces propositions peuvent être de nature stratégique (inscription dans la planification, dans une stratégie) ou pratique (mise en place de programmes ou de projets). 
</t>
        </r>
        <r>
          <rPr>
            <sz val="10"/>
            <color rgb="FF000000"/>
            <rFont val="Helv"/>
          </rPr>
          <t xml:space="preserve">
</t>
        </r>
        <r>
          <rPr>
            <sz val="10"/>
            <color rgb="FF000000"/>
            <rFont val="Helv"/>
          </rPr>
          <t xml:space="preserve">Elle peuvent être inspirées d'initiatives d'autres organisations, de partage de bonnes pratiques, de la littérature, d'expériences personnelles des analystes, etc. 
</t>
        </r>
        <r>
          <rPr>
            <sz val="10"/>
            <color rgb="FF000000"/>
            <rFont val="Helv"/>
          </rPr>
          <t xml:space="preserve">
</t>
        </r>
        <r>
          <rPr>
            <sz val="10"/>
            <color rgb="FF000000"/>
            <rFont val="Helv"/>
          </rPr>
          <t xml:space="preserve">Toutefois, les propositions devront par la suite faire l'objet d'un processus de priorisation. Les actions retenues devront faire l'objet d'une analyse de faisabilité et d'impacts. Il ne s'agit pas ici d'écrire le plan de développement, mais de donner des idées et pistes d'actions aux planificateurs en charge d'élaborer le plan.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Utilisateur</author>
  </authors>
  <commentList>
    <comment ref="B4" authorId="0" shapeId="0" xr:uid="{00000000-0006-0000-0600-000001000000}">
      <text>
        <r>
          <rPr>
            <sz val="10"/>
            <color rgb="FF000000"/>
            <rFont val="Helv"/>
          </rPr>
          <t>Parce que la transition vers un numérique responsable est indispensable pour assurer la résilience des organisations, nous nous engageons à rendre le numérique mesurable, transparent et lisible.</t>
        </r>
      </text>
    </comment>
    <comment ref="D5" authorId="0" shapeId="0" xr:uid="{96A93CF3-4A38-9743-BB7D-4D89C8637515}">
      <text>
        <r>
          <rPr>
            <sz val="10"/>
            <color rgb="FF000000"/>
            <rFont val="Helv"/>
          </rPr>
          <t xml:space="preserve">Préciser dans cette colonne les opportunités et les menaces (ou risques) qui pourraient être associés à chacune des cibles, pour la zone étudiée. Les opportunités et les menaces peuvent être liés à des spécificités nationales ou locales, à des pressions externes ou internes, à des contextes temporaires ou permanents. 
</t>
        </r>
        <r>
          <rPr>
            <sz val="10"/>
            <color rgb="FF000000"/>
            <rFont val="Helv"/>
          </rPr>
          <t xml:space="preserve">
</t>
        </r>
        <r>
          <rPr>
            <sz val="10"/>
            <color rgb="FF000000"/>
            <rFont val="Helv"/>
          </rPr>
          <t xml:space="preserve">Quelles sont les enjeux économiques, sociaux, culturels, environnementaux, etc. de l'organisation qui expliquent que l'atteinte de telle cible soit particulièrement importante, ou inversement. </t>
        </r>
      </text>
    </comment>
    <comment ref="E5" authorId="0" shapeId="0" xr:uid="{988E1C45-7988-DB49-85E0-84F3DA705D86}">
      <text>
        <r>
          <rPr>
            <sz val="10"/>
            <color rgb="FF000000"/>
            <rFont val="Helv"/>
          </rPr>
          <t xml:space="preserve">Notez ici l'importance du fait de ne pas atteindre cette cible à l'horizon décidé. Aurait-il des conséquences faibles, moyennes ou élevées pour l'organisation ?
</t>
        </r>
        <r>
          <rPr>
            <sz val="10"/>
            <color rgb="FF000000"/>
            <rFont val="Helv"/>
          </rPr>
          <t xml:space="preserve">
</t>
        </r>
        <r>
          <rPr>
            <sz val="10"/>
            <color rgb="FF000000"/>
            <rFont val="Helv"/>
          </rPr>
          <t xml:space="preserve">Les valeurs numérales de 0 à 3 sont utilisées pour déterminer l’importance de chaque cible.
</t>
        </r>
        <r>
          <rPr>
            <sz val="10"/>
            <color rgb="FF000000"/>
            <rFont val="Helv"/>
          </rPr>
          <t xml:space="preserve">
</t>
        </r>
        <r>
          <rPr>
            <sz val="10"/>
            <color rgb="FF000000"/>
            <rFont val="Helv"/>
          </rPr>
          <t xml:space="preserve">0 -  Cible non applicable pour l'organisation.
</t>
        </r>
        <r>
          <rPr>
            <sz val="10"/>
            <color rgb="FF000000"/>
            <rFont val="Helv"/>
          </rPr>
          <t xml:space="preserve">
</t>
        </r>
        <r>
          <rPr>
            <sz val="10"/>
            <color rgb="FF000000"/>
            <rFont val="Helv"/>
          </rPr>
          <t xml:space="preserve">1  - Cible dont l'atteinte est jugée peu importante pour l'organisation.
</t>
        </r>
        <r>
          <rPr>
            <sz val="10"/>
            <color rgb="FF000000"/>
            <rFont val="Helv"/>
          </rPr>
          <t xml:space="preserve">
</t>
        </r>
        <r>
          <rPr>
            <sz val="10"/>
            <color rgb="FF000000"/>
            <rFont val="Helv"/>
          </rPr>
          <t xml:space="preserve">2  - Cible dont l'atteinte est jugée importante pour l'organisation.
</t>
        </r>
        <r>
          <rPr>
            <sz val="10"/>
            <color rgb="FF000000"/>
            <rFont val="Helv"/>
          </rPr>
          <t xml:space="preserve">
</t>
        </r>
        <r>
          <rPr>
            <sz val="10"/>
            <color rgb="FF000000"/>
            <rFont val="Helv"/>
          </rPr>
          <t>3  - Cible dont l'atteinte est jugée très importante pour l'organisation.</t>
        </r>
      </text>
    </comment>
    <comment ref="F5" authorId="0" shapeId="0" xr:uid="{6EFAD041-22B7-C04F-9E51-652EBA0E8A16}">
      <text>
        <r>
          <rPr>
            <sz val="10"/>
            <color rgb="FF000000"/>
            <rFont val="Helv"/>
          </rPr>
          <t xml:space="preserve">Notez ici le niveau de performance ACTUEL de l'organisation au regard des indicateurs de performance de chaque cible. Le niveau de performance est une valeur OBJECTIVE, basée sur l'état de situation RÉEL de l'organisation, au moment de l'évaluation.
</t>
        </r>
        <r>
          <rPr>
            <sz val="10"/>
            <color rgb="FF000000"/>
            <rFont val="Helv"/>
          </rPr>
          <t xml:space="preserve">
</t>
        </r>
        <r>
          <rPr>
            <sz val="10"/>
            <color rgb="FF000000"/>
            <rFont val="Helv"/>
          </rPr>
          <t xml:space="preserve">Les valeurs numérales de 1 à 4 sont utilisées pour déterminer le niveau de performance actuel.
</t>
        </r>
        <r>
          <rPr>
            <sz val="10"/>
            <color rgb="FF000000"/>
            <rFont val="Helv"/>
          </rPr>
          <t xml:space="preserve">
</t>
        </r>
        <r>
          <rPr>
            <sz val="10"/>
            <color rgb="FF000000"/>
            <rFont val="Helv"/>
          </rPr>
          <t xml:space="preserve">1 - Cette cible n'est pas du tout atteinte
</t>
        </r>
        <r>
          <rPr>
            <sz val="10"/>
            <color rgb="FF000000"/>
            <rFont val="Helv"/>
          </rPr>
          <t xml:space="preserve">La situation relative à cette cible est jugée critique, la situation est très inconfortable et il est nécessaire d'apporter rapidement des correctifs.
</t>
        </r>
        <r>
          <rPr>
            <sz val="10"/>
            <color rgb="FF000000"/>
            <rFont val="Helv"/>
          </rPr>
          <t xml:space="preserve">
</t>
        </r>
        <r>
          <rPr>
            <sz val="10"/>
            <color rgb="FF000000"/>
            <rFont val="Helv"/>
          </rPr>
          <t xml:space="preserve">2 - Cette cible est atteinte en partie
</t>
        </r>
        <r>
          <rPr>
            <sz val="10"/>
            <color rgb="FF000000"/>
            <rFont val="Helv"/>
          </rPr>
          <t xml:space="preserve">La situation relative à cette cible est jugée problématique, la situation est relativement inconfortable, il existe une grande marge d'amélioration, même si certains résultats sont visible sur le terrain.
</t>
        </r>
        <r>
          <rPr>
            <sz val="10"/>
            <color rgb="FF000000"/>
            <rFont val="Helv"/>
          </rPr>
          <t xml:space="preserve">
</t>
        </r>
        <r>
          <rPr>
            <sz val="10"/>
            <color rgb="FF000000"/>
            <rFont val="Helv"/>
          </rPr>
          <t xml:space="preserve">3 - Cette cible est en voie d'être atteinte
</t>
        </r>
        <r>
          <rPr>
            <sz val="10"/>
            <color rgb="FF000000"/>
            <rFont val="Helv"/>
          </rPr>
          <t xml:space="preserve">La situation relative à cette cible est jugée perfectible, la situation est confortable, sans être parfaite, des améliorations sont encore possibles.
</t>
        </r>
        <r>
          <rPr>
            <sz val="10"/>
            <color rgb="FF000000"/>
            <rFont val="Helv"/>
          </rPr>
          <t xml:space="preserve">
</t>
        </r>
        <r>
          <rPr>
            <sz val="10"/>
            <color rgb="FF000000"/>
            <rFont val="Helv"/>
          </rPr>
          <t xml:space="preserve">4 - Cette cible est atteinte
</t>
        </r>
        <r>
          <rPr>
            <sz val="10"/>
            <color rgb="FF000000"/>
            <rFont val="Helv"/>
          </rPr>
          <t>La situation relative à cette cible est jugée excellente, la situation actuelle est très confortable, l'organisation pouvant faire figure d'exemplarité.</t>
        </r>
      </text>
    </comment>
    <comment ref="G5" authorId="0" shapeId="0" xr:uid="{BD753896-2A33-C44A-9474-6ED31D82EDF1}">
      <text>
        <r>
          <rPr>
            <sz val="10"/>
            <color rgb="FF000000"/>
            <rFont val="Helv"/>
          </rPr>
          <t xml:space="preserve">Inscrire dans cette colonne les actions et mesures qui ont déjà été planifiées ou mises en œuvre par l'organisation qui contribuent à l'atteinte de cette cible. 
</t>
        </r>
        <r>
          <rPr>
            <sz val="10"/>
            <color rgb="FF000000"/>
            <rFont val="Helv"/>
          </rPr>
          <t xml:space="preserve">
</t>
        </r>
        <r>
          <rPr>
            <sz val="10"/>
            <color rgb="FF000000"/>
            <rFont val="Helv"/>
          </rPr>
          <t xml:space="preserve">C'est en quelque sorte une justification du niveau de performance actuel, ou du niveau d'atteinte de la cible. Une cible atteinte devrait pouvoir s'expliquer par plusieurs éléments positifs déjà mis en œuvre.
</t>
        </r>
        <r>
          <rPr>
            <sz val="10"/>
            <color rgb="FF000000"/>
            <rFont val="Helv"/>
          </rPr>
          <t xml:space="preserve">
</t>
        </r>
        <r>
          <rPr>
            <sz val="10"/>
            <color rgb="FF000000"/>
            <rFont val="Helv"/>
          </rPr>
          <t xml:space="preserve">Utilisez l'ensemble des informations à votre dispositions pour documenter cette section. Précisez par exemple : 
</t>
        </r>
        <r>
          <rPr>
            <sz val="10"/>
            <color rgb="FF000000"/>
            <rFont val="Helv"/>
          </rPr>
          <t xml:space="preserve">
</t>
        </r>
        <r>
          <rPr>
            <sz val="10"/>
            <color rgb="FF000000"/>
            <rFont val="Helv"/>
          </rPr>
          <t xml:space="preserve">-L'inscription d'enjeux associés à la cible dans le ou les document de planification
</t>
        </r>
        <r>
          <rPr>
            <sz val="10"/>
            <color rgb="FF000000"/>
            <rFont val="Helv"/>
          </rPr>
          <t xml:space="preserve">-Les programmes et stratégies existants, avec les services responsables
</t>
        </r>
        <r>
          <rPr>
            <sz val="10"/>
            <color rgb="FF000000"/>
            <rFont val="Helv"/>
          </rPr>
          <t xml:space="preserve">-Les mesures, projets et actions mises en œuvre 
</t>
        </r>
        <r>
          <rPr>
            <sz val="10"/>
            <color rgb="FF000000"/>
            <rFont val="Helv"/>
          </rPr>
          <t xml:space="preserve">-Les partenaires actifs sur ces enjeux
</t>
        </r>
        <r>
          <rPr>
            <sz val="10"/>
            <color rgb="FF000000"/>
            <rFont val="Helv"/>
          </rPr>
          <t xml:space="preserve">-Les statistique et indicateurs de suivi pertinents
</t>
        </r>
        <r>
          <rPr>
            <sz val="10"/>
            <color rgb="FF000000"/>
            <rFont val="Helv"/>
          </rPr>
          <t xml:space="preserve">-Les financements disponibles
</t>
        </r>
      </text>
    </comment>
    <comment ref="H5" authorId="0" shapeId="0" xr:uid="{A0B61C8E-D016-114B-919D-21D504540378}">
      <text>
        <r>
          <rPr>
            <sz val="10"/>
            <color rgb="FF000000"/>
            <rFont val="Helv"/>
          </rPr>
          <t xml:space="preserve">Notez ici le niveau estimé de compétence ou de responsabilité, dont dispose les équipes pour agir sur chacune des cibles. 
</t>
        </r>
        <r>
          <rPr>
            <sz val="10"/>
            <color rgb="FF000000"/>
            <rFont val="Helv"/>
          </rPr>
          <t xml:space="preserve">
</t>
        </r>
        <r>
          <rPr>
            <sz val="10"/>
            <color rgb="FF000000"/>
            <rFont val="Helv"/>
          </rPr>
          <t xml:space="preserve">Il s'agit de déterminer à quelle échelle de gouvernance sont attribuées les pouvoirs et responsabilités relatives à chaque cible.
</t>
        </r>
        <r>
          <rPr>
            <sz val="10"/>
            <color rgb="FF000000"/>
            <rFont val="Helv"/>
          </rPr>
          <t xml:space="preserve">
</t>
        </r>
        <r>
          <rPr>
            <sz val="10"/>
            <color rgb="FF000000"/>
            <rFont val="Helv"/>
          </rPr>
          <t xml:space="preserve">Les valeurs numérales de 1 à 4 sont utilisées pour déterminer le niveau de compétence.
</t>
        </r>
        <r>
          <rPr>
            <sz val="10"/>
            <color rgb="FF000000"/>
            <rFont val="Helv"/>
          </rPr>
          <t xml:space="preserve">
</t>
        </r>
        <r>
          <rPr>
            <sz val="10"/>
            <color rgb="FF000000"/>
            <rFont val="Helv"/>
          </rPr>
          <t xml:space="preserve">1 - Compétence exclusive à l'équipe NR
</t>
        </r>
        <r>
          <rPr>
            <sz val="10"/>
            <color rgb="FF000000"/>
            <rFont val="Helv"/>
          </rPr>
          <t xml:space="preserve">
</t>
        </r>
        <r>
          <rPr>
            <sz val="10"/>
            <color rgb="FF000000"/>
            <rFont val="Helv"/>
          </rPr>
          <t xml:space="preserve">2 - Compétence partagée entre l'équipe NR et la DSI.
</t>
        </r>
        <r>
          <rPr>
            <sz val="10"/>
            <color rgb="FF000000"/>
            <rFont val="Helv"/>
          </rPr>
          <t xml:space="preserve">
</t>
        </r>
        <r>
          <rPr>
            <sz val="10"/>
            <color rgb="FF000000"/>
            <rFont val="Helv"/>
          </rPr>
          <t xml:space="preserve">3 - Compétence de l'organisation entière.
</t>
        </r>
        <r>
          <rPr>
            <sz val="10"/>
            <color rgb="FF000000"/>
            <rFont val="Helv"/>
          </rPr>
          <t xml:space="preserve">
</t>
        </r>
        <r>
          <rPr>
            <sz val="10"/>
            <color rgb="FF000000"/>
            <rFont val="Helv"/>
          </rPr>
          <t>4 - Compétence nécessitant l'intervention de personne extérieure à l'organisation.</t>
        </r>
      </text>
    </comment>
    <comment ref="I5" authorId="0" shapeId="0" xr:uid="{81F53470-33EE-0B43-93A9-4C132E04A690}">
      <text>
        <r>
          <rPr>
            <sz val="10"/>
            <color rgb="FF000000"/>
            <rFont val="Helv"/>
          </rPr>
          <t xml:space="preserve">Inscrire dans cette colonne toutes les forces et les faiblesses de l'organisation en lien avec chaque cible. 
</t>
        </r>
        <r>
          <rPr>
            <sz val="10"/>
            <color rgb="FF000000"/>
            <rFont val="Helv"/>
          </rPr>
          <t xml:space="preserve">
</t>
        </r>
        <r>
          <rPr>
            <sz val="10"/>
            <color rgb="FF000000"/>
            <rFont val="Helv"/>
          </rPr>
          <t xml:space="preserve">Ces forces et faiblesses doivent référer aux capacités d'action réelles sur le terrain des acteurs.
</t>
        </r>
        <r>
          <rPr>
            <sz val="10"/>
            <color rgb="FF000000"/>
            <rFont val="Helv"/>
          </rPr>
          <t xml:space="preserve">
</t>
        </r>
        <r>
          <rPr>
            <sz val="10"/>
            <color rgb="FF000000"/>
            <rFont val="Helv"/>
          </rPr>
          <t xml:space="preserve">Précisez par exemple : 
</t>
        </r>
        <r>
          <rPr>
            <sz val="10"/>
            <color rgb="FF000000"/>
            <rFont val="Helv"/>
          </rPr>
          <t xml:space="preserve">- La nature des capacités;
</t>
        </r>
        <r>
          <rPr>
            <sz val="10"/>
            <color rgb="FF000000"/>
            <rFont val="Helv"/>
          </rPr>
          <t xml:space="preserve">- Les ressources humaines, financières et techniques disponibles;
</t>
        </r>
        <r>
          <rPr>
            <sz val="10"/>
            <color rgb="FF000000"/>
            <rFont val="Helv"/>
          </rPr>
          <t xml:space="preserve">- Les partenaires technique et financier qui peuvent agir sur la cible;
</t>
        </r>
        <r>
          <rPr>
            <sz val="10"/>
            <color rgb="FF000000"/>
            <rFont val="Helv"/>
          </rPr>
          <t>- etc.</t>
        </r>
      </text>
    </comment>
    <comment ref="J5" authorId="0" shapeId="0" xr:uid="{00000000-0006-0000-0600-000008000000}">
      <text>
        <r>
          <rPr>
            <sz val="11"/>
            <color indexed="81"/>
            <rFont val="Tahoma"/>
            <family val="2"/>
          </rPr>
          <t xml:space="preserve">
</t>
        </r>
        <r>
          <rPr>
            <sz val="12"/>
            <color indexed="81"/>
            <rFont val="Tahoma"/>
            <family val="2"/>
          </rPr>
          <t xml:space="preserve">Cette colonne se compile de manière automatique. 
Le niveau de priorité de la cible est déterminée en fonction de ses niveau d'importance et de performance actuelle. 
De façon générale, plus une cible est jugé importante et peu performante, plus elle sera jugée prioritaire. Il sera alors urgent d’agir et de mettre en œuvre des stratégies d'action pour cette cible. Inversement, pour les cibles moins importantes et déjà performantes, le niveau de priorité est moins élevé. 
Le niveau de priorité est précisé automatiquement dans cette colonne, selon le tableau présenté dans l'onglet ''Résultats''.
</t>
        </r>
      </text>
    </comment>
    <comment ref="V5" authorId="0" shapeId="0" xr:uid="{00000000-0006-0000-0600-00000A000000}">
      <text>
        <r>
          <rPr>
            <sz val="10"/>
            <color rgb="FF000000"/>
            <rFont val="Helv"/>
          </rPr>
          <t xml:space="preserve">
</t>
        </r>
        <r>
          <rPr>
            <sz val="10"/>
            <color rgb="FF000000"/>
            <rFont val="Helv"/>
          </rPr>
          <t xml:space="preserve">Inscrivez ici les suggestions de stratégies d'actions pouvant contribuer à l'atteinte de la cible. Vous pouvez inclure des actions déjà planifiées, le cas échéant.
</t>
        </r>
        <r>
          <rPr>
            <sz val="10"/>
            <color rgb="FF000000"/>
            <rFont val="Helv"/>
          </rPr>
          <t xml:space="preserve">
</t>
        </r>
        <r>
          <rPr>
            <sz val="10"/>
            <color rgb="FF000000"/>
            <rFont val="Helv"/>
          </rPr>
          <t xml:space="preserve">Ces propositions peuvent être de nature stratégique (inscription dans la planification, dans une stratégie) ou pratique (mise en place de programmes ou de projets). 
</t>
        </r>
        <r>
          <rPr>
            <sz val="10"/>
            <color rgb="FF000000"/>
            <rFont val="Helv"/>
          </rPr>
          <t xml:space="preserve">
</t>
        </r>
        <r>
          <rPr>
            <sz val="10"/>
            <color rgb="FF000000"/>
            <rFont val="Helv"/>
          </rPr>
          <t xml:space="preserve">Elle peuvent être inspirées d'initiatives d'autres organisations, de partage de bonnes pratiques, de la littérature, d'expériences personnelles des analystes, etc. 
</t>
        </r>
        <r>
          <rPr>
            <sz val="10"/>
            <color rgb="FF000000"/>
            <rFont val="Helv"/>
          </rPr>
          <t xml:space="preserve">
</t>
        </r>
        <r>
          <rPr>
            <sz val="10"/>
            <color rgb="FF000000"/>
            <rFont val="Helv"/>
          </rPr>
          <t>Toutefois, les propositions devront par la suite faire l'objet d'un processus de priorisation. Les actions retenues devront faire l'objet d'une analyse de faisabilité et d'impacts. Il ne s'agit pas ici d'écrire le plan de développement, mais de donner des idées et pistes d'actions aux planificateurs en charge d'élaborer le plan.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Utilisateur</author>
  </authors>
  <commentList>
    <comment ref="B4" authorId="0" shapeId="0" xr:uid="{00000000-0006-0000-0700-000001000000}">
      <text>
        <r>
          <rPr>
            <sz val="10"/>
            <color rgb="FF000000"/>
            <rFont val="Helv"/>
          </rPr>
          <t>Mais aussi parce que le numérique est un formidable levier de création de valeurs, et parce que demain s’écrit aujourd’hui, nous nous engageons à favoriser l’émergence de nouveaux comportements et valeurs.</t>
        </r>
      </text>
    </comment>
    <comment ref="D5" authorId="0" shapeId="0" xr:uid="{00000000-0006-0000-0700-000002000000}">
      <text>
        <r>
          <rPr>
            <sz val="10"/>
            <color rgb="FF000000"/>
            <rFont val="Helv"/>
          </rPr>
          <t xml:space="preserve">Préciser dans cette colonne les opportunités et les menaces (ou risques) qui pourraient être associés à chacune des cibles, pour la zone étudiée. Les opportunités et les menaces peuvent être liés à des spécificités nationales ou locales, à des pressions externes ou internes, à des contextes temporaires ou permanents. 
</t>
        </r>
        <r>
          <rPr>
            <sz val="10"/>
            <color rgb="FF000000"/>
            <rFont val="Helv"/>
          </rPr>
          <t xml:space="preserve">
</t>
        </r>
        <r>
          <rPr>
            <sz val="10"/>
            <color rgb="FF000000"/>
            <rFont val="Helv"/>
          </rPr>
          <t xml:space="preserve">Quelles sont les enjeux économiques, sociaux, culturels, environnementaux, etc. de l'organisation qui expliquent que l'atteinte de telle cible soit particulièrement importante, ou inversement. </t>
        </r>
      </text>
    </comment>
    <comment ref="E5" authorId="0" shapeId="0" xr:uid="{00000000-0006-0000-0700-000003000000}">
      <text>
        <r>
          <rPr>
            <sz val="10"/>
            <color rgb="FF000000"/>
            <rFont val="Helv"/>
          </rPr>
          <t xml:space="preserve">Notez ici l'importance du fait de ne pas atteindre cette cible à l'horizon décidé. Aurait-il des conséquences faibles, moyennes ou élevées pour l'organisation ?
</t>
        </r>
        <r>
          <rPr>
            <sz val="10"/>
            <color rgb="FF000000"/>
            <rFont val="Helv"/>
          </rPr>
          <t xml:space="preserve">
</t>
        </r>
        <r>
          <rPr>
            <sz val="10"/>
            <color rgb="FF000000"/>
            <rFont val="Helv"/>
          </rPr>
          <t xml:space="preserve">Les valeurs numérales de 0 à 3 sont utilisées pour déterminer l’importance de chaque cible.
</t>
        </r>
        <r>
          <rPr>
            <sz val="10"/>
            <color rgb="FF000000"/>
            <rFont val="Helv"/>
          </rPr>
          <t xml:space="preserve">
</t>
        </r>
        <r>
          <rPr>
            <sz val="10"/>
            <color rgb="FF000000"/>
            <rFont val="Helv"/>
          </rPr>
          <t xml:space="preserve">0 -  Cible non applicable pour l'organisation.
</t>
        </r>
        <r>
          <rPr>
            <sz val="10"/>
            <color rgb="FF000000"/>
            <rFont val="Helv"/>
          </rPr>
          <t xml:space="preserve">
</t>
        </r>
        <r>
          <rPr>
            <sz val="10"/>
            <color rgb="FF000000"/>
            <rFont val="Helv"/>
          </rPr>
          <t xml:space="preserve">1  - Cible dont l'atteinte est jugée peu importante pour l'organisation.
</t>
        </r>
        <r>
          <rPr>
            <sz val="10"/>
            <color rgb="FF000000"/>
            <rFont val="Helv"/>
          </rPr>
          <t xml:space="preserve">
</t>
        </r>
        <r>
          <rPr>
            <sz val="10"/>
            <color rgb="FF000000"/>
            <rFont val="Helv"/>
          </rPr>
          <t xml:space="preserve">2  - Cible dont l'atteinte est jugée importante pour l'organisation.
</t>
        </r>
        <r>
          <rPr>
            <sz val="10"/>
            <color rgb="FF000000"/>
            <rFont val="Helv"/>
          </rPr>
          <t xml:space="preserve">
</t>
        </r>
        <r>
          <rPr>
            <sz val="10"/>
            <color rgb="FF000000"/>
            <rFont val="Helv"/>
          </rPr>
          <t>3  - Cible dont l'atteinte est jugée très importante pour l'organisation.</t>
        </r>
      </text>
    </comment>
    <comment ref="F5" authorId="0" shapeId="0" xr:uid="{00000000-0006-0000-0700-000004000000}">
      <text>
        <r>
          <rPr>
            <sz val="10"/>
            <color rgb="FF000000"/>
            <rFont val="Helv"/>
          </rPr>
          <t xml:space="preserve">Notez ici le niveau de performance ACTUEL de l'organisation au regard des indicateurs de performance de chaque cible. Le niveau de performance est une valeur OBJECTIVE, basée sur l'état de situation RÉEL de l'organisation, au moment de l'évaluation.
</t>
        </r>
        <r>
          <rPr>
            <sz val="10"/>
            <color rgb="FF000000"/>
            <rFont val="Helv"/>
          </rPr>
          <t xml:space="preserve">
</t>
        </r>
        <r>
          <rPr>
            <sz val="10"/>
            <color rgb="FF000000"/>
            <rFont val="Helv"/>
          </rPr>
          <t xml:space="preserve">Les valeurs numérales de 1 à 4 sont utilisées pour déterminer le niveau de performance actuel.
</t>
        </r>
        <r>
          <rPr>
            <sz val="10"/>
            <color rgb="FF000000"/>
            <rFont val="Helv"/>
          </rPr>
          <t xml:space="preserve">
</t>
        </r>
        <r>
          <rPr>
            <sz val="10"/>
            <color rgb="FF000000"/>
            <rFont val="Helv"/>
          </rPr>
          <t xml:space="preserve">1 - Cette cible n'est pas du tout atteinte
</t>
        </r>
        <r>
          <rPr>
            <sz val="10"/>
            <color rgb="FF000000"/>
            <rFont val="Helv"/>
          </rPr>
          <t xml:space="preserve">La situation relative à cette cible est jugée critique, la situation est très inconfortable et il est nécessaire d'apporter rapidement des correctifs.
</t>
        </r>
        <r>
          <rPr>
            <sz val="10"/>
            <color rgb="FF000000"/>
            <rFont val="Helv"/>
          </rPr>
          <t xml:space="preserve">
</t>
        </r>
        <r>
          <rPr>
            <sz val="10"/>
            <color rgb="FF000000"/>
            <rFont val="Helv"/>
          </rPr>
          <t xml:space="preserve">2 - Cette cible est atteinte en partie
</t>
        </r>
        <r>
          <rPr>
            <sz val="10"/>
            <color rgb="FF000000"/>
            <rFont val="Helv"/>
          </rPr>
          <t xml:space="preserve">La situation relative à cette cible est jugée problématique, la situation est relativement inconfortable, il existe une grande marge d'amélioration, même si certains résultats sont visible sur le terrain.
</t>
        </r>
        <r>
          <rPr>
            <sz val="10"/>
            <color rgb="FF000000"/>
            <rFont val="Helv"/>
          </rPr>
          <t xml:space="preserve">
</t>
        </r>
        <r>
          <rPr>
            <sz val="10"/>
            <color rgb="FF000000"/>
            <rFont val="Helv"/>
          </rPr>
          <t xml:space="preserve">3 - Cette cible est en voie d'être atteinte
</t>
        </r>
        <r>
          <rPr>
            <sz val="10"/>
            <color rgb="FF000000"/>
            <rFont val="Helv"/>
          </rPr>
          <t xml:space="preserve">La situation relative à cette cible est jugée perfectible, la situation est confortable, sans être parfaite, des améliorations sont encore possibles.
</t>
        </r>
        <r>
          <rPr>
            <sz val="10"/>
            <color rgb="FF000000"/>
            <rFont val="Helv"/>
          </rPr>
          <t xml:space="preserve">
</t>
        </r>
        <r>
          <rPr>
            <sz val="10"/>
            <color rgb="FF000000"/>
            <rFont val="Helv"/>
          </rPr>
          <t xml:space="preserve">4 - Cette cible est atteinte
</t>
        </r>
        <r>
          <rPr>
            <sz val="10"/>
            <color rgb="FF000000"/>
            <rFont val="Helv"/>
          </rPr>
          <t>La situation relative à cette cible est jugée excellente, la situation actuelle est très confortable, l'organisation pouvant faire figure d'exemplarité.</t>
        </r>
      </text>
    </comment>
    <comment ref="G5" authorId="0" shapeId="0" xr:uid="{00000000-0006-0000-0700-000005000000}">
      <text>
        <r>
          <rPr>
            <sz val="10"/>
            <color rgb="FF000000"/>
            <rFont val="Helv"/>
          </rPr>
          <t xml:space="preserve">Inscrire dans cette colonne les actions et mesures qui ont déjà été planifiées ou mises en œuvre par l'organisation qui contribuent à l'atteinte de cette cible. 
</t>
        </r>
        <r>
          <rPr>
            <sz val="10"/>
            <color rgb="FF000000"/>
            <rFont val="Helv"/>
          </rPr>
          <t xml:space="preserve">
</t>
        </r>
        <r>
          <rPr>
            <sz val="10"/>
            <color rgb="FF000000"/>
            <rFont val="Helv"/>
          </rPr>
          <t xml:space="preserve">C'est en quelque sorte une justification du niveau de performance actuel, ou du niveau d'atteinte de la cible. Une cible atteinte devrait pouvoir s'expliquer par plusieurs éléments positifs déjà mis en œuvre.
</t>
        </r>
        <r>
          <rPr>
            <sz val="10"/>
            <color rgb="FF000000"/>
            <rFont val="Helv"/>
          </rPr>
          <t xml:space="preserve">
</t>
        </r>
        <r>
          <rPr>
            <sz val="10"/>
            <color rgb="FF000000"/>
            <rFont val="Helv"/>
          </rPr>
          <t xml:space="preserve">Utilisez l'ensemble des informations à votre dispositions pour documenter cette section. Précisez par exemple : 
</t>
        </r>
        <r>
          <rPr>
            <sz val="10"/>
            <color rgb="FF000000"/>
            <rFont val="Helv"/>
          </rPr>
          <t xml:space="preserve">
</t>
        </r>
        <r>
          <rPr>
            <sz val="10"/>
            <color rgb="FF000000"/>
            <rFont val="Helv"/>
          </rPr>
          <t xml:space="preserve">-L'inscription d'enjeux associés à la cible dans le ou les document de planification
</t>
        </r>
        <r>
          <rPr>
            <sz val="10"/>
            <color rgb="FF000000"/>
            <rFont val="Helv"/>
          </rPr>
          <t xml:space="preserve">-Les programmes et stratégies existants, avec les services responsables
</t>
        </r>
        <r>
          <rPr>
            <sz val="10"/>
            <color rgb="FF000000"/>
            <rFont val="Helv"/>
          </rPr>
          <t xml:space="preserve">-Les mesures, projets et actions mises en œuvre 
</t>
        </r>
        <r>
          <rPr>
            <sz val="10"/>
            <color rgb="FF000000"/>
            <rFont val="Helv"/>
          </rPr>
          <t xml:space="preserve">-Les partenaires actifs sur ces enjeux
</t>
        </r>
        <r>
          <rPr>
            <sz val="10"/>
            <color rgb="FF000000"/>
            <rFont val="Helv"/>
          </rPr>
          <t xml:space="preserve">-Les statistique et indicateurs de suivi pertinents
</t>
        </r>
        <r>
          <rPr>
            <sz val="10"/>
            <color rgb="FF000000"/>
            <rFont val="Helv"/>
          </rPr>
          <t xml:space="preserve">-Les financements disponibles
</t>
        </r>
      </text>
    </comment>
    <comment ref="I5" authorId="0" shapeId="0" xr:uid="{00000000-0006-0000-0700-000007000000}">
      <text>
        <r>
          <rPr>
            <sz val="10"/>
            <color rgb="FF000000"/>
            <rFont val="Helv"/>
          </rPr>
          <t xml:space="preserve">Inscrire dans cette colonne toutes les forces et les faiblesses de l'organisation en lien avec chaque cible. 
</t>
        </r>
        <r>
          <rPr>
            <sz val="10"/>
            <color rgb="FF000000"/>
            <rFont val="Helv"/>
          </rPr>
          <t xml:space="preserve">
</t>
        </r>
        <r>
          <rPr>
            <sz val="10"/>
            <color rgb="FF000000"/>
            <rFont val="Helv"/>
          </rPr>
          <t xml:space="preserve">Ces forces et faiblesses doivent référer aux capacités d'action réelles sur le terrain des acteurs.
</t>
        </r>
        <r>
          <rPr>
            <sz val="10"/>
            <color rgb="FF000000"/>
            <rFont val="Helv"/>
          </rPr>
          <t xml:space="preserve">
</t>
        </r>
        <r>
          <rPr>
            <sz val="10"/>
            <color rgb="FF000000"/>
            <rFont val="Helv"/>
          </rPr>
          <t xml:space="preserve">Précisez par exemple : 
</t>
        </r>
        <r>
          <rPr>
            <sz val="10"/>
            <color rgb="FF000000"/>
            <rFont val="Helv"/>
          </rPr>
          <t xml:space="preserve">- La nature des capacités;
</t>
        </r>
        <r>
          <rPr>
            <sz val="10"/>
            <color rgb="FF000000"/>
            <rFont val="Helv"/>
          </rPr>
          <t xml:space="preserve">- Les ressources humaines, financières et techniques disponibles;
</t>
        </r>
        <r>
          <rPr>
            <sz val="10"/>
            <color rgb="FF000000"/>
            <rFont val="Helv"/>
          </rPr>
          <t xml:space="preserve">- Les partenaires technique et financier qui peuvent agir sur la cible;
</t>
        </r>
        <r>
          <rPr>
            <sz val="10"/>
            <color rgb="FF000000"/>
            <rFont val="Helv"/>
          </rPr>
          <t>- etc.</t>
        </r>
      </text>
    </comment>
    <comment ref="J5" authorId="0" shapeId="0" xr:uid="{00000000-0006-0000-0700-000008000000}">
      <text>
        <r>
          <rPr>
            <sz val="11"/>
            <color rgb="FF000000"/>
            <rFont val="Tahoma"/>
            <family val="2"/>
          </rPr>
          <t xml:space="preserve">
</t>
        </r>
        <r>
          <rPr>
            <sz val="12"/>
            <color rgb="FF000000"/>
            <rFont val="Tahoma"/>
            <family val="2"/>
          </rPr>
          <t xml:space="preserve">Cette colonne se compile de manière automatique. 
</t>
        </r>
        <r>
          <rPr>
            <sz val="12"/>
            <color rgb="FF000000"/>
            <rFont val="Tahoma"/>
            <family val="2"/>
          </rPr>
          <t xml:space="preserve">
</t>
        </r>
        <r>
          <rPr>
            <sz val="12"/>
            <color rgb="FF000000"/>
            <rFont val="Tahoma"/>
            <family val="2"/>
          </rPr>
          <t xml:space="preserve">Le niveau de priorité de la cible est déterminée en fonction de ses niveau d'importance et de performance actuelle. 
</t>
        </r>
        <r>
          <rPr>
            <sz val="12"/>
            <color rgb="FF000000"/>
            <rFont val="Tahoma"/>
            <family val="2"/>
          </rPr>
          <t xml:space="preserve">
</t>
        </r>
        <r>
          <rPr>
            <sz val="12"/>
            <color rgb="FF000000"/>
            <rFont val="Tahoma"/>
            <family val="2"/>
          </rPr>
          <t xml:space="preserve">De façon générale, plus une cible est jugé importante et peu performante, plus elle sera jugée prioritaire. Il sera alors urgent d’agir et de mettre en œuvre des stratégies d'action pour cette cible. Inversement, pour les cibles moins importantes et déjà performantes, le niveau de priorité est moins élevé. 
</t>
        </r>
        <r>
          <rPr>
            <sz val="12"/>
            <color rgb="FF000000"/>
            <rFont val="Tahoma"/>
            <family val="2"/>
          </rPr>
          <t xml:space="preserve">
</t>
        </r>
        <r>
          <rPr>
            <sz val="12"/>
            <color rgb="FF000000"/>
            <rFont val="Tahoma"/>
            <family val="2"/>
          </rPr>
          <t xml:space="preserve">Le niveau de priorité est précisé automatiquement dans cette colonne, selon le tableau présenté dans l'onglet ''Résultats''.
</t>
        </r>
      </text>
    </comment>
    <comment ref="V5" authorId="0" shapeId="0" xr:uid="{00000000-0006-0000-0700-00000A000000}">
      <text>
        <r>
          <rPr>
            <sz val="10"/>
            <color rgb="FF000000"/>
            <rFont val="Helv"/>
          </rPr>
          <t xml:space="preserve">
</t>
        </r>
        <r>
          <rPr>
            <sz val="10"/>
            <color rgb="FF000000"/>
            <rFont val="Helv"/>
          </rPr>
          <t xml:space="preserve">Inscrivez ici les suggestions de stratégies d'actions pouvant contribuer à l'atteinte de la cible. Vous pouvez inclure des actions déjà planifiées, le cas échéant.
</t>
        </r>
        <r>
          <rPr>
            <sz val="10"/>
            <color rgb="FF000000"/>
            <rFont val="Helv"/>
          </rPr>
          <t xml:space="preserve">
</t>
        </r>
        <r>
          <rPr>
            <sz val="10"/>
            <color rgb="FF000000"/>
            <rFont val="Helv"/>
          </rPr>
          <t xml:space="preserve">Ces propositions peuvent être de nature stratégique (inscription dans la planification, dans une stratégie) ou pratique (mise en place de programmes ou de projets). 
</t>
        </r>
        <r>
          <rPr>
            <sz val="10"/>
            <color rgb="FF000000"/>
            <rFont val="Helv"/>
          </rPr>
          <t xml:space="preserve">
</t>
        </r>
        <r>
          <rPr>
            <sz val="10"/>
            <color rgb="FF000000"/>
            <rFont val="Helv"/>
          </rPr>
          <t xml:space="preserve">Elle peuvent être inspirées d'initiatives d'autres organisations, de partage de bonnes pratiques, de la littérature, d'expériences personnelles des analystes, etc. 
</t>
        </r>
        <r>
          <rPr>
            <sz val="10"/>
            <color rgb="FF000000"/>
            <rFont val="Helv"/>
          </rPr>
          <t xml:space="preserve">
</t>
        </r>
        <r>
          <rPr>
            <sz val="10"/>
            <color rgb="FF000000"/>
            <rFont val="Helv"/>
          </rPr>
          <t>Toutefois, les propositions devront par la suite faire l'objet d'un processus de priorisation. Les actions retenues devront faire l'objet d'une analyse de faisabilité et d'impacts. Il ne s'agit pas ici d'écrire le plan de développement, mais de donner des idées et pistes d'actions aux planificateurs en charge d'élaborer le plan.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Utilisateur</author>
  </authors>
  <commentList>
    <comment ref="D3" authorId="0" shapeId="0" xr:uid="{00000000-0006-0000-1400-000001000000}">
      <text/>
    </comment>
    <comment ref="G3" authorId="0" shapeId="0" xr:uid="{00000000-0006-0000-1400-000002000000}">
      <text>
        <r>
          <rPr>
            <sz val="11"/>
            <color indexed="81"/>
            <rFont val="Tahoma"/>
            <family val="2"/>
          </rPr>
          <t xml:space="preserve">
Inscrire dans cette colonne les actions et mesures qui ont déjà été planifiées ou mises en œuvre par la collectivité locale qui peuvent contribuer à l'atteinte de cette cible. 
C'est en quelque sorte une justification du niveau d'atteinte de la cible, une cbile atteinte devrait pouvoir s'expliquer par plusieurs éléments positifs déjà présents au niveau local.
Utilisez l'ensemble des informations à votre dispositions pour documenter cette section. Précisez par exemple : 
-L'inscription d'enjeux associés à la cible dans le plan de développement local
-Les programmes et stratégies existants, avec les organisations responsables
-Les mesures, projets et actions mises en oeuvre sur le territoire
-Les partenaires actifs sur ces enjeux
-Les indicateurs de suivi pertinents
-Les financements disponibles
</t>
        </r>
      </text>
    </comment>
    <comment ref="I3" authorId="0" shapeId="0" xr:uid="{00000000-0006-0000-1400-000003000000}">
      <text>
        <r>
          <rPr>
            <sz val="11"/>
            <color rgb="FF000000"/>
            <rFont val="Tahoma"/>
            <family val="2"/>
          </rPr>
          <t xml:space="preserve">
</t>
        </r>
        <r>
          <rPr>
            <sz val="11"/>
            <color rgb="FF000000"/>
            <rFont val="Tahoma"/>
            <family val="2"/>
          </rPr>
          <t xml:space="preserve">Inscrire dans cette colonne tous les commentaires pertinent en lien avec les compétences pour l'action de la collectivité locale en lien avec chaque cible. 
</t>
        </r>
        <r>
          <rPr>
            <sz val="11"/>
            <color rgb="FF000000"/>
            <rFont val="Tahoma"/>
            <family val="2"/>
          </rPr>
          <t xml:space="preserve">
</t>
        </r>
        <r>
          <rPr>
            <sz val="11"/>
            <color rgb="FF000000"/>
            <rFont val="Tahoma"/>
            <family val="2"/>
          </rPr>
          <t xml:space="preserve">C'est en quelque sorte une justification du niveau de compétence que vous avez déterminé. Ces justifications doivent référer aux capacités d'action réelles sur le terrain, et non exclusivement à la situation prévue dans les textes législatif. 
</t>
        </r>
        <r>
          <rPr>
            <sz val="11"/>
            <color rgb="FF000000"/>
            <rFont val="Tahoma"/>
            <family val="2"/>
          </rPr>
          <t xml:space="preserve">
</t>
        </r>
        <r>
          <rPr>
            <sz val="11"/>
            <color rgb="FF000000"/>
            <rFont val="Tahoma"/>
            <family val="2"/>
          </rPr>
          <t xml:space="preserve">Précisez par exemple : 
</t>
        </r>
        <r>
          <rPr>
            <sz val="11"/>
            <color rgb="FF000000"/>
            <rFont val="Tahoma"/>
            <family val="2"/>
          </rPr>
          <t xml:space="preserve">- La nature des compétences déléguées à l'échelon local;
</t>
        </r>
        <r>
          <rPr>
            <sz val="11"/>
            <color rgb="FF000000"/>
            <rFont val="Tahoma"/>
            <family val="2"/>
          </rPr>
          <t xml:space="preserve">- Les ressources humaines, financières et techniques disponibles à l'échelle locale;
</t>
        </r>
        <r>
          <rPr>
            <sz val="11"/>
            <color rgb="FF000000"/>
            <rFont val="Tahoma"/>
            <family val="2"/>
          </rPr>
          <t xml:space="preserve">- Les partenaires en place à l'échelle locale qui peuvent agir sur la cible;
</t>
        </r>
        <r>
          <rPr>
            <sz val="11"/>
            <color rgb="FF000000"/>
            <rFont val="Tahoma"/>
            <family val="2"/>
          </rPr>
          <t>- La nature des relations avec l'État concernant les enjeux de la cible.</t>
        </r>
        <r>
          <rPr>
            <sz val="10"/>
            <color rgb="FF000000"/>
            <rFont val="Tahoma"/>
            <family val="2"/>
          </rPr>
          <t xml:space="preserve">
</t>
        </r>
      </text>
    </comment>
    <comment ref="X3" authorId="0" shapeId="0" xr:uid="{00000000-0006-0000-1400-000005000000}">
      <text>
        <r>
          <rPr>
            <sz val="10"/>
            <color rgb="FF000000"/>
            <rFont val="Helv"/>
          </rPr>
          <t xml:space="preserve">Exposer dans cette colonne des interrelations potentielles entre les cibles. Mettre en exergue ici d'autres cibles sur lesquelles les actions spécifiques proposées sont susceptibles d'avoir un impact positif. </t>
        </r>
      </text>
    </comment>
  </commentList>
</comments>
</file>

<file path=xl/sharedStrings.xml><?xml version="1.0" encoding="utf-8"?>
<sst xmlns="http://schemas.openxmlformats.org/spreadsheetml/2006/main" count="318" uniqueCount="135">
  <si>
    <t xml:space="preserve"> </t>
  </si>
  <si>
    <t>Étapes préalables et description du contexte de priorisation</t>
  </si>
  <si>
    <t>Organisation pour laquelle la priorisation est effectuée</t>
  </si>
  <si>
    <t>Niveau d'avancement dans la mise en œuvre des ONR</t>
  </si>
  <si>
    <t>Documents politiques et stratégiques existants ou en préparation qui peuvent  faciliter l'identification des cibles et ONR prioritaires</t>
  </si>
  <si>
    <t>Sources d'information pertinentes sur la situation relativement à l'atteinte des cibles des ONR</t>
  </si>
  <si>
    <t>Service responsable de la priorisation</t>
  </si>
  <si>
    <t>Noms et titres des analystes</t>
  </si>
  <si>
    <t>Personne responsable de l'analyse et du suivi</t>
  </si>
  <si>
    <t>Date de l'analyse</t>
  </si>
  <si>
    <t xml:space="preserve">ONR 1  -   SOBRIÉTÉ : S'engager à optimiser les outils numériques pour limiter leurs impacts et consommation					</t>
  </si>
  <si>
    <t>Importance de la cible</t>
  </si>
  <si>
    <t>Performance actuelle</t>
  </si>
  <si>
    <t>Compétences interne-externe</t>
  </si>
  <si>
    <t>Priorité</t>
  </si>
  <si>
    <t>Mise en œuvre</t>
  </si>
  <si>
    <t>Enjeux: opportunités et menaces</t>
  </si>
  <si>
    <t>Importance de la cible (Objectifs de TNRC)</t>
  </si>
  <si>
    <t>Performance actuelle évaluée (Expérimentations)</t>
  </si>
  <si>
    <t>Documentation de la performance actuelle et description des mesures déjà en place ( Analyse des expérimentations à date )</t>
  </si>
  <si>
    <t>Forces et faiblesses</t>
  </si>
  <si>
    <t xml:space="preserve">Niveau de priorité </t>
  </si>
  <si>
    <t>Valeur priorité</t>
  </si>
  <si>
    <t>Intervention urgente</t>
  </si>
  <si>
    <t>Intervention prioritaire</t>
  </si>
  <si>
    <t>Intervention à moyen terme</t>
  </si>
  <si>
    <t>Intervention à long terme</t>
  </si>
  <si>
    <t>Intervention de consolidation</t>
  </si>
  <si>
    <t>Intervention non prioritaire</t>
  </si>
  <si>
    <t>Intervention non pertinente</t>
  </si>
  <si>
    <t>Priorité texte</t>
  </si>
  <si>
    <t>Priorité valeur</t>
  </si>
  <si>
    <t>Valeur type d'action</t>
  </si>
  <si>
    <t>Stratégies d'action pouvant contribuer à l'atteinte de la cible</t>
  </si>
  <si>
    <t>Synergies avec les Modules (M3 stratégie, M4 sensibiliser, M5 action)</t>
  </si>
  <si>
    <t xml:space="preserve">Cibles: évaluer les niveaux d'importance, de performance et de compétence des cibles ci-dessous, et identifier des pistes d'actions favorisant l'atteinte des cibles </t>
  </si>
  <si>
    <t>1.1</t>
  </si>
  <si>
    <t>1.2</t>
  </si>
  <si>
    <t>En permettant la durée de vie des équipements, même au-delà de leur amortissement comptable et en valorisant les gains et roi pour chacune des partie prenantes</t>
  </si>
  <si>
    <t>1.3</t>
  </si>
  <si>
    <t>En permettant de concevoir de manière responsable les services numériques et en intégrant des technologies ou des dispositifs proactifs vis-àvis des ODD.</t>
  </si>
  <si>
    <t>1.4</t>
  </si>
  <si>
    <t>En favorisant des usages et des pratiques limitant les consommations de matériels, de ressources, d’énergies et de consommables</t>
  </si>
  <si>
    <t>1.5</t>
  </si>
  <si>
    <t>En considérant nos déchets comme une ressource et leur traitement comme une source d’emplois participant au développement de l’économie circulaire.</t>
  </si>
  <si>
    <t>1.6</t>
  </si>
  <si>
    <t>En privilégiant et en favorisant l’utilisation de sources d’énergies renouvelables.</t>
  </si>
  <si>
    <t>1.7</t>
  </si>
  <si>
    <t>En favorisant l'utilisation d'IA lorsque nécessaire uniquement et en privilégiant des IA frugales</t>
  </si>
  <si>
    <t>ONR 2  -   INCLUSION : S'engager à développer des services numériques accessibles à toutes et tous, inclusifs et durables</t>
  </si>
  <si>
    <t>2.1</t>
  </si>
  <si>
    <t>En généralisant une démarche d’achats responsables avec l’adoption de clauses sociétales et environnementales.</t>
  </si>
  <si>
    <t>2.2</t>
  </si>
  <si>
    <t>En permettant des applications accessibles à tous - en mesurant le niveau de conformité RGAA et en accompagnat les entreprises du territoire à se conformer à la règlementation</t>
  </si>
  <si>
    <t>2.3</t>
  </si>
  <si>
    <t>En déployant les applications autour des 3 U : Utiles, Utilisables, Utilisées pour en simplifier l’usage en intégrant l’accessibilité universelle pour réussir l’e-inclusion de tous</t>
  </si>
  <si>
    <t>2.4</t>
  </si>
  <si>
    <t>En associant l’utilisateur à la conception pour éviter des outils surdimensionnés et améliorer progressivement le niveau de conformité des services en ligne.</t>
  </si>
  <si>
    <t xml:space="preserve">ONR 3  -  RSE : S'engager pour des pratiques numériques éthiques et responsables </t>
  </si>
  <si>
    <t>3.1</t>
  </si>
  <si>
    <t>En développant des usages raisonnés des données et services dans une démarche éthique vis-à-vis des impacts sur l’environnement et les populations.</t>
  </si>
  <si>
    <t>3.2</t>
  </si>
  <si>
    <t>En luttant contre les pratiques trompeuses et présence de dark pattern dans les sites internet et en permettant de se conformer à la réglementation</t>
  </si>
  <si>
    <t>3.3</t>
  </si>
  <si>
    <t>En ne collectant que les données utiles et nécessaires au service des utilisateurs, afin de limiter les risques en matière de vie privée et impacts environnementaux en conformité avec le Règlement Général sur la Protection des Données (RGPD).</t>
  </si>
  <si>
    <t>3.4</t>
  </si>
  <si>
    <t>En favorisant la diversité des recrutements des métiers du numérique</t>
  </si>
  <si>
    <t>3.5</t>
  </si>
  <si>
    <t>En améliorant les conditions des travailleurs du numérique</t>
  </si>
  <si>
    <t>3.6</t>
  </si>
  <si>
    <t>En s’inscrivant résolument dans des dispositifs d’éthique algorithmique sur l’utilisation et la protection des données, notamment au regard de l’intelligence artificielle</t>
  </si>
  <si>
    <t>3.7</t>
  </si>
  <si>
    <t>En déployant et valorisant la démarche RSE</t>
  </si>
  <si>
    <t>ONR 4  -  RESILIENCE ET STRATEGIE :  S'engager vers un numérique responsable, indispensable pour assurer la résilience des organisations</t>
  </si>
  <si>
    <t>4.1</t>
  </si>
  <si>
    <t>En respectant l'application des normes communes pour collecter, rassembler, analyser et partager les données sur les impacts des Technologie de l’Information et de la Communication (TIC) .</t>
  </si>
  <si>
    <t>4.2</t>
  </si>
  <si>
    <t>En participant à une démarche collaborative de conception et d’évaluation des services numériques en adéquation avec les réels besoins.</t>
  </si>
  <si>
    <t>4.3</t>
  </si>
  <si>
    <t>En restant innovant dans l’utilisation de nouveaux outils numériques et assurer leur analyse d'impact avec transparence et visibilité pour les utilisatuer</t>
  </si>
  <si>
    <t>4.4</t>
  </si>
  <si>
    <t>En permettant et en garrantissant plus de souveraineté numérique</t>
  </si>
  <si>
    <t>ONR 5  -  MANAGEMENT :  S'engager à faire les choses avec sens en respectant et en préservant les ressources qui produisent</t>
  </si>
  <si>
    <t>5.1</t>
  </si>
  <si>
    <t>En incluant l’innovation sociale dans la définition de nouveaux systèmes et services numériques.</t>
  </si>
  <si>
    <t>5.2</t>
  </si>
  <si>
    <t>En valorisant les initiatives internes qui mobilisent l’organisation, favorisent les collaborations transversales et le bien-être au travail.</t>
  </si>
  <si>
    <t>5.3</t>
  </si>
  <si>
    <t>En sollicitant l’engagement et l’expertise des parties prenantes ( sur les sujets environnementaux, sociaux et sociétaux)</t>
  </si>
  <si>
    <t>5.4</t>
  </si>
  <si>
    <t>En permettant aux générations futures d’innover pour construire un monde ouvert à l’autre soucieux de l’équilibre des écosystèmes et du bien-vivre ensemble.</t>
  </si>
  <si>
    <t>5.5</t>
  </si>
  <si>
    <t>En suivant les indicateurs de performances et de conformité</t>
  </si>
  <si>
    <t>5.6</t>
  </si>
  <si>
    <t>En proposant des axes d’amélioration et d'innovation autour du NR ( y compris s'ils ne sont pas numériques )</t>
  </si>
  <si>
    <t>Tableau de priorisation des cibles</t>
  </si>
  <si>
    <t>État de la situation actuelle</t>
  </si>
  <si>
    <t>Résultats détaillés</t>
  </si>
  <si>
    <t>Mise en œuvre des actions</t>
  </si>
  <si>
    <t>Analyse des Forces, Faiblesses, Opportunités et Menaces (FFOM)</t>
  </si>
  <si>
    <t>Enjeux locaux associés à la cible</t>
  </si>
  <si>
    <t>Mesures et actions déjà en place</t>
  </si>
  <si>
    <t>Stratégies d'action pouvant contribuer à l'atteinte de la cible et proposées lors de l'analyse</t>
  </si>
  <si>
    <t>Forces et faiblesses en regard de la cible</t>
  </si>
  <si>
    <t>Opportunités et menaces en regard de la cible</t>
  </si>
  <si>
    <t>ODD</t>
  </si>
  <si>
    <t>Nombre de cibles</t>
  </si>
  <si>
    <t>Nombre de cibles analysées</t>
  </si>
  <si>
    <t>Cible non complétée</t>
  </si>
  <si>
    <t>Nombre de cibles urgentes</t>
  </si>
  <si>
    <t>Nombre de cibles prioritaires</t>
  </si>
  <si>
    <t>Nombre de cibles à moyen terme</t>
  </si>
  <si>
    <t>Nombre de cibles à long terme</t>
  </si>
  <si>
    <t>Nombre de cibles à consolider</t>
  </si>
  <si>
    <t>Nombre de cibles non prioritaires</t>
  </si>
  <si>
    <t>Nombre de cibles non pertinentes</t>
  </si>
  <si>
    <t>Non complétées</t>
  </si>
  <si>
    <t>Urgentes</t>
  </si>
  <si>
    <t>Prioritaires</t>
  </si>
  <si>
    <t>À moyen terme</t>
  </si>
  <si>
    <t>À long terme</t>
  </si>
  <si>
    <t>À consolider</t>
  </si>
  <si>
    <t>Non prioritaires</t>
  </si>
  <si>
    <t>Non pertinentes</t>
  </si>
  <si>
    <t>Résultats synthèse</t>
  </si>
  <si>
    <t xml:space="preserve">TOTAL DES CIBLES POUR LES 5 ONR	</t>
  </si>
  <si>
    <t>ENVIRONNEMENT</t>
  </si>
  <si>
    <t>ACCESSIBILITÉ</t>
  </si>
  <si>
    <t>ÉTHIQUE</t>
  </si>
  <si>
    <t>RÉSILIENCE</t>
  </si>
  <si>
    <t>VALEURS</t>
  </si>
  <si>
    <t>Adhérence</t>
  </si>
  <si>
    <t>En intégrant le Cycle de Vie complet des équipements et logiciels pour le mettre au service de la transition énergétique</t>
  </si>
  <si>
    <t xml:space="preserve">Compétences </t>
  </si>
  <si>
    <t>Compétences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</si>
</sst>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C0C]d\ mmm\ yyyy;@"/>
  </numFmts>
  <fonts count="57">
    <font>
      <sz val="10"/>
      <name val="Helv"/>
    </font>
    <font>
      <sz val="10"/>
      <name val="Helv"/>
    </font>
    <font>
      <b/>
      <sz val="12"/>
      <name val="Arial"/>
      <family val="2"/>
    </font>
    <font>
      <u/>
      <sz val="10"/>
      <color theme="10"/>
      <name val="Helv"/>
    </font>
    <font>
      <u/>
      <sz val="10"/>
      <color theme="11"/>
      <name val="Helv"/>
    </font>
    <font>
      <sz val="9"/>
      <color indexed="8"/>
      <name val="Arial"/>
      <family val="2"/>
    </font>
    <font>
      <b/>
      <sz val="9"/>
      <color indexed="8"/>
      <name val="Arial"/>
      <family val="2"/>
    </font>
    <font>
      <b/>
      <sz val="12"/>
      <color indexed="8"/>
      <name val="Arial"/>
      <family val="2"/>
    </font>
    <font>
      <sz val="13"/>
      <color indexed="8"/>
      <name val="Arial"/>
      <family val="2"/>
    </font>
    <font>
      <b/>
      <sz val="16"/>
      <color theme="1"/>
      <name val="Calibri"/>
      <family val="2"/>
      <scheme val="minor"/>
    </font>
    <font>
      <b/>
      <sz val="20"/>
      <color theme="1"/>
      <name val="Calibri"/>
      <family val="2"/>
      <scheme val="minor"/>
    </font>
    <font>
      <b/>
      <sz val="12"/>
      <color theme="1"/>
      <name val="Calibri"/>
      <family val="2"/>
      <scheme val="minor"/>
    </font>
    <font>
      <b/>
      <sz val="12"/>
      <name val="Calibri"/>
      <family val="2"/>
      <scheme val="minor"/>
    </font>
    <font>
      <sz val="12"/>
      <name val="Calibri"/>
      <family val="2"/>
      <scheme val="minor"/>
    </font>
    <font>
      <sz val="12"/>
      <name val="Arial"/>
      <family val="2"/>
    </font>
    <font>
      <sz val="11"/>
      <color indexed="81"/>
      <name val="Tahoma"/>
      <family val="2"/>
    </font>
    <font>
      <b/>
      <sz val="14"/>
      <color indexed="8"/>
      <name val="Arial"/>
      <family val="2"/>
    </font>
    <font>
      <b/>
      <sz val="18"/>
      <name val="Arial"/>
      <family val="2"/>
    </font>
    <font>
      <sz val="12"/>
      <color indexed="8"/>
      <name val="Arial"/>
      <family val="2"/>
    </font>
    <font>
      <sz val="17"/>
      <color indexed="8"/>
      <name val="Arial"/>
      <family val="2"/>
    </font>
    <font>
      <b/>
      <sz val="17"/>
      <color indexed="8"/>
      <name val="Arial"/>
      <family val="2"/>
    </font>
    <font>
      <sz val="36"/>
      <name val="Arial"/>
      <family val="2"/>
    </font>
    <font>
      <sz val="12"/>
      <name val="Cambria"/>
      <family val="1"/>
      <scheme val="major"/>
    </font>
    <font>
      <b/>
      <sz val="18"/>
      <color theme="1"/>
      <name val="Calibri"/>
      <family val="2"/>
      <scheme val="minor"/>
    </font>
    <font>
      <b/>
      <sz val="18"/>
      <name val="Calibri"/>
      <family val="2"/>
      <scheme val="minor"/>
    </font>
    <font>
      <sz val="32"/>
      <name val="Arial"/>
      <family val="2"/>
    </font>
    <font>
      <b/>
      <sz val="20"/>
      <name val="Arial"/>
      <family val="2"/>
    </font>
    <font>
      <sz val="10"/>
      <color theme="0"/>
      <name val="Helv"/>
    </font>
    <font>
      <sz val="12"/>
      <color indexed="81"/>
      <name val="Tahoma"/>
      <family val="2"/>
    </font>
    <font>
      <b/>
      <sz val="10"/>
      <color theme="0"/>
      <name val="Helv"/>
    </font>
    <font>
      <sz val="28"/>
      <name val="Segoe UI Light"/>
      <family val="2"/>
    </font>
    <font>
      <sz val="9"/>
      <name val="Arial"/>
      <family val="2"/>
    </font>
    <font>
      <sz val="10"/>
      <color rgb="FF000000"/>
      <name val="Helv"/>
    </font>
    <font>
      <b/>
      <sz val="14"/>
      <name val="Arial"/>
      <family val="2"/>
    </font>
    <font>
      <sz val="14"/>
      <color indexed="8"/>
      <name val="Arial"/>
      <family val="2"/>
    </font>
    <font>
      <b/>
      <sz val="16"/>
      <color indexed="8"/>
      <name val="Arial"/>
      <family val="2"/>
    </font>
    <font>
      <sz val="16"/>
      <color indexed="8"/>
      <name val="Arial"/>
      <family val="2"/>
    </font>
    <font>
      <b/>
      <sz val="16"/>
      <color theme="1"/>
      <name val="Arial"/>
      <family val="2"/>
    </font>
    <font>
      <b/>
      <sz val="16"/>
      <name val="Arial"/>
      <family val="2"/>
    </font>
    <font>
      <sz val="11"/>
      <color rgb="FF000000"/>
      <name val="Tahoma"/>
      <family val="2"/>
    </font>
    <font>
      <sz val="12"/>
      <color rgb="FF000000"/>
      <name val="Tahoma"/>
      <family val="2"/>
    </font>
    <font>
      <sz val="14"/>
      <name val="Arial"/>
      <family val="2"/>
    </font>
    <font>
      <sz val="8"/>
      <name val="Helv"/>
    </font>
    <font>
      <b/>
      <sz val="14"/>
      <color rgb="FF000000"/>
      <name val="Arial"/>
      <family val="2"/>
    </font>
    <font>
      <sz val="10"/>
      <color rgb="FF000000"/>
      <name val="Tahoma"/>
      <family val="2"/>
    </font>
    <font>
      <b/>
      <sz val="14"/>
      <color theme="1"/>
      <name val="Arial"/>
      <family val="2"/>
    </font>
    <font>
      <sz val="16"/>
      <color theme="1"/>
      <name val="Arial"/>
      <family val="2"/>
    </font>
    <font>
      <sz val="16"/>
      <name val="Arial"/>
      <family val="2"/>
    </font>
    <font>
      <b/>
      <sz val="12"/>
      <color theme="1"/>
      <name val="Arial"/>
      <family val="2"/>
    </font>
    <font>
      <sz val="14"/>
      <color theme="0"/>
      <name val="Arial"/>
      <family val="2"/>
    </font>
    <font>
      <sz val="14"/>
      <color theme="5"/>
      <name val="Arial"/>
      <family val="2"/>
    </font>
    <font>
      <b/>
      <sz val="12"/>
      <color theme="0"/>
      <name val="Calibri"/>
      <family val="2"/>
      <scheme val="minor"/>
    </font>
    <font>
      <sz val="12"/>
      <color theme="0"/>
      <name val="Calibri"/>
      <family val="2"/>
      <scheme val="minor"/>
    </font>
    <font>
      <b/>
      <sz val="12"/>
      <color theme="0"/>
      <name val="Arial"/>
      <family val="2"/>
    </font>
    <font>
      <b/>
      <sz val="18"/>
      <color theme="0"/>
      <name val="Calibri"/>
      <family val="2"/>
      <scheme val="minor"/>
    </font>
    <font>
      <sz val="12"/>
      <color theme="0"/>
      <name val="Cambria"/>
      <family val="1"/>
      <scheme val="major"/>
    </font>
    <font>
      <b/>
      <sz val="12"/>
      <color rgb="FF000000"/>
      <name val="Arial"/>
      <family val="2"/>
    </font>
  </fonts>
  <fills count="53">
    <fill>
      <patternFill patternType="none"/>
    </fill>
    <fill>
      <patternFill patternType="gray125"/>
    </fill>
    <fill>
      <patternFill patternType="gray0625"/>
    </fill>
    <fill>
      <patternFill patternType="lightGray"/>
    </fill>
    <fill>
      <patternFill patternType="solid">
        <fgColor theme="0"/>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rgb="FFFF0000"/>
        <bgColor indexed="64"/>
      </patternFill>
    </fill>
    <fill>
      <patternFill patternType="solid">
        <fgColor rgb="FFFFFF00"/>
        <bgColor indexed="64"/>
      </patternFill>
    </fill>
    <fill>
      <patternFill patternType="solid">
        <fgColor rgb="FF92D050"/>
        <bgColor indexed="64"/>
      </patternFill>
    </fill>
    <fill>
      <patternFill patternType="solid">
        <fgColor theme="3" tint="0.39997558519241921"/>
        <bgColor indexed="64"/>
      </patternFill>
    </fill>
    <fill>
      <patternFill patternType="solid">
        <fgColor rgb="FF7030A0"/>
        <bgColor indexed="64"/>
      </patternFill>
    </fill>
    <fill>
      <patternFill patternType="solid">
        <fgColor theme="0" tint="-0.249977111117893"/>
        <bgColor indexed="64"/>
      </patternFill>
    </fill>
    <fill>
      <patternFill patternType="solid">
        <fgColor theme="9" tint="-0.249977111117893"/>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theme="9" tint="0.59999389629810485"/>
        <bgColor theme="0"/>
      </patternFill>
    </fill>
    <fill>
      <patternFill patternType="solid">
        <fgColor theme="6" tint="0.59999389629810485"/>
        <bgColor theme="0"/>
      </patternFill>
    </fill>
    <fill>
      <patternFill patternType="solid">
        <fgColor theme="7" tint="0.59999389629810485"/>
        <bgColor theme="0"/>
      </patternFill>
    </fill>
    <fill>
      <patternFill patternType="solid">
        <fgColor theme="0"/>
        <bgColor theme="0"/>
      </patternFill>
    </fill>
    <fill>
      <patternFill patternType="solid">
        <fgColor indexed="65"/>
        <bgColor theme="0"/>
      </patternFill>
    </fill>
    <fill>
      <patternFill patternType="solid">
        <fgColor theme="4" tint="0.79998168889431442"/>
        <bgColor theme="0"/>
      </patternFill>
    </fill>
    <fill>
      <patternFill patternType="solid">
        <fgColor theme="0"/>
        <bgColor theme="0" tint="-0.34998626667073579"/>
      </patternFill>
    </fill>
    <fill>
      <patternFill patternType="solid">
        <fgColor theme="9" tint="0.59999389629810485"/>
        <bgColor theme="0" tint="-0.34998626667073579"/>
      </patternFill>
    </fill>
    <fill>
      <patternFill patternType="solid">
        <fgColor theme="6" tint="0.59999389629810485"/>
        <bgColor theme="0" tint="-0.34998626667073579"/>
      </patternFill>
    </fill>
    <fill>
      <patternFill patternType="solid">
        <fgColor theme="7" tint="0.59999389629810485"/>
        <bgColor theme="0" tint="-0.34998626667073579"/>
      </patternFill>
    </fill>
    <fill>
      <patternFill patternType="solid">
        <fgColor indexed="65"/>
        <bgColor theme="0" tint="-0.34998626667073579"/>
      </patternFill>
    </fill>
    <fill>
      <patternFill patternType="solid">
        <fgColor theme="4" tint="0.79998168889431442"/>
        <bgColor theme="0" tint="-0.34998626667073579"/>
      </patternFill>
    </fill>
    <fill>
      <patternFill patternType="solid">
        <fgColor theme="4" tint="0.79995117038483843"/>
        <bgColor theme="0" tint="-0.34998626667073579"/>
      </patternFill>
    </fill>
    <fill>
      <patternFill patternType="solid">
        <fgColor theme="8" tint="0.59999389629810485"/>
        <bgColor indexed="64"/>
      </patternFill>
    </fill>
    <fill>
      <patternFill patternType="solid">
        <fgColor theme="8" tint="0.59999389629810485"/>
        <bgColor theme="0"/>
      </patternFill>
    </fill>
    <fill>
      <patternFill patternType="solid">
        <fgColor theme="4"/>
        <bgColor indexed="64"/>
      </patternFill>
    </fill>
    <fill>
      <patternFill patternType="solid">
        <fgColor theme="9"/>
        <bgColor indexed="64"/>
      </patternFill>
    </fill>
    <fill>
      <patternFill patternType="solid">
        <fgColor rgb="FF00B0F0"/>
        <bgColor indexed="64"/>
      </patternFill>
    </fill>
    <fill>
      <patternFill patternType="solid">
        <fgColor theme="7"/>
        <bgColor indexed="64"/>
      </patternFill>
    </fill>
    <fill>
      <patternFill patternType="solid">
        <fgColor rgb="FFED7D31"/>
        <bgColor indexed="64"/>
      </patternFill>
    </fill>
    <fill>
      <patternFill patternType="solid">
        <fgColor rgb="FF70AD47"/>
        <bgColor indexed="64"/>
      </patternFill>
    </fill>
    <fill>
      <patternFill patternType="solid">
        <fgColor indexed="65"/>
        <bgColor indexed="64"/>
      </patternFill>
    </fill>
    <fill>
      <patternFill patternType="solid">
        <fgColor theme="8" tint="0.59999389629810485"/>
        <bgColor theme="0" tint="-0.34998626667073579"/>
      </patternFill>
    </fill>
    <fill>
      <patternFill patternType="solid">
        <fgColor theme="2"/>
        <bgColor indexed="64"/>
      </patternFill>
    </fill>
    <fill>
      <patternFill patternType="solid">
        <fgColor theme="2"/>
        <bgColor theme="0" tint="-0.34998626667073579"/>
      </patternFill>
    </fill>
    <fill>
      <patternFill patternType="solid">
        <fgColor rgb="FFCCC0DA"/>
        <bgColor rgb="FF000000"/>
      </patternFill>
    </fill>
    <fill>
      <patternFill patternType="solid">
        <fgColor theme="0" tint="-0.14999847407452621"/>
        <bgColor rgb="FF000000"/>
      </patternFill>
    </fill>
    <fill>
      <patternFill patternType="solid">
        <fgColor theme="8"/>
        <bgColor indexed="64"/>
      </patternFill>
    </fill>
    <fill>
      <patternFill patternType="solid">
        <fgColor theme="8"/>
        <bgColor rgb="FF000000"/>
      </patternFill>
    </fill>
    <fill>
      <patternFill patternType="solid">
        <fgColor theme="8"/>
        <bgColor theme="0"/>
      </patternFill>
    </fill>
    <fill>
      <patternFill patternType="solid">
        <fgColor theme="8"/>
        <bgColor theme="0" tint="-0.34998626667073579"/>
      </patternFill>
    </fill>
    <fill>
      <patternFill patternType="solid">
        <fgColor theme="0" tint="-0.14999847407452621"/>
        <bgColor theme="0" tint="-0.34998626667073579"/>
      </patternFill>
    </fill>
    <fill>
      <patternFill patternType="solid">
        <fgColor theme="0" tint="-0.14999847407452621"/>
        <bgColor theme="0"/>
      </patternFill>
    </fill>
    <fill>
      <patternFill patternType="solid">
        <fgColor theme="8" tint="0.39997558519241921"/>
        <bgColor indexed="64"/>
      </patternFill>
    </fill>
    <fill>
      <patternFill patternType="solid">
        <fgColor theme="8" tint="0.39997558519241921"/>
        <bgColor theme="0" tint="-0.34998626667073579"/>
      </patternFill>
    </fill>
  </fills>
  <borders count="53">
    <border>
      <left/>
      <right/>
      <top/>
      <bottom/>
      <diagonal/>
    </border>
    <border>
      <left style="medium">
        <color auto="1"/>
      </left>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style="medium">
        <color auto="1"/>
      </top>
      <bottom/>
      <diagonal/>
    </border>
    <border>
      <left/>
      <right style="medium">
        <color auto="1"/>
      </right>
      <top style="medium">
        <color auto="1"/>
      </top>
      <bottom style="medium">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indexed="64"/>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top style="medium">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auto="1"/>
      </left>
      <right/>
      <top style="thin">
        <color auto="1"/>
      </top>
      <bottom style="thin">
        <color auto="1"/>
      </bottom>
      <diagonal/>
    </border>
    <border>
      <left/>
      <right/>
      <top style="medium">
        <color indexed="64"/>
      </top>
      <bottom style="medium">
        <color indexed="64"/>
      </bottom>
      <diagonal/>
    </border>
    <border>
      <left/>
      <right style="thin">
        <color auto="1"/>
      </right>
      <top style="thin">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style="thin">
        <color auto="1"/>
      </right>
      <top style="medium">
        <color indexed="64"/>
      </top>
      <bottom style="thin">
        <color auto="1"/>
      </bottom>
      <diagonal/>
    </border>
    <border>
      <left style="medium">
        <color auto="1"/>
      </left>
      <right/>
      <top/>
      <bottom style="thin">
        <color auto="1"/>
      </bottom>
      <diagonal/>
    </border>
    <border>
      <left/>
      <right/>
      <top/>
      <bottom style="thin">
        <color auto="1"/>
      </bottom>
      <diagonal/>
    </border>
    <border>
      <left/>
      <right style="thin">
        <color auto="1"/>
      </right>
      <top style="thin">
        <color auto="1"/>
      </top>
      <bottom style="medium">
        <color auto="1"/>
      </bottom>
      <diagonal/>
    </border>
    <border>
      <left style="thin">
        <color auto="1"/>
      </left>
      <right style="thin">
        <color auto="1"/>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right style="medium">
        <color auto="1"/>
      </right>
      <top/>
      <bottom/>
      <diagonal/>
    </border>
    <border>
      <left style="thin">
        <color auto="1"/>
      </left>
      <right/>
      <top style="medium">
        <color auto="1"/>
      </top>
      <bottom style="thin">
        <color auto="1"/>
      </bottom>
      <diagonal/>
    </border>
    <border>
      <left style="thin">
        <color auto="1"/>
      </left>
      <right/>
      <top style="thin">
        <color auto="1"/>
      </top>
      <bottom/>
      <diagonal/>
    </border>
    <border>
      <left style="thin">
        <color auto="1"/>
      </left>
      <right/>
      <top style="thin">
        <color auto="1"/>
      </top>
      <bottom style="medium">
        <color indexed="64"/>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style="medium">
        <color auto="1"/>
      </right>
      <top/>
      <bottom style="medium">
        <color auto="1"/>
      </bottom>
      <diagonal/>
    </border>
    <border>
      <left/>
      <right/>
      <top style="medium">
        <color indexed="64"/>
      </top>
      <bottom style="thin">
        <color auto="1"/>
      </bottom>
      <diagonal/>
    </border>
    <border>
      <left style="thin">
        <color auto="1"/>
      </left>
      <right style="double">
        <color indexed="64"/>
      </right>
      <top style="thin">
        <color auto="1"/>
      </top>
      <bottom style="thin">
        <color auto="1"/>
      </bottom>
      <diagonal/>
    </border>
    <border>
      <left style="medium">
        <color indexed="64"/>
      </left>
      <right/>
      <top/>
      <bottom/>
      <diagonal/>
    </border>
    <border>
      <left style="thin">
        <color auto="1"/>
      </left>
      <right style="double">
        <color indexed="64"/>
      </right>
      <top style="medium">
        <color indexed="64"/>
      </top>
      <bottom style="thin">
        <color auto="1"/>
      </bottom>
      <diagonal/>
    </border>
    <border>
      <left/>
      <right style="thin">
        <color auto="1"/>
      </right>
      <top style="medium">
        <color indexed="64"/>
      </top>
      <bottom/>
      <diagonal/>
    </border>
    <border>
      <left/>
      <right style="medium">
        <color indexed="64"/>
      </right>
      <top style="thin">
        <color auto="1"/>
      </top>
      <bottom style="medium">
        <color indexed="64"/>
      </bottom>
      <diagonal/>
    </border>
    <border>
      <left style="thin">
        <color auto="1"/>
      </left>
      <right/>
      <top/>
      <bottom style="thin">
        <color auto="1"/>
      </bottom>
      <diagonal/>
    </border>
    <border>
      <left style="thin">
        <color auto="1"/>
      </left>
      <right style="medium">
        <color indexed="64"/>
      </right>
      <top style="medium">
        <color indexed="64"/>
      </top>
      <bottom/>
      <diagonal/>
    </border>
    <border>
      <left style="thin">
        <color rgb="FF000000"/>
      </left>
      <right/>
      <top style="thin">
        <color rgb="FF000000"/>
      </top>
      <bottom style="thin">
        <color rgb="FF000000"/>
      </bottom>
      <diagonal/>
    </border>
  </borders>
  <cellStyleXfs count="20">
    <xf numFmtId="0" fontId="0" fillId="0" borderId="0"/>
    <xf numFmtId="4" fontId="1" fillId="0" borderId="0" applyFont="0" applyFill="0" applyBorder="0" applyAlignment="0" applyProtection="0"/>
    <xf numFmtId="0" fontId="1" fillId="2" borderId="0" applyNumberFormat="0" applyFont="0" applyBorder="0" applyAlignment="0" applyProtection="0"/>
    <xf numFmtId="0" fontId="1" fillId="1" borderId="0" applyNumberFormat="0" applyFont="0" applyBorder="0" applyAlignment="0" applyProtection="0"/>
    <xf numFmtId="0" fontId="1" fillId="3" borderId="0" applyNumberFormat="0" applyFont="0" applyBorder="0" applyAlignment="0" applyProtection="0"/>
    <xf numFmtId="0" fontId="1" fillId="0" borderId="0" applyNumberFormat="0" applyFont="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cellStyleXfs>
  <cellXfs count="395">
    <xf numFmtId="0" fontId="0" fillId="0" borderId="0" xfId="0"/>
    <xf numFmtId="0" fontId="0" fillId="4" borderId="0" xfId="0" applyFill="1"/>
    <xf numFmtId="0" fontId="9" fillId="4" borderId="0" xfId="0" applyFont="1" applyFill="1"/>
    <xf numFmtId="0" fontId="9" fillId="0" borderId="16" xfId="0" applyFont="1" applyBorder="1" applyAlignment="1">
      <alignment horizontal="center" vertical="center"/>
    </xf>
    <xf numFmtId="0" fontId="0" fillId="7" borderId="2" xfId="0" applyFill="1" applyBorder="1"/>
    <xf numFmtId="0" fontId="0" fillId="8" borderId="10" xfId="0" applyFill="1" applyBorder="1"/>
    <xf numFmtId="0" fontId="11" fillId="9" borderId="3" xfId="0" applyFont="1" applyFill="1" applyBorder="1" applyAlignment="1">
      <alignment horizontal="center" vertical="center" wrapText="1"/>
    </xf>
    <xf numFmtId="0" fontId="0" fillId="4" borderId="0" xfId="0" applyFill="1" applyAlignment="1">
      <alignment horizontal="left" vertical="center"/>
    </xf>
    <xf numFmtId="0" fontId="11" fillId="7" borderId="9" xfId="0" applyFont="1" applyFill="1" applyBorder="1" applyAlignment="1">
      <alignment horizontal="center" vertical="center" wrapText="1"/>
    </xf>
    <xf numFmtId="0" fontId="11" fillId="9" borderId="9" xfId="0" applyFont="1" applyFill="1" applyBorder="1" applyAlignment="1">
      <alignment horizontal="center" vertical="center" wrapText="1"/>
    </xf>
    <xf numFmtId="0" fontId="9" fillId="0" borderId="17" xfId="0" applyFont="1" applyBorder="1" applyAlignment="1">
      <alignment horizontal="center" vertical="center"/>
    </xf>
    <xf numFmtId="0" fontId="0" fillId="8" borderId="9" xfId="0" applyFill="1" applyBorder="1"/>
    <xf numFmtId="0" fontId="0" fillId="10" borderId="9" xfId="0" applyFill="1" applyBorder="1"/>
    <xf numFmtId="0" fontId="0" fillId="11" borderId="11" xfId="0" applyFill="1" applyBorder="1"/>
    <xf numFmtId="0" fontId="11" fillId="8" borderId="9" xfId="0" applyFont="1" applyFill="1" applyBorder="1" applyAlignment="1">
      <alignment horizontal="center" vertical="center" wrapText="1"/>
    </xf>
    <xf numFmtId="0" fontId="11" fillId="11" borderId="9" xfId="0" applyFont="1" applyFill="1" applyBorder="1" applyAlignment="1">
      <alignment horizontal="center" vertical="center" wrapText="1"/>
    </xf>
    <xf numFmtId="0" fontId="0" fillId="11" borderId="9" xfId="0" applyFill="1" applyBorder="1"/>
    <xf numFmtId="0" fontId="11" fillId="10" borderId="9" xfId="0" applyFont="1" applyFill="1" applyBorder="1" applyAlignment="1">
      <alignment horizontal="center" vertical="center" wrapText="1"/>
    </xf>
    <xf numFmtId="0" fontId="11" fillId="12" borderId="9" xfId="0" applyFont="1" applyFill="1" applyBorder="1" applyAlignment="1">
      <alignment horizontal="center" vertical="center" wrapText="1"/>
    </xf>
    <xf numFmtId="0" fontId="9" fillId="0" borderId="18" xfId="0" applyFont="1" applyBorder="1" applyAlignment="1">
      <alignment horizontal="center" vertical="center"/>
    </xf>
    <xf numFmtId="0" fontId="11" fillId="12" borderId="4" xfId="0" applyFont="1" applyFill="1" applyBorder="1" applyAlignment="1">
      <alignment horizontal="center" vertical="center" wrapText="1"/>
    </xf>
    <xf numFmtId="0" fontId="11" fillId="12" borderId="12" xfId="0" applyFont="1" applyFill="1" applyBorder="1" applyAlignment="1">
      <alignment horizontal="center" vertical="center" wrapText="1"/>
    </xf>
    <xf numFmtId="0" fontId="11" fillId="12" borderId="5" xfId="0" applyFont="1" applyFill="1" applyBorder="1" applyAlignment="1">
      <alignment horizontal="center" vertical="center" wrapText="1"/>
    </xf>
    <xf numFmtId="0" fontId="9" fillId="0" borderId="0" xfId="0" applyFont="1"/>
    <xf numFmtId="0" fontId="9" fillId="0" borderId="19" xfId="0" applyFont="1" applyBorder="1" applyAlignment="1">
      <alignment horizontal="center" vertical="center"/>
    </xf>
    <xf numFmtId="0" fontId="9" fillId="0" borderId="20" xfId="0" applyFont="1" applyBorder="1" applyAlignment="1">
      <alignment horizontal="center" vertical="center"/>
    </xf>
    <xf numFmtId="0" fontId="0" fillId="13" borderId="10" xfId="0" applyFill="1" applyBorder="1"/>
    <xf numFmtId="0" fontId="12" fillId="13" borderId="9" xfId="0" applyFont="1" applyFill="1" applyBorder="1" applyAlignment="1">
      <alignment horizontal="center" vertical="center" wrapText="1"/>
    </xf>
    <xf numFmtId="0" fontId="0" fillId="13" borderId="8" xfId="0" applyFill="1" applyBorder="1"/>
    <xf numFmtId="0" fontId="0" fillId="10" borderId="8" xfId="0" applyFill="1" applyBorder="1"/>
    <xf numFmtId="0" fontId="0" fillId="9" borderId="9" xfId="0" applyFill="1" applyBorder="1"/>
    <xf numFmtId="0" fontId="2" fillId="4" borderId="0" xfId="0" applyFont="1" applyFill="1" applyAlignment="1">
      <alignment horizontal="left" vertical="center"/>
    </xf>
    <xf numFmtId="0" fontId="2" fillId="4" borderId="0" xfId="0" applyFont="1" applyFill="1" applyAlignment="1">
      <alignment horizontal="left" vertical="center" wrapText="1"/>
    </xf>
    <xf numFmtId="0" fontId="2" fillId="4" borderId="2" xfId="0" applyFont="1" applyFill="1" applyBorder="1" applyAlignment="1">
      <alignment horizontal="left" vertical="center" wrapText="1"/>
    </xf>
    <xf numFmtId="0" fontId="14" fillId="4" borderId="3" xfId="0" applyFont="1" applyFill="1" applyBorder="1" applyAlignment="1" applyProtection="1">
      <alignment horizontal="left" vertical="center" wrapText="1"/>
      <protection locked="0"/>
    </xf>
    <xf numFmtId="0" fontId="2" fillId="4" borderId="13" xfId="0" applyFont="1" applyFill="1" applyBorder="1" applyAlignment="1">
      <alignment horizontal="left" vertical="center" wrapText="1"/>
    </xf>
    <xf numFmtId="0" fontId="14" fillId="4" borderId="15" xfId="0" applyFont="1" applyFill="1" applyBorder="1" applyAlignment="1" applyProtection="1">
      <alignment horizontal="left" vertical="center" wrapText="1"/>
      <protection locked="0"/>
    </xf>
    <xf numFmtId="0" fontId="2" fillId="4" borderId="8" xfId="0" applyFont="1" applyFill="1" applyBorder="1" applyAlignment="1">
      <alignment horizontal="left" vertical="center" wrapText="1"/>
    </xf>
    <xf numFmtId="0" fontId="14" fillId="4" borderId="11" xfId="0" applyFont="1" applyFill="1" applyBorder="1" applyAlignment="1" applyProtection="1">
      <alignment horizontal="left" vertical="center" wrapText="1"/>
      <protection locked="0"/>
    </xf>
    <xf numFmtId="0" fontId="2" fillId="4" borderId="34" xfId="0" applyFont="1" applyFill="1" applyBorder="1" applyAlignment="1">
      <alignment horizontal="left" vertical="center" wrapText="1"/>
    </xf>
    <xf numFmtId="0" fontId="14" fillId="4" borderId="35" xfId="0" applyFont="1" applyFill="1" applyBorder="1" applyAlignment="1" applyProtection="1">
      <alignment horizontal="left" vertical="center" wrapText="1"/>
      <protection locked="0"/>
    </xf>
    <xf numFmtId="0" fontId="2" fillId="4" borderId="4" xfId="0" applyFont="1" applyFill="1" applyBorder="1" applyAlignment="1">
      <alignment horizontal="left" vertical="center" wrapText="1"/>
    </xf>
    <xf numFmtId="0" fontId="14" fillId="4" borderId="5" xfId="0" applyFont="1" applyFill="1" applyBorder="1" applyAlignment="1" applyProtection="1">
      <alignment horizontal="left" vertical="center" wrapText="1"/>
      <protection locked="0"/>
    </xf>
    <xf numFmtId="164" fontId="14" fillId="4" borderId="5" xfId="0" applyNumberFormat="1" applyFont="1" applyFill="1" applyBorder="1" applyAlignment="1" applyProtection="1">
      <alignment horizontal="left" vertical="center" wrapText="1"/>
      <protection locked="0"/>
    </xf>
    <xf numFmtId="0" fontId="22" fillId="0" borderId="9" xfId="0" applyFont="1" applyBorder="1" applyAlignment="1">
      <alignment horizontal="center" vertical="center"/>
    </xf>
    <xf numFmtId="0" fontId="23" fillId="12" borderId="9" xfId="0" applyFont="1" applyFill="1" applyBorder="1" applyAlignment="1">
      <alignment horizontal="center" vertical="center" wrapText="1"/>
    </xf>
    <xf numFmtId="0" fontId="5" fillId="4" borderId="0" xfId="0" applyFont="1" applyFill="1"/>
    <xf numFmtId="0" fontId="5" fillId="4" borderId="0" xfId="0" applyFont="1" applyFill="1" applyAlignment="1">
      <alignment horizontal="center" vertical="center" wrapText="1"/>
    </xf>
    <xf numFmtId="0" fontId="5" fillId="4" borderId="0" xfId="0" applyFont="1" applyFill="1" applyAlignment="1">
      <alignment horizontal="left" vertical="top" wrapText="1"/>
    </xf>
    <xf numFmtId="0" fontId="5" fillId="4" borderId="0" xfId="0" applyFont="1" applyFill="1" applyAlignment="1">
      <alignment horizontal="justify"/>
    </xf>
    <xf numFmtId="0" fontId="5" fillId="4" borderId="0" xfId="0" applyFont="1" applyFill="1" applyAlignment="1">
      <alignment horizontal="center" vertical="center"/>
    </xf>
    <xf numFmtId="0" fontId="5" fillId="0" borderId="0" xfId="0" applyFont="1"/>
    <xf numFmtId="0" fontId="6" fillId="4" borderId="0" xfId="0" applyFont="1" applyFill="1" applyAlignment="1">
      <alignment vertical="center"/>
    </xf>
    <xf numFmtId="0" fontId="6" fillId="0" borderId="0" xfId="0" applyFont="1" applyAlignment="1">
      <alignment vertical="center"/>
    </xf>
    <xf numFmtId="0" fontId="5" fillId="0" borderId="0" xfId="0" applyFont="1" applyAlignment="1">
      <alignment horizontal="center" vertical="center" wrapText="1"/>
    </xf>
    <xf numFmtId="0" fontId="5" fillId="0" borderId="0" xfId="0" applyFont="1" applyAlignment="1">
      <alignment horizontal="left" vertical="top" wrapText="1"/>
    </xf>
    <xf numFmtId="0" fontId="5" fillId="0" borderId="0" xfId="0" applyFont="1" applyAlignment="1">
      <alignment horizontal="justify"/>
    </xf>
    <xf numFmtId="0" fontId="5" fillId="0" borderId="0" xfId="0" applyFont="1" applyAlignment="1">
      <alignment horizontal="center" vertical="center"/>
    </xf>
    <xf numFmtId="0" fontId="14" fillId="4" borderId="0" xfId="0" applyFont="1" applyFill="1" applyAlignment="1">
      <alignment horizontal="left" vertical="center" wrapText="1"/>
    </xf>
    <xf numFmtId="0" fontId="8" fillId="4" borderId="0" xfId="0" applyFont="1" applyFill="1" applyAlignment="1">
      <alignment horizontal="left" vertical="center"/>
    </xf>
    <xf numFmtId="0" fontId="8" fillId="0" borderId="0" xfId="0" applyFont="1"/>
    <xf numFmtId="0" fontId="27" fillId="0" borderId="0" xfId="0" applyFont="1"/>
    <xf numFmtId="0" fontId="27" fillId="4" borderId="0" xfId="0" applyFont="1" applyFill="1"/>
    <xf numFmtId="0" fontId="23" fillId="12" borderId="23" xfId="0" applyFont="1" applyFill="1" applyBorder="1" applyAlignment="1">
      <alignment horizontal="center" vertical="center" wrapText="1"/>
    </xf>
    <xf numFmtId="0" fontId="22" fillId="0" borderId="23" xfId="0" applyFont="1" applyBorder="1" applyAlignment="1">
      <alignment horizontal="center" vertical="center"/>
    </xf>
    <xf numFmtId="0" fontId="23" fillId="12" borderId="45" xfId="0" applyFont="1" applyFill="1" applyBorder="1" applyAlignment="1">
      <alignment horizontal="center" vertical="center" wrapText="1"/>
    </xf>
    <xf numFmtId="0" fontId="22" fillId="0" borderId="45" xfId="0" applyFont="1" applyBorder="1" applyAlignment="1">
      <alignment horizontal="center" vertical="center"/>
    </xf>
    <xf numFmtId="0" fontId="11" fillId="12" borderId="10" xfId="0" applyFont="1" applyFill="1" applyBorder="1" applyAlignment="1">
      <alignment horizontal="center" vertical="center" wrapText="1"/>
    </xf>
    <xf numFmtId="0" fontId="11" fillId="12" borderId="47" xfId="0" applyFont="1" applyFill="1" applyBorder="1" applyAlignment="1">
      <alignment horizontal="center" vertical="center" wrapText="1"/>
    </xf>
    <xf numFmtId="0" fontId="11" fillId="12" borderId="29" xfId="0" applyFont="1" applyFill="1" applyBorder="1" applyAlignment="1">
      <alignment horizontal="center" vertical="center" wrapText="1"/>
    </xf>
    <xf numFmtId="0" fontId="13" fillId="0" borderId="8" xfId="0" applyFont="1" applyBorder="1" applyAlignment="1">
      <alignment vertical="top" wrapText="1"/>
    </xf>
    <xf numFmtId="0" fontId="22" fillId="0" borderId="11" xfId="0" applyFont="1" applyBorder="1" applyAlignment="1">
      <alignment horizontal="center" vertical="center"/>
    </xf>
    <xf numFmtId="0" fontId="13" fillId="0" borderId="24" xfId="0" applyFont="1" applyBorder="1" applyAlignment="1">
      <alignment vertical="top" wrapText="1"/>
    </xf>
    <xf numFmtId="0" fontId="0" fillId="33" borderId="46" xfId="0" applyFill="1" applyBorder="1" applyAlignment="1">
      <alignment horizontal="center"/>
    </xf>
    <xf numFmtId="0" fontId="0" fillId="37" borderId="46" xfId="0" applyFill="1" applyBorder="1" applyAlignment="1">
      <alignment horizontal="center"/>
    </xf>
    <xf numFmtId="0" fontId="0" fillId="38" borderId="46" xfId="0" applyFill="1" applyBorder="1" applyAlignment="1">
      <alignment horizontal="center"/>
    </xf>
    <xf numFmtId="0" fontId="0" fillId="35" borderId="46" xfId="0" applyFill="1" applyBorder="1" applyAlignment="1">
      <alignment horizontal="center"/>
    </xf>
    <xf numFmtId="0" fontId="0" fillId="11" borderId="46" xfId="0" applyFill="1" applyBorder="1" applyAlignment="1">
      <alignment horizontal="center"/>
    </xf>
    <xf numFmtId="0" fontId="31" fillId="0" borderId="0" xfId="0" applyFont="1" applyAlignment="1">
      <alignment readingOrder="1"/>
    </xf>
    <xf numFmtId="0" fontId="33" fillId="6" borderId="2" xfId="0" applyFont="1" applyFill="1" applyBorder="1" applyAlignment="1">
      <alignment horizontal="center" vertical="center" wrapText="1"/>
    </xf>
    <xf numFmtId="0" fontId="33" fillId="6" borderId="44" xfId="0" applyFont="1" applyFill="1" applyBorder="1" applyAlignment="1">
      <alignment vertical="center" wrapText="1"/>
    </xf>
    <xf numFmtId="0" fontId="16" fillId="17" borderId="4" xfId="0" applyFont="1" applyFill="1" applyBorder="1" applyAlignment="1">
      <alignment horizontal="center" vertical="center" textRotation="90" wrapText="1"/>
    </xf>
    <xf numFmtId="0" fontId="16" fillId="17" borderId="5" xfId="0" applyFont="1" applyFill="1" applyBorder="1" applyAlignment="1">
      <alignment horizontal="center" vertical="center" wrapText="1"/>
    </xf>
    <xf numFmtId="0" fontId="16" fillId="6" borderId="4" xfId="0" applyFont="1" applyFill="1" applyBorder="1" applyAlignment="1">
      <alignment horizontal="center" vertical="center" wrapText="1"/>
    </xf>
    <xf numFmtId="0" fontId="34" fillId="0" borderId="12" xfId="0" applyFont="1" applyBorder="1" applyAlignment="1">
      <alignment textRotation="90"/>
    </xf>
    <xf numFmtId="0" fontId="34" fillId="4" borderId="12" xfId="0" applyFont="1" applyFill="1" applyBorder="1" applyAlignment="1">
      <alignment textRotation="90"/>
    </xf>
    <xf numFmtId="0" fontId="16" fillId="16" borderId="12" xfId="0" applyFont="1" applyFill="1" applyBorder="1" applyAlignment="1">
      <alignment horizontal="center" vertical="center" wrapText="1"/>
    </xf>
    <xf numFmtId="0" fontId="16" fillId="16" borderId="5" xfId="0" applyFont="1" applyFill="1" applyBorder="1" applyAlignment="1">
      <alignment horizontal="center" vertical="center" wrapText="1"/>
    </xf>
    <xf numFmtId="0" fontId="34" fillId="0" borderId="9" xfId="0" applyFont="1" applyBorder="1"/>
    <xf numFmtId="0" fontId="34" fillId="0" borderId="9" xfId="0" applyFont="1" applyBorder="1" applyAlignment="1">
      <alignment textRotation="90" wrapText="1"/>
    </xf>
    <xf numFmtId="0" fontId="34" fillId="0" borderId="9" xfId="0" applyFont="1" applyBorder="1" applyAlignment="1">
      <alignment wrapText="1"/>
    </xf>
    <xf numFmtId="0" fontId="34" fillId="4" borderId="9" xfId="0" applyFont="1" applyFill="1" applyBorder="1"/>
    <xf numFmtId="0" fontId="34" fillId="28" borderId="9" xfId="0" applyFont="1" applyFill="1" applyBorder="1"/>
    <xf numFmtId="0" fontId="34" fillId="28" borderId="9" xfId="0" applyFont="1" applyFill="1" applyBorder="1" applyAlignment="1">
      <alignment textRotation="90" wrapText="1"/>
    </xf>
    <xf numFmtId="0" fontId="34" fillId="28" borderId="9" xfId="0" applyFont="1" applyFill="1" applyBorder="1" applyAlignment="1">
      <alignment wrapText="1"/>
    </xf>
    <xf numFmtId="0" fontId="34" fillId="24" borderId="9" xfId="0" applyFont="1" applyFill="1" applyBorder="1"/>
    <xf numFmtId="0" fontId="34" fillId="22" borderId="9" xfId="0" applyFont="1" applyFill="1" applyBorder="1"/>
    <xf numFmtId="0" fontId="34" fillId="22" borderId="9" xfId="0" applyFont="1" applyFill="1" applyBorder="1" applyAlignment="1">
      <alignment textRotation="90" wrapText="1"/>
    </xf>
    <xf numFmtId="0" fontId="34" fillId="22" borderId="9" xfId="0" applyFont="1" applyFill="1" applyBorder="1" applyAlignment="1">
      <alignment wrapText="1"/>
    </xf>
    <xf numFmtId="0" fontId="34" fillId="21" borderId="9" xfId="0" applyFont="1" applyFill="1" applyBorder="1"/>
    <xf numFmtId="0" fontId="35" fillId="6" borderId="4" xfId="0" applyFont="1" applyFill="1" applyBorder="1" applyAlignment="1">
      <alignment horizontal="center" vertical="center" wrapText="1"/>
    </xf>
    <xf numFmtId="0" fontId="36" fillId="0" borderId="12" xfId="0" applyFont="1" applyBorder="1" applyAlignment="1">
      <alignment textRotation="90"/>
    </xf>
    <xf numFmtId="0" fontId="36" fillId="4" borderId="12" xfId="0" applyFont="1" applyFill="1" applyBorder="1" applyAlignment="1">
      <alignment textRotation="90"/>
    </xf>
    <xf numFmtId="0" fontId="35" fillId="16" borderId="12" xfId="0" applyFont="1" applyFill="1" applyBorder="1" applyAlignment="1">
      <alignment horizontal="center" vertical="center" wrapText="1"/>
    </xf>
    <xf numFmtId="0" fontId="34" fillId="41" borderId="9" xfId="0" applyFont="1" applyFill="1" applyBorder="1"/>
    <xf numFmtId="0" fontId="34" fillId="41" borderId="9" xfId="0" applyFont="1" applyFill="1" applyBorder="1" applyAlignment="1">
      <alignment textRotation="90" wrapText="1"/>
    </xf>
    <xf numFmtId="0" fontId="34" fillId="41" borderId="9" xfId="0" applyFont="1" applyFill="1" applyBorder="1" applyAlignment="1">
      <alignment wrapText="1"/>
    </xf>
    <xf numFmtId="0" fontId="34" fillId="42" borderId="9" xfId="0" applyFont="1" applyFill="1" applyBorder="1"/>
    <xf numFmtId="0" fontId="34" fillId="42" borderId="9" xfId="0" applyFont="1" applyFill="1" applyBorder="1" applyAlignment="1">
      <alignment textRotation="90" wrapText="1"/>
    </xf>
    <xf numFmtId="0" fontId="34" fillId="42" borderId="9" xfId="0" applyFont="1" applyFill="1" applyBorder="1" applyAlignment="1">
      <alignment wrapText="1"/>
    </xf>
    <xf numFmtId="0" fontId="34" fillId="4" borderId="9" xfId="0" applyFont="1" applyFill="1" applyBorder="1" applyAlignment="1">
      <alignment horizontal="center" vertical="center" wrapText="1"/>
    </xf>
    <xf numFmtId="0" fontId="2" fillId="6" borderId="16" xfId="0" applyFont="1" applyFill="1" applyBorder="1" applyAlignment="1">
      <alignment horizontal="center" vertical="center" wrapText="1"/>
    </xf>
    <xf numFmtId="0" fontId="2" fillId="6" borderId="44" xfId="0" applyFont="1" applyFill="1" applyBorder="1" applyAlignment="1">
      <alignment horizontal="center" vertical="center" wrapText="1"/>
    </xf>
    <xf numFmtId="0" fontId="6" fillId="4" borderId="0" xfId="0" applyFont="1" applyFill="1" applyAlignment="1">
      <alignment horizontal="center" vertical="center"/>
    </xf>
    <xf numFmtId="0" fontId="6" fillId="0" borderId="0" xfId="0" applyFont="1" applyAlignment="1">
      <alignment horizontal="center" vertical="center"/>
    </xf>
    <xf numFmtId="0" fontId="19" fillId="4" borderId="0" xfId="0" applyFont="1" applyFill="1" applyAlignment="1">
      <alignment horizontal="center" vertical="center"/>
    </xf>
    <xf numFmtId="0" fontId="19" fillId="0" borderId="0" xfId="0" applyFont="1" applyAlignment="1">
      <alignment horizontal="center" vertical="center"/>
    </xf>
    <xf numFmtId="0" fontId="19" fillId="0" borderId="9" xfId="0" applyFont="1" applyBorder="1" applyAlignment="1">
      <alignment horizontal="center" vertical="center"/>
    </xf>
    <xf numFmtId="0" fontId="36" fillId="0" borderId="12" xfId="0" applyFont="1" applyBorder="1" applyAlignment="1">
      <alignment horizontal="center" vertical="center" textRotation="90"/>
    </xf>
    <xf numFmtId="0" fontId="36" fillId="4" borderId="12" xfId="0" applyFont="1" applyFill="1" applyBorder="1" applyAlignment="1">
      <alignment horizontal="center" vertical="center" textRotation="90"/>
    </xf>
    <xf numFmtId="0" fontId="36" fillId="15" borderId="5" xfId="0" applyFont="1" applyFill="1" applyBorder="1" applyAlignment="1">
      <alignment horizontal="center" vertical="center" wrapText="1"/>
    </xf>
    <xf numFmtId="0" fontId="36" fillId="17" borderId="4" xfId="0" applyFont="1" applyFill="1" applyBorder="1" applyAlignment="1">
      <alignment horizontal="center" vertical="center" textRotation="90" wrapText="1"/>
    </xf>
    <xf numFmtId="0" fontId="36" fillId="17" borderId="5" xfId="0" applyFont="1" applyFill="1" applyBorder="1" applyAlignment="1">
      <alignment horizontal="center" vertical="center" wrapText="1"/>
    </xf>
    <xf numFmtId="0" fontId="36" fillId="6" borderId="4" xfId="0" applyFont="1" applyFill="1" applyBorder="1" applyAlignment="1">
      <alignment horizontal="center" vertical="center" wrapText="1"/>
    </xf>
    <xf numFmtId="0" fontId="36" fillId="16" borderId="4" xfId="0" applyFont="1" applyFill="1" applyBorder="1" applyAlignment="1">
      <alignment horizontal="center" vertical="center" wrapText="1"/>
    </xf>
    <xf numFmtId="0" fontId="36" fillId="16" borderId="12" xfId="0" applyFont="1" applyFill="1" applyBorder="1" applyAlignment="1">
      <alignment horizontal="center" vertical="center" wrapText="1"/>
    </xf>
    <xf numFmtId="0" fontId="36" fillId="16" borderId="39" xfId="0" applyFont="1" applyFill="1" applyBorder="1" applyAlignment="1">
      <alignment horizontal="center" vertical="center" wrapText="1"/>
    </xf>
    <xf numFmtId="0" fontId="36" fillId="31" borderId="8" xfId="0" applyFont="1" applyFill="1" applyBorder="1" applyAlignment="1">
      <alignment horizontal="center" vertical="center" wrapText="1"/>
    </xf>
    <xf numFmtId="0" fontId="36" fillId="31" borderId="11" xfId="0" applyFont="1" applyFill="1" applyBorder="1" applyAlignment="1">
      <alignment horizontal="center" vertical="center" wrapText="1"/>
    </xf>
    <xf numFmtId="0" fontId="37" fillId="7" borderId="12" xfId="0" applyFont="1" applyFill="1" applyBorder="1" applyAlignment="1">
      <alignment horizontal="center" vertical="center" textRotation="90" wrapText="1"/>
    </xf>
    <xf numFmtId="0" fontId="38" fillId="13" borderId="12" xfId="0" applyFont="1" applyFill="1" applyBorder="1" applyAlignment="1">
      <alignment horizontal="center" vertical="center" textRotation="90" wrapText="1"/>
    </xf>
    <xf numFmtId="0" fontId="37" fillId="8" borderId="12" xfId="0" applyFont="1" applyFill="1" applyBorder="1" applyAlignment="1">
      <alignment horizontal="center" vertical="center" textRotation="90" wrapText="1"/>
    </xf>
    <xf numFmtId="0" fontId="37" fillId="10" borderId="12" xfId="0" applyFont="1" applyFill="1" applyBorder="1" applyAlignment="1">
      <alignment horizontal="center" vertical="center" textRotation="90" wrapText="1"/>
    </xf>
    <xf numFmtId="0" fontId="37" fillId="9" borderId="12" xfId="0" applyFont="1" applyFill="1" applyBorder="1" applyAlignment="1">
      <alignment horizontal="center" vertical="center" textRotation="90" wrapText="1"/>
    </xf>
    <xf numFmtId="0" fontId="37" fillId="11" borderId="12" xfId="0" applyFont="1" applyFill="1" applyBorder="1" applyAlignment="1">
      <alignment horizontal="center" vertical="center" textRotation="90" wrapText="1"/>
    </xf>
    <xf numFmtId="0" fontId="37" fillId="12" borderId="12" xfId="0" applyFont="1" applyFill="1" applyBorder="1" applyAlignment="1">
      <alignment horizontal="center" vertical="center" textRotation="90" wrapText="1"/>
    </xf>
    <xf numFmtId="0" fontId="18" fillId="4" borderId="0" xfId="0" applyFont="1" applyFill="1" applyAlignment="1">
      <alignment horizontal="left" vertical="center"/>
    </xf>
    <xf numFmtId="0" fontId="18" fillId="0" borderId="0" xfId="0" applyFont="1"/>
    <xf numFmtId="0" fontId="18" fillId="39" borderId="0" xfId="0" applyFont="1" applyFill="1"/>
    <xf numFmtId="0" fontId="34" fillId="14" borderId="9" xfId="0" applyFont="1" applyFill="1" applyBorder="1" applyAlignment="1" applyProtection="1">
      <alignment horizontal="left" vertical="center" wrapText="1"/>
      <protection locked="0"/>
    </xf>
    <xf numFmtId="0" fontId="34" fillId="17" borderId="9" xfId="0" applyFont="1" applyFill="1" applyBorder="1" applyAlignment="1" applyProtection="1">
      <alignment horizontal="center" vertical="center" wrapText="1"/>
      <protection locked="0"/>
    </xf>
    <xf numFmtId="0" fontId="34" fillId="17" borderId="9" xfId="0" applyFont="1" applyFill="1" applyBorder="1" applyAlignment="1" applyProtection="1">
      <alignment horizontal="left" vertical="center" wrapText="1"/>
      <protection locked="0"/>
    </xf>
    <xf numFmtId="0" fontId="34" fillId="16" borderId="9" xfId="0" applyFont="1" applyFill="1" applyBorder="1" applyAlignment="1">
      <alignment horizontal="center" vertical="center" wrapText="1"/>
    </xf>
    <xf numFmtId="0" fontId="34" fillId="16" borderId="9" xfId="0" applyFont="1" applyFill="1" applyBorder="1" applyAlignment="1" applyProtection="1">
      <alignment vertical="center" wrapText="1"/>
      <protection locked="0"/>
    </xf>
    <xf numFmtId="0" fontId="34" fillId="24" borderId="9" xfId="0" applyFont="1" applyFill="1" applyBorder="1" applyAlignment="1">
      <alignment horizontal="center" vertical="center" wrapText="1"/>
    </xf>
    <xf numFmtId="0" fontId="34" fillId="29" borderId="9" xfId="0" applyFont="1" applyFill="1" applyBorder="1" applyAlignment="1">
      <alignment horizontal="center" vertical="center" wrapText="1"/>
    </xf>
    <xf numFmtId="0" fontId="34" fillId="29" borderId="9" xfId="0" applyFont="1" applyFill="1" applyBorder="1" applyAlignment="1" applyProtection="1">
      <alignment horizontal="left" vertical="center" wrapText="1"/>
      <protection locked="0"/>
    </xf>
    <xf numFmtId="0" fontId="34" fillId="21" borderId="9" xfId="0" applyFont="1" applyFill="1" applyBorder="1" applyAlignment="1">
      <alignment horizontal="center" vertical="center" wrapText="1"/>
    </xf>
    <xf numFmtId="0" fontId="34" fillId="23" borderId="9" xfId="0" applyFont="1" applyFill="1" applyBorder="1" applyAlignment="1">
      <alignment horizontal="center" vertical="center" wrapText="1"/>
    </xf>
    <xf numFmtId="0" fontId="34" fillId="23" borderId="9" xfId="0" applyFont="1" applyFill="1" applyBorder="1" applyAlignment="1" applyProtection="1">
      <alignment horizontal="left" vertical="center" wrapText="1"/>
      <protection locked="0"/>
    </xf>
    <xf numFmtId="0" fontId="34" fillId="16" borderId="9" xfId="0" applyFont="1" applyFill="1" applyBorder="1" applyAlignment="1" applyProtection="1">
      <alignment horizontal="left" vertical="center" wrapText="1"/>
      <protection locked="0"/>
    </xf>
    <xf numFmtId="0" fontId="34" fillId="41" borderId="9" xfId="0" applyFont="1" applyFill="1" applyBorder="1" applyAlignment="1" applyProtection="1">
      <alignment horizontal="center" vertical="center" wrapText="1"/>
      <protection locked="0"/>
    </xf>
    <xf numFmtId="0" fontId="34" fillId="4" borderId="24" xfId="0" applyFont="1" applyFill="1" applyBorder="1" applyAlignment="1">
      <alignment horizontal="center" vertical="center" wrapText="1"/>
    </xf>
    <xf numFmtId="0" fontId="34" fillId="4" borderId="8" xfId="0" applyFont="1" applyFill="1" applyBorder="1" applyAlignment="1">
      <alignment horizontal="center" vertical="center" wrapText="1"/>
    </xf>
    <xf numFmtId="0" fontId="34" fillId="24" borderId="8" xfId="0" applyFont="1" applyFill="1" applyBorder="1" applyAlignment="1">
      <alignment horizontal="center" vertical="center" wrapText="1"/>
    </xf>
    <xf numFmtId="0" fontId="34" fillId="4" borderId="13" xfId="0" applyFont="1" applyFill="1" applyBorder="1" applyAlignment="1">
      <alignment horizontal="center" vertical="center" wrapText="1"/>
    </xf>
    <xf numFmtId="0" fontId="43" fillId="43" borderId="32" xfId="0" applyFont="1" applyFill="1" applyBorder="1" applyAlignment="1">
      <alignment horizontal="center" vertical="center" textRotation="90" wrapText="1"/>
    </xf>
    <xf numFmtId="0" fontId="43" fillId="43" borderId="49" xfId="0" applyFont="1" applyFill="1" applyBorder="1" applyAlignment="1">
      <alignment horizontal="center" vertical="center" wrapText="1"/>
    </xf>
    <xf numFmtId="0" fontId="43" fillId="44" borderId="4" xfId="0" applyFont="1" applyFill="1" applyBorder="1" applyAlignment="1">
      <alignment horizontal="center" vertical="center" wrapText="1"/>
    </xf>
    <xf numFmtId="0" fontId="43" fillId="44" borderId="49" xfId="0" applyFont="1" applyFill="1" applyBorder="1" applyAlignment="1">
      <alignment horizontal="center" vertical="center" textRotation="90" wrapText="1"/>
    </xf>
    <xf numFmtId="0" fontId="16" fillId="5" borderId="4" xfId="0" applyFont="1" applyFill="1" applyBorder="1" applyAlignment="1">
      <alignment horizontal="center" vertical="center" wrapText="1"/>
    </xf>
    <xf numFmtId="0" fontId="16" fillId="5" borderId="5" xfId="0" applyFont="1" applyFill="1" applyBorder="1" applyAlignment="1">
      <alignment horizontal="center" vertical="center" textRotation="90" wrapText="1"/>
    </xf>
    <xf numFmtId="0" fontId="16" fillId="45" borderId="4" xfId="0" applyFont="1" applyFill="1" applyBorder="1" applyAlignment="1">
      <alignment horizontal="center" vertical="center" textRotation="90" wrapText="1"/>
    </xf>
    <xf numFmtId="0" fontId="16" fillId="45" borderId="5" xfId="0" applyFont="1" applyFill="1" applyBorder="1" applyAlignment="1">
      <alignment horizontal="center" vertical="center" wrapText="1"/>
    </xf>
    <xf numFmtId="0" fontId="43" fillId="46" borderId="32" xfId="0" applyFont="1" applyFill="1" applyBorder="1" applyAlignment="1">
      <alignment horizontal="center" vertical="center" textRotation="90" wrapText="1"/>
    </xf>
    <xf numFmtId="0" fontId="43" fillId="46" borderId="49" xfId="0" applyFont="1" applyFill="1" applyBorder="1" applyAlignment="1">
      <alignment horizontal="center" vertical="center" wrapText="1"/>
    </xf>
    <xf numFmtId="0" fontId="34" fillId="45" borderId="9" xfId="0" applyFont="1" applyFill="1" applyBorder="1" applyAlignment="1" applyProtection="1">
      <alignment horizontal="center" vertical="center" wrapText="1"/>
      <protection locked="0"/>
    </xf>
    <xf numFmtId="0" fontId="34" fillId="47" borderId="9" xfId="0" applyFont="1" applyFill="1" applyBorder="1" applyAlignment="1" applyProtection="1">
      <alignment horizontal="center" vertical="center" wrapText="1"/>
      <protection locked="0"/>
    </xf>
    <xf numFmtId="0" fontId="34" fillId="48" borderId="9" xfId="0" applyFont="1" applyFill="1" applyBorder="1" applyAlignment="1" applyProtection="1">
      <alignment horizontal="center" vertical="center" wrapText="1"/>
      <protection locked="0"/>
    </xf>
    <xf numFmtId="0" fontId="34" fillId="5" borderId="9" xfId="0" applyFont="1" applyFill="1" applyBorder="1" applyAlignment="1" applyProtection="1">
      <alignment horizontal="center" vertical="center" wrapText="1"/>
      <protection locked="0"/>
    </xf>
    <xf numFmtId="0" fontId="34" fillId="49" borderId="9" xfId="0" applyFont="1" applyFill="1" applyBorder="1" applyAlignment="1" applyProtection="1">
      <alignment horizontal="center" vertical="center" wrapText="1"/>
      <protection locked="0"/>
    </xf>
    <xf numFmtId="0" fontId="34" fillId="50" borderId="9" xfId="0" applyFont="1" applyFill="1" applyBorder="1" applyAlignment="1" applyProtection="1">
      <alignment horizontal="center" vertical="center" wrapText="1"/>
      <protection locked="0"/>
    </xf>
    <xf numFmtId="0" fontId="34" fillId="17" borderId="9" xfId="0" applyFont="1" applyFill="1" applyBorder="1" applyAlignment="1" applyProtection="1">
      <alignment vertical="center" wrapText="1"/>
      <protection locked="0"/>
    </xf>
    <xf numFmtId="0" fontId="45" fillId="7" borderId="12" xfId="0" applyFont="1" applyFill="1" applyBorder="1" applyAlignment="1">
      <alignment horizontal="center" vertical="center" textRotation="90" wrapText="1"/>
    </xf>
    <xf numFmtId="0" fontId="33" fillId="13" borderId="12" xfId="0" applyFont="1" applyFill="1" applyBorder="1" applyAlignment="1">
      <alignment horizontal="center" vertical="center" textRotation="90" wrapText="1"/>
    </xf>
    <xf numFmtId="0" fontId="45" fillId="8" borderId="12" xfId="0" applyFont="1" applyFill="1" applyBorder="1" applyAlignment="1">
      <alignment horizontal="center" vertical="center" textRotation="90" wrapText="1"/>
    </xf>
    <xf numFmtId="0" fontId="45" fillId="10" borderId="12" xfId="0" applyFont="1" applyFill="1" applyBorder="1" applyAlignment="1">
      <alignment horizontal="center" vertical="center" textRotation="90" wrapText="1"/>
    </xf>
    <xf numFmtId="0" fontId="45" fillId="9" borderId="12" xfId="0" applyFont="1" applyFill="1" applyBorder="1" applyAlignment="1">
      <alignment horizontal="center" vertical="center" textRotation="90" wrapText="1"/>
    </xf>
    <xf numFmtId="0" fontId="45" fillId="11" borderId="12" xfId="0" applyFont="1" applyFill="1" applyBorder="1" applyAlignment="1">
      <alignment horizontal="center" vertical="center" textRotation="90" wrapText="1"/>
    </xf>
    <xf numFmtId="0" fontId="45" fillId="12" borderId="12" xfId="0" applyFont="1" applyFill="1" applyBorder="1" applyAlignment="1">
      <alignment horizontal="center" vertical="center" textRotation="90" wrapText="1"/>
    </xf>
    <xf numFmtId="0" fontId="18" fillId="4" borderId="8" xfId="0" applyFont="1" applyFill="1" applyBorder="1" applyAlignment="1">
      <alignment horizontal="center" vertical="center" wrapText="1"/>
    </xf>
    <xf numFmtId="0" fontId="36" fillId="4" borderId="8" xfId="0" applyFont="1" applyFill="1" applyBorder="1" applyAlignment="1">
      <alignment horizontal="center" vertical="center" wrapText="1"/>
    </xf>
    <xf numFmtId="0" fontId="18" fillId="0" borderId="0" xfId="0" applyFont="1" applyAlignment="1">
      <alignment wrapText="1"/>
    </xf>
    <xf numFmtId="0" fontId="34" fillId="16" borderId="9" xfId="0" applyFont="1" applyFill="1" applyBorder="1" applyAlignment="1" applyProtection="1">
      <alignment horizontal="center" vertical="center" wrapText="1"/>
      <protection locked="0"/>
    </xf>
    <xf numFmtId="0" fontId="34" fillId="14" borderId="9" xfId="0" applyFont="1" applyFill="1" applyBorder="1" applyAlignment="1" applyProtection="1">
      <alignment vertical="center" wrapText="1"/>
      <protection locked="0"/>
    </xf>
    <xf numFmtId="0" fontId="46" fillId="7" borderId="12" xfId="0" applyFont="1" applyFill="1" applyBorder="1" applyAlignment="1">
      <alignment horizontal="center" vertical="center" textRotation="90" wrapText="1"/>
    </xf>
    <xf numFmtId="0" fontId="47" fillId="13" borderId="12" xfId="0" applyFont="1" applyFill="1" applyBorder="1" applyAlignment="1">
      <alignment horizontal="center" vertical="center" textRotation="90" wrapText="1"/>
    </xf>
    <xf numFmtId="0" fontId="46" fillId="8" borderId="12" xfId="0" applyFont="1" applyFill="1" applyBorder="1" applyAlignment="1">
      <alignment horizontal="center" vertical="center" textRotation="90" wrapText="1"/>
    </xf>
    <xf numFmtId="0" fontId="46" fillId="10" borderId="12" xfId="0" applyFont="1" applyFill="1" applyBorder="1" applyAlignment="1">
      <alignment horizontal="center" vertical="center" textRotation="90" wrapText="1"/>
    </xf>
    <xf numFmtId="0" fontId="46" fillId="9" borderId="12" xfId="0" applyFont="1" applyFill="1" applyBorder="1" applyAlignment="1">
      <alignment horizontal="center" vertical="center" textRotation="90" wrapText="1"/>
    </xf>
    <xf numFmtId="0" fontId="46" fillId="11" borderId="12" xfId="0" applyFont="1" applyFill="1" applyBorder="1" applyAlignment="1">
      <alignment horizontal="center" vertical="center" textRotation="90" wrapText="1"/>
    </xf>
    <xf numFmtId="0" fontId="46" fillId="12" borderId="12" xfId="0" applyFont="1" applyFill="1" applyBorder="1" applyAlignment="1">
      <alignment horizontal="center" vertical="center" textRotation="90" wrapText="1"/>
    </xf>
    <xf numFmtId="0" fontId="48" fillId="12" borderId="9" xfId="0" applyFont="1" applyFill="1" applyBorder="1" applyAlignment="1">
      <alignment horizontal="center" vertical="center" textRotation="90" wrapText="1"/>
    </xf>
    <xf numFmtId="0" fontId="48" fillId="7" borderId="9" xfId="0" applyFont="1" applyFill="1" applyBorder="1" applyAlignment="1">
      <alignment horizontal="center" vertical="center" textRotation="90" wrapText="1"/>
    </xf>
    <xf numFmtId="0" fontId="2" fillId="13" borderId="9" xfId="0" applyFont="1" applyFill="1" applyBorder="1" applyAlignment="1">
      <alignment horizontal="center" vertical="center" textRotation="90" wrapText="1"/>
    </xf>
    <xf numFmtId="0" fontId="48" fillId="8" borderId="9" xfId="0" applyFont="1" applyFill="1" applyBorder="1" applyAlignment="1">
      <alignment horizontal="center" vertical="center" textRotation="90" wrapText="1"/>
    </xf>
    <xf numFmtId="0" fontId="48" fillId="10" borderId="9" xfId="0" applyFont="1" applyFill="1" applyBorder="1" applyAlignment="1">
      <alignment horizontal="center" vertical="center" textRotation="90" wrapText="1"/>
    </xf>
    <xf numFmtId="0" fontId="48" fillId="9" borderId="9" xfId="0" applyFont="1" applyFill="1" applyBorder="1" applyAlignment="1">
      <alignment horizontal="center" vertical="center" textRotation="90" wrapText="1"/>
    </xf>
    <xf numFmtId="0" fontId="48" fillId="11" borderId="9" xfId="0" applyFont="1" applyFill="1" applyBorder="1" applyAlignment="1">
      <alignment horizontal="center" vertical="center" textRotation="90" wrapText="1"/>
    </xf>
    <xf numFmtId="0" fontId="18" fillId="4" borderId="0" xfId="0" applyFont="1" applyFill="1" applyAlignment="1">
      <alignment horizontal="center" vertical="center"/>
    </xf>
    <xf numFmtId="0" fontId="34" fillId="15" borderId="25" xfId="0" applyFont="1" applyFill="1" applyBorder="1" applyAlignment="1">
      <alignment horizontal="center" vertical="center" wrapText="1"/>
    </xf>
    <xf numFmtId="0" fontId="34" fillId="17" borderId="9" xfId="0" applyFont="1" applyFill="1" applyBorder="1" applyAlignment="1">
      <alignment horizontal="center" vertical="center" wrapText="1"/>
    </xf>
    <xf numFmtId="0" fontId="34" fillId="17" borderId="25" xfId="0" applyFont="1" applyFill="1" applyBorder="1" applyAlignment="1">
      <alignment horizontal="center" vertical="center" wrapText="1"/>
    </xf>
    <xf numFmtId="0" fontId="34" fillId="16" borderId="25" xfId="0" applyFont="1" applyFill="1" applyBorder="1" applyAlignment="1">
      <alignment horizontal="center" vertical="center" wrapText="1"/>
    </xf>
    <xf numFmtId="0" fontId="34" fillId="16" borderId="25" xfId="0" applyFont="1" applyFill="1" applyBorder="1" applyAlignment="1" applyProtection="1">
      <alignment horizontal="center" vertical="center" wrapText="1"/>
      <protection locked="0"/>
    </xf>
    <xf numFmtId="0" fontId="18" fillId="0" borderId="0" xfId="0" applyFont="1" applyAlignment="1">
      <alignment horizontal="center" vertical="center"/>
    </xf>
    <xf numFmtId="0" fontId="18" fillId="0" borderId="9" xfId="0" applyFont="1" applyBorder="1" applyAlignment="1">
      <alignment horizontal="center" vertical="center"/>
    </xf>
    <xf numFmtId="0" fontId="34" fillId="15" borderId="9" xfId="0" applyFont="1" applyFill="1" applyBorder="1" applyAlignment="1">
      <alignment horizontal="center" vertical="center" wrapText="1"/>
    </xf>
    <xf numFmtId="0" fontId="34" fillId="26" borderId="9" xfId="0" applyFont="1" applyFill="1" applyBorder="1" applyAlignment="1">
      <alignment horizontal="center" vertical="center" wrapText="1"/>
    </xf>
    <xf numFmtId="0" fontId="34" fillId="27" borderId="9" xfId="0" applyFont="1" applyFill="1" applyBorder="1" applyAlignment="1">
      <alignment horizontal="center" vertical="center" wrapText="1"/>
    </xf>
    <xf numFmtId="0" fontId="34" fillId="30" borderId="9" xfId="0" applyFont="1" applyFill="1" applyBorder="1" applyAlignment="1">
      <alignment horizontal="center" vertical="center" wrapText="1"/>
    </xf>
    <xf numFmtId="0" fontId="34" fillId="19" borderId="9" xfId="0" applyFont="1" applyFill="1" applyBorder="1" applyAlignment="1">
      <alignment horizontal="center" vertical="center" wrapText="1"/>
    </xf>
    <xf numFmtId="0" fontId="34" fillId="20" borderId="9" xfId="0" applyFont="1" applyFill="1" applyBorder="1" applyAlignment="1">
      <alignment horizontal="center" vertical="center" wrapText="1"/>
    </xf>
    <xf numFmtId="0" fontId="34" fillId="19" borderId="14" xfId="0" applyFont="1" applyFill="1" applyBorder="1" applyAlignment="1">
      <alignment horizontal="center" vertical="center" wrapText="1"/>
    </xf>
    <xf numFmtId="0" fontId="34" fillId="20" borderId="14" xfId="0" applyFont="1" applyFill="1" applyBorder="1" applyAlignment="1">
      <alignment horizontal="center" vertical="center" wrapText="1"/>
    </xf>
    <xf numFmtId="0" fontId="34" fillId="23" borderId="14" xfId="0" applyFont="1" applyFill="1" applyBorder="1" applyAlignment="1">
      <alignment horizontal="center" vertical="center" wrapText="1"/>
    </xf>
    <xf numFmtId="0" fontId="34" fillId="17" borderId="14" xfId="0" applyFont="1" applyFill="1" applyBorder="1" applyAlignment="1">
      <alignment horizontal="center" vertical="center" wrapText="1"/>
    </xf>
    <xf numFmtId="0" fontId="5" fillId="4" borderId="0" xfId="0" applyFont="1" applyFill="1" applyAlignment="1">
      <alignment horizontal="left" vertical="center" wrapText="1"/>
    </xf>
    <xf numFmtId="0" fontId="34" fillId="4" borderId="25" xfId="0" applyFont="1" applyFill="1" applyBorder="1" applyAlignment="1">
      <alignment horizontal="left" vertical="center" wrapText="1"/>
    </xf>
    <xf numFmtId="0" fontId="34" fillId="4" borderId="9" xfId="0" applyFont="1" applyFill="1" applyBorder="1" applyAlignment="1">
      <alignment horizontal="left" vertical="center" wrapText="1"/>
    </xf>
    <xf numFmtId="0" fontId="34" fillId="4" borderId="14" xfId="0" applyFont="1" applyFill="1" applyBorder="1" applyAlignment="1">
      <alignment horizontal="left" vertical="center" wrapText="1"/>
    </xf>
    <xf numFmtId="0" fontId="41" fillId="39" borderId="25" xfId="0" applyFont="1" applyFill="1" applyBorder="1" applyAlignment="1">
      <alignment horizontal="left" vertical="center" wrapText="1"/>
    </xf>
    <xf numFmtId="0" fontId="5" fillId="0" borderId="0" xfId="0" applyFont="1" applyAlignment="1">
      <alignment horizontal="left" vertical="center" wrapText="1"/>
    </xf>
    <xf numFmtId="0" fontId="34" fillId="14" borderId="25" xfId="0" applyFont="1" applyFill="1" applyBorder="1" applyAlignment="1">
      <alignment horizontal="left" vertical="center" wrapText="1"/>
    </xf>
    <xf numFmtId="0" fontId="34" fillId="17" borderId="9" xfId="0" applyFont="1" applyFill="1" applyBorder="1" applyAlignment="1">
      <alignment horizontal="left" vertical="center" wrapText="1"/>
    </xf>
    <xf numFmtId="0" fontId="34" fillId="17" borderId="25" xfId="0" applyFont="1" applyFill="1" applyBorder="1" applyAlignment="1">
      <alignment horizontal="left" vertical="center" wrapText="1"/>
    </xf>
    <xf numFmtId="0" fontId="34" fillId="39" borderId="25" xfId="0" applyFont="1" applyFill="1" applyBorder="1" applyAlignment="1">
      <alignment horizontal="left" vertical="center" wrapText="1"/>
    </xf>
    <xf numFmtId="0" fontId="34" fillId="39" borderId="25" xfId="0" applyFont="1" applyFill="1" applyBorder="1" applyAlignment="1">
      <alignment horizontal="left" vertical="center"/>
    </xf>
    <xf numFmtId="0" fontId="34" fillId="39" borderId="25" xfId="0" applyFont="1" applyFill="1" applyBorder="1" applyAlignment="1">
      <alignment horizontal="left" vertical="center" textRotation="90" wrapText="1"/>
    </xf>
    <xf numFmtId="0" fontId="34" fillId="16" borderId="25" xfId="0" applyFont="1" applyFill="1" applyBorder="1" applyAlignment="1">
      <alignment horizontal="left" vertical="center" wrapText="1"/>
    </xf>
    <xf numFmtId="0" fontId="34" fillId="31" borderId="25" xfId="0" applyFont="1" applyFill="1" applyBorder="1" applyAlignment="1">
      <alignment horizontal="left" vertical="center" wrapText="1"/>
    </xf>
    <xf numFmtId="0" fontId="34" fillId="14" borderId="9" xfId="0" applyFont="1" applyFill="1" applyBorder="1" applyAlignment="1">
      <alignment horizontal="left" vertical="center" wrapText="1"/>
    </xf>
    <xf numFmtId="0" fontId="34" fillId="39" borderId="9" xfId="0" applyFont="1" applyFill="1" applyBorder="1" applyAlignment="1">
      <alignment horizontal="left" vertical="center" wrapText="1"/>
    </xf>
    <xf numFmtId="0" fontId="34" fillId="39" borderId="9" xfId="0" applyFont="1" applyFill="1" applyBorder="1" applyAlignment="1">
      <alignment horizontal="left" vertical="center"/>
    </xf>
    <xf numFmtId="0" fontId="34" fillId="39" borderId="9" xfId="0" applyFont="1" applyFill="1" applyBorder="1" applyAlignment="1">
      <alignment horizontal="left" vertical="center" textRotation="90" wrapText="1"/>
    </xf>
    <xf numFmtId="0" fontId="34" fillId="16" borderId="9" xfId="0" applyFont="1" applyFill="1" applyBorder="1" applyAlignment="1">
      <alignment horizontal="left" vertical="center" wrapText="1"/>
    </xf>
    <xf numFmtId="0" fontId="34" fillId="31" borderId="9" xfId="0" applyFont="1" applyFill="1" applyBorder="1" applyAlignment="1">
      <alignment horizontal="left" vertical="center" wrapText="1"/>
    </xf>
    <xf numFmtId="0" fontId="34" fillId="25" borderId="9" xfId="0" applyFont="1" applyFill="1" applyBorder="1" applyAlignment="1">
      <alignment horizontal="left" vertical="center" wrapText="1"/>
    </xf>
    <xf numFmtId="0" fontId="34" fillId="24" borderId="9" xfId="0" applyFont="1" applyFill="1" applyBorder="1" applyAlignment="1">
      <alignment horizontal="left" vertical="center" wrapText="1"/>
    </xf>
    <xf numFmtId="0" fontId="34" fillId="30" borderId="9" xfId="0" applyFont="1" applyFill="1" applyBorder="1" applyAlignment="1">
      <alignment horizontal="left" vertical="center" wrapText="1"/>
    </xf>
    <xf numFmtId="0" fontId="34" fillId="18" borderId="9" xfId="0" applyFont="1" applyFill="1" applyBorder="1" applyAlignment="1">
      <alignment horizontal="left" vertical="center" wrapText="1"/>
    </xf>
    <xf numFmtId="0" fontId="34" fillId="23" borderId="9" xfId="0" applyFont="1" applyFill="1" applyBorder="1" applyAlignment="1">
      <alignment horizontal="left" vertical="center" wrapText="1"/>
    </xf>
    <xf numFmtId="0" fontId="34" fillId="4" borderId="25" xfId="0" applyFont="1" applyFill="1" applyBorder="1" applyAlignment="1">
      <alignment horizontal="left" vertical="center"/>
    </xf>
    <xf numFmtId="0" fontId="34" fillId="4" borderId="9" xfId="0" applyFont="1" applyFill="1" applyBorder="1" applyAlignment="1">
      <alignment horizontal="left" vertical="center"/>
    </xf>
    <xf numFmtId="0" fontId="34" fillId="18" borderId="14" xfId="0" applyFont="1" applyFill="1" applyBorder="1" applyAlignment="1">
      <alignment horizontal="left" vertical="center" wrapText="1"/>
    </xf>
    <xf numFmtId="0" fontId="34" fillId="20" borderId="14" xfId="0" applyFont="1" applyFill="1" applyBorder="1" applyAlignment="1">
      <alignment horizontal="left" vertical="center" wrapText="1"/>
    </xf>
    <xf numFmtId="0" fontId="34" fillId="21" borderId="14" xfId="0" applyFont="1" applyFill="1" applyBorder="1" applyAlignment="1">
      <alignment horizontal="left" vertical="center" wrapText="1"/>
    </xf>
    <xf numFmtId="0" fontId="34" fillId="22" borderId="14" xfId="0" applyFont="1" applyFill="1" applyBorder="1" applyAlignment="1">
      <alignment horizontal="left" vertical="center"/>
    </xf>
    <xf numFmtId="0" fontId="34" fillId="22" borderId="14" xfId="0" applyFont="1" applyFill="1" applyBorder="1" applyAlignment="1">
      <alignment horizontal="left" vertical="center" textRotation="90" wrapText="1"/>
    </xf>
    <xf numFmtId="0" fontId="34" fillId="22" borderId="14" xfId="0" applyFont="1" applyFill="1" applyBorder="1" applyAlignment="1">
      <alignment horizontal="left" vertical="center" wrapText="1"/>
    </xf>
    <xf numFmtId="0" fontId="34" fillId="21" borderId="14" xfId="0" applyFont="1" applyFill="1" applyBorder="1" applyAlignment="1">
      <alignment horizontal="left" vertical="center"/>
    </xf>
    <xf numFmtId="0" fontId="34" fillId="32" borderId="14" xfId="0" applyFont="1" applyFill="1" applyBorder="1" applyAlignment="1">
      <alignment horizontal="left" vertical="center" wrapText="1"/>
    </xf>
    <xf numFmtId="0" fontId="34" fillId="29" borderId="9" xfId="0" applyFont="1" applyFill="1" applyBorder="1" applyAlignment="1">
      <alignment horizontal="left" vertical="center" wrapText="1"/>
    </xf>
    <xf numFmtId="0" fontId="34" fillId="40" borderId="9" xfId="0" applyFont="1" applyFill="1" applyBorder="1" applyAlignment="1">
      <alignment horizontal="left" vertical="center" wrapText="1"/>
    </xf>
    <xf numFmtId="0" fontId="34" fillId="32" borderId="9" xfId="0" applyFont="1" applyFill="1" applyBorder="1" applyAlignment="1">
      <alignment horizontal="left" vertical="center" wrapText="1"/>
    </xf>
    <xf numFmtId="0" fontId="34" fillId="23" borderId="14" xfId="0" applyFont="1" applyFill="1" applyBorder="1" applyAlignment="1">
      <alignment horizontal="left" vertical="center" wrapText="1"/>
    </xf>
    <xf numFmtId="0" fontId="34" fillId="31" borderId="14" xfId="0" applyFont="1" applyFill="1" applyBorder="1" applyAlignment="1">
      <alignment horizontal="left" vertical="center" wrapText="1"/>
    </xf>
    <xf numFmtId="0" fontId="34" fillId="31" borderId="50" xfId="0" applyFont="1" applyFill="1" applyBorder="1" applyAlignment="1">
      <alignment horizontal="left" vertical="center" wrapText="1"/>
    </xf>
    <xf numFmtId="0" fontId="34" fillId="31" borderId="21" xfId="0" applyFont="1" applyFill="1" applyBorder="1" applyAlignment="1">
      <alignment horizontal="left" vertical="center" wrapText="1"/>
    </xf>
    <xf numFmtId="0" fontId="11" fillId="0" borderId="10" xfId="0" applyFont="1" applyBorder="1" applyAlignment="1">
      <alignment horizontal="center" vertical="center" wrapText="1"/>
    </xf>
    <xf numFmtId="0" fontId="12" fillId="0" borderId="10" xfId="0" applyFont="1" applyBorder="1" applyAlignment="1">
      <alignment horizontal="center" vertical="center" wrapText="1"/>
    </xf>
    <xf numFmtId="0" fontId="11" fillId="0" borderId="3" xfId="0" applyFont="1" applyBorder="1" applyAlignment="1">
      <alignment horizontal="center" vertical="center" wrapText="1"/>
    </xf>
    <xf numFmtId="0" fontId="23" fillId="0" borderId="9" xfId="0" applyFont="1" applyBorder="1" applyAlignment="1">
      <alignment horizontal="center" vertical="center" wrapText="1"/>
    </xf>
    <xf numFmtId="0" fontId="24" fillId="0" borderId="9" xfId="0" applyFont="1" applyBorder="1" applyAlignment="1">
      <alignment horizontal="center" vertical="center" wrapText="1"/>
    </xf>
    <xf numFmtId="0" fontId="23" fillId="0" borderId="11" xfId="0" applyFont="1" applyBorder="1" applyAlignment="1">
      <alignment horizontal="center" vertical="center" wrapText="1"/>
    </xf>
    <xf numFmtId="0" fontId="7" fillId="5" borderId="4" xfId="0" applyFont="1" applyFill="1" applyBorder="1" applyAlignment="1">
      <alignment horizontal="center" vertical="center" wrapText="1"/>
    </xf>
    <xf numFmtId="0" fontId="36" fillId="5" borderId="5" xfId="0" applyFont="1" applyFill="1" applyBorder="1" applyAlignment="1">
      <alignment horizontal="center" vertical="center" textRotation="90" wrapText="1"/>
    </xf>
    <xf numFmtId="0" fontId="34" fillId="5" borderId="25" xfId="0" applyFont="1" applyFill="1" applyBorder="1" applyAlignment="1">
      <alignment horizontal="center" vertical="center" wrapText="1"/>
    </xf>
    <xf numFmtId="0" fontId="34" fillId="5" borderId="9" xfId="0" applyFont="1" applyFill="1" applyBorder="1" applyAlignment="1">
      <alignment horizontal="center" vertical="center" wrapText="1"/>
    </xf>
    <xf numFmtId="0" fontId="34" fillId="49" borderId="9" xfId="0" applyFont="1" applyFill="1" applyBorder="1" applyAlignment="1">
      <alignment horizontal="center" vertical="center" wrapText="1"/>
    </xf>
    <xf numFmtId="0" fontId="34" fillId="50" borderId="9" xfId="0" applyFont="1" applyFill="1" applyBorder="1" applyAlignment="1">
      <alignment horizontal="center" vertical="center" wrapText="1"/>
    </xf>
    <xf numFmtId="0" fontId="34" fillId="50" borderId="14" xfId="0" applyFont="1" applyFill="1" applyBorder="1" applyAlignment="1">
      <alignment horizontal="center" vertical="center" wrapText="1"/>
    </xf>
    <xf numFmtId="0" fontId="34" fillId="5" borderId="14" xfId="0" applyFont="1" applyFill="1" applyBorder="1" applyAlignment="1">
      <alignment horizontal="center" vertical="center" wrapText="1"/>
    </xf>
    <xf numFmtId="0" fontId="36" fillId="45" borderId="4" xfId="0" applyFont="1" applyFill="1" applyBorder="1" applyAlignment="1">
      <alignment horizontal="center" vertical="center" textRotation="90" wrapText="1"/>
    </xf>
    <xf numFmtId="0" fontId="34" fillId="45" borderId="25" xfId="0" applyFont="1" applyFill="1" applyBorder="1" applyAlignment="1">
      <alignment horizontal="center" vertical="center" wrapText="1"/>
    </xf>
    <xf numFmtId="0" fontId="34" fillId="45" borderId="9" xfId="0" applyFont="1" applyFill="1" applyBorder="1" applyAlignment="1">
      <alignment horizontal="center" vertical="center" wrapText="1"/>
    </xf>
    <xf numFmtId="0" fontId="34" fillId="48" borderId="9" xfId="0" applyFont="1" applyFill="1" applyBorder="1" applyAlignment="1">
      <alignment horizontal="center" vertical="center" wrapText="1"/>
    </xf>
    <xf numFmtId="0" fontId="34" fillId="47" borderId="9" xfId="0" applyFont="1" applyFill="1" applyBorder="1" applyAlignment="1">
      <alignment horizontal="center" vertical="center" wrapText="1"/>
    </xf>
    <xf numFmtId="0" fontId="34" fillId="47" borderId="14" xfId="0" applyFont="1" applyFill="1" applyBorder="1" applyAlignment="1">
      <alignment horizontal="center" vertical="center" wrapText="1"/>
    </xf>
    <xf numFmtId="0" fontId="34" fillId="45" borderId="14" xfId="0" applyFont="1" applyFill="1" applyBorder="1" applyAlignment="1">
      <alignment horizontal="center" vertical="center" wrapText="1"/>
    </xf>
    <xf numFmtId="0" fontId="49" fillId="4" borderId="9" xfId="0" applyFont="1" applyFill="1" applyBorder="1" applyAlignment="1">
      <alignment horizontal="center" vertical="center" wrapText="1"/>
    </xf>
    <xf numFmtId="0" fontId="16" fillId="17" borderId="4" xfId="0" applyFont="1" applyFill="1" applyBorder="1" applyAlignment="1">
      <alignment horizontal="center" vertical="center"/>
    </xf>
    <xf numFmtId="0" fontId="50" fillId="47" borderId="9" xfId="0" applyFont="1" applyFill="1" applyBorder="1" applyAlignment="1" applyProtection="1">
      <alignment horizontal="center" vertical="center" wrapText="1"/>
      <protection locked="0"/>
    </xf>
    <xf numFmtId="0" fontId="51" fillId="4" borderId="0" xfId="0" applyFont="1" applyFill="1" applyAlignment="1">
      <alignment horizontal="center" vertical="center" wrapText="1"/>
    </xf>
    <xf numFmtId="0" fontId="54" fillId="4" borderId="0" xfId="0" applyFont="1" applyFill="1" applyAlignment="1">
      <alignment horizontal="center" vertical="center" wrapText="1"/>
    </xf>
    <xf numFmtId="0" fontId="52" fillId="4" borderId="0" xfId="0" applyFont="1" applyFill="1" applyAlignment="1">
      <alignment vertical="top" wrapText="1"/>
    </xf>
    <xf numFmtId="0" fontId="55" fillId="4" borderId="0" xfId="0" applyFont="1" applyFill="1" applyAlignment="1">
      <alignment horizontal="center" vertical="center"/>
    </xf>
    <xf numFmtId="0" fontId="16" fillId="16" borderId="39" xfId="0" applyFont="1" applyFill="1" applyBorder="1" applyAlignment="1">
      <alignment horizontal="center" vertical="center" wrapText="1"/>
    </xf>
    <xf numFmtId="0" fontId="18" fillId="16" borderId="50" xfId="0" applyFont="1" applyFill="1" applyBorder="1" applyAlignment="1" applyProtection="1">
      <alignment horizontal="center" vertical="center" wrapText="1"/>
      <protection locked="0"/>
    </xf>
    <xf numFmtId="0" fontId="18" fillId="16" borderId="21" xfId="0" applyFont="1" applyFill="1" applyBorder="1" applyAlignment="1" applyProtection="1">
      <alignment horizontal="center" vertical="center" wrapText="1"/>
      <protection locked="0"/>
    </xf>
    <xf numFmtId="0" fontId="18" fillId="30" borderId="21" xfId="0" applyFont="1" applyFill="1" applyBorder="1" applyAlignment="1" applyProtection="1">
      <alignment horizontal="center" vertical="center" wrapText="1"/>
      <protection locked="0"/>
    </xf>
    <xf numFmtId="0" fontId="16" fillId="16" borderId="9" xfId="0" applyFont="1" applyFill="1" applyBorder="1" applyAlignment="1">
      <alignment horizontal="center" vertical="center" wrapText="1"/>
    </xf>
    <xf numFmtId="0" fontId="8" fillId="0" borderId="9" xfId="0" applyFont="1" applyBorder="1"/>
    <xf numFmtId="0" fontId="18" fillId="0" borderId="9" xfId="0" applyFont="1" applyBorder="1"/>
    <xf numFmtId="0" fontId="18" fillId="16" borderId="21" xfId="0" applyFont="1" applyFill="1" applyBorder="1" applyAlignment="1">
      <alignment horizontal="center" vertical="center" wrapText="1"/>
    </xf>
    <xf numFmtId="0" fontId="18" fillId="16" borderId="37" xfId="0" applyFont="1" applyFill="1" applyBorder="1" applyAlignment="1">
      <alignment horizontal="center" vertical="center" wrapText="1"/>
    </xf>
    <xf numFmtId="0" fontId="18" fillId="23" borderId="21" xfId="0" applyFont="1" applyFill="1" applyBorder="1" applyAlignment="1">
      <alignment horizontal="center" vertical="center" wrapText="1"/>
    </xf>
    <xf numFmtId="0" fontId="18" fillId="29" borderId="21" xfId="0" applyFont="1" applyFill="1" applyBorder="1" applyAlignment="1">
      <alignment horizontal="center" vertical="center" wrapText="1"/>
    </xf>
    <xf numFmtId="0" fontId="18" fillId="0" borderId="9" xfId="0" applyFont="1" applyBorder="1" applyAlignment="1">
      <alignment vertical="center" wrapText="1"/>
    </xf>
    <xf numFmtId="0" fontId="34" fillId="0" borderId="9" xfId="0" applyFont="1" applyBorder="1" applyAlignment="1">
      <alignment vertical="center" wrapText="1"/>
    </xf>
    <xf numFmtId="0" fontId="34" fillId="39" borderId="9" xfId="0" applyFont="1" applyFill="1" applyBorder="1" applyAlignment="1">
      <alignment vertical="center" wrapText="1"/>
    </xf>
    <xf numFmtId="0" fontId="34" fillId="0" borderId="9" xfId="0" applyFont="1" applyBorder="1" applyAlignment="1">
      <alignment horizontal="left" vertical="center" wrapText="1"/>
    </xf>
    <xf numFmtId="0" fontId="43" fillId="0" borderId="9" xfId="0" applyFont="1" applyBorder="1" applyAlignment="1">
      <alignment vertical="center" wrapText="1"/>
    </xf>
    <xf numFmtId="0" fontId="18" fillId="16" borderId="21" xfId="0" applyFont="1" applyFill="1" applyBorder="1" applyAlignment="1" applyProtection="1">
      <alignment horizontal="left" vertical="center" wrapText="1"/>
      <protection locked="0"/>
    </xf>
    <xf numFmtId="0" fontId="18" fillId="23" borderId="38" xfId="0" applyFont="1" applyFill="1" applyBorder="1" applyAlignment="1" applyProtection="1">
      <alignment horizontal="left" vertical="center" wrapText="1"/>
      <protection locked="0"/>
    </xf>
    <xf numFmtId="0" fontId="18" fillId="29" borderId="9" xfId="0" applyFont="1" applyFill="1" applyBorder="1" applyAlignment="1" applyProtection="1">
      <alignment horizontal="left" vertical="center" wrapText="1"/>
      <protection locked="0"/>
    </xf>
    <xf numFmtId="0" fontId="18" fillId="29" borderId="50" xfId="0" applyFont="1" applyFill="1" applyBorder="1" applyAlignment="1" applyProtection="1">
      <alignment horizontal="left" vertical="center" wrapText="1"/>
      <protection locked="0"/>
    </xf>
    <xf numFmtId="0" fontId="34" fillId="16" borderId="21" xfId="0" applyFont="1" applyFill="1" applyBorder="1" applyAlignment="1">
      <alignment horizontal="left" vertical="center" wrapText="1"/>
    </xf>
    <xf numFmtId="0" fontId="56" fillId="16" borderId="50" xfId="0" applyFont="1" applyFill="1" applyBorder="1" applyAlignment="1">
      <alignment horizontal="left" vertical="center" wrapText="1"/>
    </xf>
    <xf numFmtId="0" fontId="16" fillId="5" borderId="1" xfId="0" applyFont="1" applyFill="1" applyBorder="1" applyAlignment="1">
      <alignment vertical="center" wrapText="1"/>
    </xf>
    <xf numFmtId="0" fontId="16" fillId="5" borderId="22" xfId="0" applyFont="1" applyFill="1" applyBorder="1" applyAlignment="1">
      <alignment vertical="center" wrapText="1"/>
    </xf>
    <xf numFmtId="0" fontId="16" fillId="5" borderId="6" xfId="0" applyFont="1" applyFill="1" applyBorder="1" applyAlignment="1">
      <alignment vertical="center" wrapText="1"/>
    </xf>
    <xf numFmtId="0" fontId="16" fillId="5" borderId="0" xfId="0" applyFont="1" applyFill="1" applyAlignment="1">
      <alignment vertical="center" wrapText="1"/>
    </xf>
    <xf numFmtId="0" fontId="16" fillId="5" borderId="43" xfId="0" applyFont="1" applyFill="1" applyBorder="1" applyAlignment="1">
      <alignment vertical="center" wrapText="1"/>
    </xf>
    <xf numFmtId="0" fontId="8" fillId="0" borderId="25" xfId="0" applyFont="1" applyBorder="1"/>
    <xf numFmtId="0" fontId="34" fillId="16" borderId="37" xfId="0" applyFont="1" applyFill="1" applyBorder="1" applyAlignment="1">
      <alignment horizontal="left" vertical="center" wrapText="1"/>
    </xf>
    <xf numFmtId="0" fontId="34" fillId="23" borderId="21" xfId="0" applyFont="1" applyFill="1" applyBorder="1" applyAlignment="1">
      <alignment horizontal="left" vertical="center" wrapText="1"/>
    </xf>
    <xf numFmtId="0" fontId="18" fillId="23" borderId="21" xfId="0" applyFont="1" applyFill="1" applyBorder="1" applyAlignment="1">
      <alignment horizontal="left" vertical="center" wrapText="1"/>
    </xf>
    <xf numFmtId="0" fontId="38" fillId="0" borderId="21" xfId="0" applyFont="1" applyBorder="1" applyAlignment="1">
      <alignment vertical="center" wrapText="1"/>
    </xf>
    <xf numFmtId="0" fontId="37" fillId="0" borderId="52" xfId="0" applyFont="1" applyBorder="1" applyAlignment="1">
      <alignment vertical="center" wrapText="1"/>
    </xf>
    <xf numFmtId="0" fontId="38" fillId="0" borderId="50" xfId="0" applyFont="1" applyBorder="1" applyAlignment="1">
      <alignment vertical="center" wrapText="1"/>
    </xf>
    <xf numFmtId="0" fontId="38" fillId="24" borderId="21" xfId="0" applyFont="1" applyFill="1" applyBorder="1" applyAlignment="1">
      <alignment vertical="center" wrapText="1"/>
    </xf>
    <xf numFmtId="0" fontId="38" fillId="0" borderId="38" xfId="0" applyFont="1" applyBorder="1" applyAlignment="1">
      <alignment vertical="center" wrapText="1"/>
    </xf>
    <xf numFmtId="0" fontId="38" fillId="28" borderId="21" xfId="0" applyFont="1" applyFill="1" applyBorder="1" applyAlignment="1">
      <alignment vertical="center" wrapText="1"/>
    </xf>
    <xf numFmtId="0" fontId="26" fillId="5" borderId="1" xfId="0" applyFont="1" applyFill="1" applyBorder="1" applyAlignment="1">
      <alignment horizontal="left" vertical="center" wrapText="1"/>
    </xf>
    <xf numFmtId="0" fontId="26" fillId="5" borderId="22" xfId="0" applyFont="1" applyFill="1" applyBorder="1" applyAlignment="1">
      <alignment horizontal="left" vertical="center" wrapText="1"/>
    </xf>
    <xf numFmtId="0" fontId="26" fillId="5" borderId="7" xfId="0" applyFont="1" applyFill="1" applyBorder="1" applyAlignment="1">
      <alignment horizontal="left" vertical="center" wrapText="1"/>
    </xf>
    <xf numFmtId="0" fontId="16" fillId="5" borderId="1" xfId="0" applyFont="1" applyFill="1" applyBorder="1" applyAlignment="1">
      <alignment horizontal="left" vertical="center" wrapText="1"/>
    </xf>
    <xf numFmtId="0" fontId="16" fillId="5" borderId="22" xfId="0" applyFont="1" applyFill="1" applyBorder="1" applyAlignment="1">
      <alignment horizontal="left" vertical="center" wrapText="1"/>
    </xf>
    <xf numFmtId="0" fontId="16" fillId="5" borderId="6" xfId="0" applyFont="1" applyFill="1" applyBorder="1" applyAlignment="1">
      <alignment horizontal="left" vertical="center" wrapText="1"/>
    </xf>
    <xf numFmtId="0" fontId="16" fillId="5" borderId="0" xfId="0" applyFont="1" applyFill="1" applyAlignment="1">
      <alignment horizontal="left" vertical="center" wrapText="1"/>
    </xf>
    <xf numFmtId="0" fontId="16" fillId="5" borderId="43" xfId="0" applyFont="1" applyFill="1" applyBorder="1" applyAlignment="1">
      <alignment horizontal="left" vertical="center" wrapText="1"/>
    </xf>
    <xf numFmtId="0" fontId="2" fillId="5" borderId="26" xfId="0" applyFont="1" applyFill="1" applyBorder="1" applyAlignment="1">
      <alignment horizontal="center" vertical="center" wrapText="1"/>
    </xf>
    <xf numFmtId="0" fontId="2" fillId="5" borderId="27" xfId="0" applyFont="1" applyFill="1" applyBorder="1" applyAlignment="1">
      <alignment horizontal="center" vertical="center" wrapText="1"/>
    </xf>
    <xf numFmtId="0" fontId="2" fillId="5" borderId="33" xfId="0" applyFont="1" applyFill="1" applyBorder="1" applyAlignment="1">
      <alignment horizontal="center" vertical="center" wrapText="1"/>
    </xf>
    <xf numFmtId="0" fontId="2" fillId="5" borderId="51" xfId="0" applyFont="1" applyFill="1" applyBorder="1" applyAlignment="1">
      <alignment horizontal="center" vertical="center" wrapText="1"/>
    </xf>
    <xf numFmtId="0" fontId="14" fillId="5" borderId="2" xfId="0" applyFont="1" applyFill="1" applyBorder="1" applyAlignment="1">
      <alignment horizontal="right" vertical="center" wrapText="1"/>
    </xf>
    <xf numFmtId="0" fontId="14" fillId="5" borderId="3" xfId="0" applyFont="1" applyFill="1" applyBorder="1" applyAlignment="1">
      <alignment horizontal="right" vertical="center" wrapText="1"/>
    </xf>
    <xf numFmtId="0" fontId="14" fillId="5" borderId="4" xfId="0" applyFont="1" applyFill="1" applyBorder="1" applyAlignment="1">
      <alignment horizontal="right" vertical="center" wrapText="1"/>
    </xf>
    <xf numFmtId="0" fontId="14" fillId="5" borderId="5" xfId="0" applyFont="1" applyFill="1" applyBorder="1" applyAlignment="1">
      <alignment horizontal="right" vertical="center" wrapText="1"/>
    </xf>
    <xf numFmtId="0" fontId="33" fillId="5" borderId="2" xfId="0" applyFont="1" applyFill="1" applyBorder="1" applyAlignment="1">
      <alignment horizontal="center" vertical="center" wrapText="1"/>
    </xf>
    <xf numFmtId="0" fontId="33" fillId="5" borderId="3" xfId="0" applyFont="1" applyFill="1" applyBorder="1" applyAlignment="1">
      <alignment horizontal="center" vertical="center" wrapText="1"/>
    </xf>
    <xf numFmtId="0" fontId="33" fillId="45" borderId="2" xfId="0" applyFont="1" applyFill="1" applyBorder="1" applyAlignment="1">
      <alignment horizontal="center" vertical="center" wrapText="1"/>
    </xf>
    <xf numFmtId="0" fontId="33" fillId="45" borderId="3" xfId="0" applyFont="1" applyFill="1" applyBorder="1" applyAlignment="1">
      <alignment horizontal="center" vertical="center" wrapText="1"/>
    </xf>
    <xf numFmtId="0" fontId="33" fillId="17" borderId="2" xfId="0" applyFont="1" applyFill="1" applyBorder="1" applyAlignment="1">
      <alignment horizontal="center" vertical="center" wrapText="1"/>
    </xf>
    <xf numFmtId="0" fontId="33" fillId="17" borderId="3" xfId="0" applyFont="1" applyFill="1" applyBorder="1" applyAlignment="1">
      <alignment horizontal="center" vertical="center" wrapText="1"/>
    </xf>
    <xf numFmtId="0" fontId="16" fillId="16" borderId="9" xfId="0" applyFont="1" applyFill="1" applyBorder="1" applyAlignment="1">
      <alignment horizontal="center" vertical="center" wrapText="1"/>
    </xf>
    <xf numFmtId="0" fontId="30" fillId="4" borderId="0" xfId="0" applyFont="1" applyFill="1" applyAlignment="1">
      <alignment horizontal="center" vertical="center"/>
    </xf>
    <xf numFmtId="0" fontId="17" fillId="4" borderId="0" xfId="0" applyFont="1" applyFill="1" applyAlignment="1">
      <alignment horizontal="center" vertical="center"/>
    </xf>
    <xf numFmtId="0" fontId="2" fillId="5" borderId="46" xfId="0" applyFont="1" applyFill="1" applyBorder="1" applyAlignment="1">
      <alignment horizontal="center" vertical="center" wrapText="1"/>
    </xf>
    <xf numFmtId="0" fontId="2" fillId="5" borderId="0" xfId="0" applyFont="1" applyFill="1" applyAlignment="1">
      <alignment horizontal="center" vertical="center" wrapText="1"/>
    </xf>
    <xf numFmtId="0" fontId="16" fillId="16" borderId="50" xfId="0" applyFont="1" applyFill="1" applyBorder="1" applyAlignment="1">
      <alignment horizontal="center" vertical="center" wrapText="1"/>
    </xf>
    <xf numFmtId="0" fontId="16" fillId="16" borderId="31" xfId="0" applyFont="1" applyFill="1" applyBorder="1" applyAlignment="1">
      <alignment horizontal="center" vertical="center" wrapText="1"/>
    </xf>
    <xf numFmtId="0" fontId="16" fillId="5" borderId="30" xfId="0" applyFont="1" applyFill="1" applyBorder="1" applyAlignment="1">
      <alignment horizontal="left" vertical="center" wrapText="1"/>
    </xf>
    <xf numFmtId="0" fontId="16" fillId="5" borderId="31" xfId="0" applyFont="1" applyFill="1" applyBorder="1" applyAlignment="1">
      <alignment horizontal="left" vertical="center" wrapText="1"/>
    </xf>
    <xf numFmtId="0" fontId="16" fillId="5" borderId="36" xfId="0" applyFont="1" applyFill="1" applyBorder="1" applyAlignment="1">
      <alignment horizontal="left" vertical="center" wrapText="1"/>
    </xf>
    <xf numFmtId="0" fontId="2" fillId="5" borderId="28" xfId="0" applyFont="1" applyFill="1" applyBorder="1" applyAlignment="1">
      <alignment horizontal="center" vertical="center" wrapText="1"/>
    </xf>
    <xf numFmtId="0" fontId="10" fillId="4" borderId="0" xfId="0" applyFont="1" applyFill="1" applyAlignment="1">
      <alignment horizontal="center"/>
    </xf>
    <xf numFmtId="0" fontId="9" fillId="4" borderId="0" xfId="0" applyFont="1" applyFill="1" applyAlignment="1">
      <alignment horizontal="center" vertical="center" textRotation="90"/>
    </xf>
    <xf numFmtId="0" fontId="9" fillId="4" borderId="6" xfId="0" applyFont="1" applyFill="1" applyBorder="1" applyAlignment="1">
      <alignment horizontal="center"/>
    </xf>
    <xf numFmtId="0" fontId="20" fillId="5" borderId="26" xfId="0" applyFont="1" applyFill="1" applyBorder="1" applyAlignment="1">
      <alignment horizontal="left" vertical="center" wrapText="1"/>
    </xf>
    <xf numFmtId="0" fontId="20" fillId="5" borderId="27" xfId="0" applyFont="1" applyFill="1" applyBorder="1" applyAlignment="1">
      <alignment horizontal="left" vertical="center" wrapText="1"/>
    </xf>
    <xf numFmtId="0" fontId="20" fillId="5" borderId="51" xfId="0" applyFont="1" applyFill="1" applyBorder="1" applyAlignment="1">
      <alignment horizontal="left" vertical="center" wrapText="1"/>
    </xf>
    <xf numFmtId="0" fontId="7" fillId="31" borderId="8" xfId="0" applyFont="1" applyFill="1" applyBorder="1" applyAlignment="1">
      <alignment horizontal="center" vertical="center" wrapText="1"/>
    </xf>
    <xf numFmtId="0" fontId="7" fillId="31" borderId="11" xfId="0" applyFont="1" applyFill="1" applyBorder="1" applyAlignment="1">
      <alignment horizontal="center" vertical="center" wrapText="1"/>
    </xf>
    <xf numFmtId="0" fontId="25" fillId="5" borderId="40" xfId="0" applyFont="1" applyFill="1" applyBorder="1" applyAlignment="1">
      <alignment horizontal="center" vertical="center" wrapText="1"/>
    </xf>
    <xf numFmtId="0" fontId="21" fillId="5" borderId="41" xfId="0" applyFont="1" applyFill="1" applyBorder="1" applyAlignment="1">
      <alignment horizontal="center" vertical="center" wrapText="1"/>
    </xf>
    <xf numFmtId="0" fontId="21" fillId="5" borderId="42" xfId="0" applyFont="1" applyFill="1" applyBorder="1" applyAlignment="1">
      <alignment horizontal="center" vertical="center" wrapText="1"/>
    </xf>
    <xf numFmtId="0" fontId="21" fillId="5" borderId="43"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2" fillId="45" borderId="2" xfId="0" applyFont="1" applyFill="1" applyBorder="1" applyAlignment="1">
      <alignment horizontal="center" vertical="center" wrapText="1"/>
    </xf>
    <xf numFmtId="0" fontId="2" fillId="45" borderId="3" xfId="0" applyFont="1" applyFill="1" applyBorder="1" applyAlignment="1">
      <alignment horizontal="center" vertical="center" wrapText="1"/>
    </xf>
    <xf numFmtId="0" fontId="2" fillId="17" borderId="2" xfId="0" applyFont="1" applyFill="1" applyBorder="1" applyAlignment="1">
      <alignment horizontal="center" vertical="center" wrapText="1"/>
    </xf>
    <xf numFmtId="0" fontId="2" fillId="17" borderId="3" xfId="0" applyFont="1" applyFill="1" applyBorder="1" applyAlignment="1">
      <alignment horizontal="center" vertical="center" wrapText="1"/>
    </xf>
    <xf numFmtId="0" fontId="7" fillId="16" borderId="2" xfId="0" applyFont="1" applyFill="1" applyBorder="1" applyAlignment="1">
      <alignment horizontal="center" vertical="center" wrapText="1"/>
    </xf>
    <xf numFmtId="0" fontId="7" fillId="16" borderId="10" xfId="0" applyFont="1" applyFill="1" applyBorder="1" applyAlignment="1">
      <alignment horizontal="center" vertical="center" wrapText="1"/>
    </xf>
    <xf numFmtId="0" fontId="7" fillId="16" borderId="37" xfId="0" applyFont="1" applyFill="1" applyBorder="1" applyAlignment="1">
      <alignment horizontal="center" vertical="center" wrapText="1"/>
    </xf>
    <xf numFmtId="0" fontId="20" fillId="5" borderId="28" xfId="0" applyFont="1" applyFill="1" applyBorder="1" applyAlignment="1">
      <alignment horizontal="left" vertical="center" wrapText="1"/>
    </xf>
    <xf numFmtId="0" fontId="20" fillId="5" borderId="9" xfId="0" applyFont="1" applyFill="1" applyBorder="1" applyAlignment="1">
      <alignment horizontal="left" vertical="center" wrapText="1"/>
    </xf>
    <xf numFmtId="0" fontId="20" fillId="5" borderId="1" xfId="0" applyFont="1" applyFill="1" applyBorder="1" applyAlignment="1">
      <alignment horizontal="left" vertical="center" wrapText="1"/>
    </xf>
    <xf numFmtId="0" fontId="20" fillId="5" borderId="22" xfId="0" applyFont="1" applyFill="1" applyBorder="1" applyAlignment="1">
      <alignment horizontal="left" vertical="center" wrapText="1"/>
    </xf>
    <xf numFmtId="0" fontId="20" fillId="5" borderId="7" xfId="0" applyFont="1" applyFill="1" applyBorder="1" applyAlignment="1">
      <alignment horizontal="left" vertical="center" wrapText="1"/>
    </xf>
    <xf numFmtId="0" fontId="53" fillId="4" borderId="0" xfId="0" applyFont="1" applyFill="1" applyAlignment="1" applyProtection="1">
      <alignment horizontal="center" vertical="center"/>
      <protection hidden="1"/>
    </xf>
    <xf numFmtId="0" fontId="25" fillId="5" borderId="40" xfId="0" applyFont="1" applyFill="1" applyBorder="1" applyAlignment="1" applyProtection="1">
      <alignment horizontal="center" vertical="center" wrapText="1"/>
      <protection hidden="1"/>
    </xf>
    <xf numFmtId="0" fontId="25" fillId="5" borderId="48" xfId="0" applyFont="1" applyFill="1" applyBorder="1" applyAlignment="1" applyProtection="1">
      <alignment horizontal="center" vertical="center" wrapText="1"/>
      <protection hidden="1"/>
    </xf>
    <xf numFmtId="0" fontId="7" fillId="5" borderId="8" xfId="0" applyFont="1" applyFill="1" applyBorder="1" applyAlignment="1" applyProtection="1">
      <alignment horizontal="center" vertical="center"/>
      <protection hidden="1"/>
    </xf>
    <xf numFmtId="0" fontId="7" fillId="5" borderId="9" xfId="0" applyFont="1" applyFill="1" applyBorder="1" applyAlignment="1" applyProtection="1">
      <alignment horizontal="center" vertical="center"/>
      <protection hidden="1"/>
    </xf>
    <xf numFmtId="0" fontId="29" fillId="35" borderId="0" xfId="0" applyFont="1" applyFill="1" applyAlignment="1">
      <alignment horizontal="left" vertical="center"/>
    </xf>
    <xf numFmtId="0" fontId="29" fillId="36" borderId="0" xfId="0" applyFont="1" applyFill="1" applyAlignment="1">
      <alignment horizontal="left" vertical="center"/>
    </xf>
    <xf numFmtId="0" fontId="29" fillId="33" borderId="0" xfId="0" applyFont="1" applyFill="1" applyAlignment="1">
      <alignment horizontal="left" vertical="center"/>
    </xf>
    <xf numFmtId="0" fontId="29" fillId="34" borderId="0" xfId="0" applyFont="1" applyFill="1" applyAlignment="1">
      <alignment horizontal="left" vertical="center"/>
    </xf>
    <xf numFmtId="0" fontId="29" fillId="9" borderId="0" xfId="0" applyFont="1" applyFill="1" applyAlignment="1">
      <alignment horizontal="left" vertical="center"/>
    </xf>
    <xf numFmtId="0" fontId="34" fillId="51" borderId="9" xfId="0" applyFont="1" applyFill="1" applyBorder="1" applyAlignment="1" applyProtection="1">
      <alignment horizontal="left" vertical="center" wrapText="1"/>
      <protection locked="0"/>
    </xf>
    <xf numFmtId="0" fontId="34" fillId="52" borderId="9" xfId="0" applyFont="1" applyFill="1" applyBorder="1" applyAlignment="1" applyProtection="1">
      <alignment horizontal="left" vertical="center" wrapText="1"/>
      <protection locked="0"/>
    </xf>
  </cellXfs>
  <cellStyles count="20">
    <cellStyle name="Lien hypertexte" xfId="10" builtinId="8" hidden="1"/>
    <cellStyle name="Lien hypertexte" xfId="8" builtinId="8" hidden="1"/>
    <cellStyle name="Lien hypertexte" xfId="14" builtinId="8" hidden="1"/>
    <cellStyle name="Lien hypertexte" xfId="6" builtinId="8" hidden="1"/>
    <cellStyle name="Lien hypertexte" xfId="18" builtinId="8" hidden="1"/>
    <cellStyle name="Lien hypertexte" xfId="16" builtinId="8" hidden="1"/>
    <cellStyle name="Lien hypertexte" xfId="12" builtinId="8" hidden="1"/>
    <cellStyle name="Lien hypertexte visité" xfId="9" builtinId="9" hidden="1"/>
    <cellStyle name="Lien hypertexte visité" xfId="7" builtinId="9" hidden="1"/>
    <cellStyle name="Lien hypertexte visité" xfId="11" builtinId="9" hidden="1"/>
    <cellStyle name="Lien hypertexte visité" xfId="13" builtinId="9" hidden="1"/>
    <cellStyle name="Lien hypertexte visité" xfId="15" builtinId="9" hidden="1"/>
    <cellStyle name="Lien hypertexte visité" xfId="19" builtinId="9" hidden="1"/>
    <cellStyle name="Lien hypertexte visité" xfId="17" builtinId="9" hidden="1"/>
    <cellStyle name="Milliers,00" xfId="1" xr:uid="{00000000-0005-0000-0000-00000E000000}"/>
    <cellStyle name="Normal" xfId="0" builtinId="0"/>
    <cellStyle name="Ombré1" xfId="2" xr:uid="{00000000-0005-0000-0000-000010000000}"/>
    <cellStyle name="Ombré2" xfId="3" xr:uid="{00000000-0005-0000-0000-000011000000}"/>
    <cellStyle name="Ombré3" xfId="4" xr:uid="{00000000-0005-0000-0000-000012000000}"/>
    <cellStyle name="Vide" xfId="5" xr:uid="{00000000-0005-0000-0000-000013000000}"/>
  </cellStyles>
  <dxfs count="407">
    <dxf>
      <fill>
        <patternFill>
          <bgColor theme="0"/>
        </patternFill>
      </fill>
    </dxf>
    <dxf>
      <fill>
        <patternFill>
          <bgColor rgb="FFFF0000"/>
        </patternFill>
      </fill>
    </dxf>
    <dxf>
      <fill>
        <patternFill>
          <bgColor theme="0"/>
        </patternFill>
      </fill>
    </dxf>
    <dxf>
      <fill>
        <patternFill>
          <bgColor rgb="FFFF0000"/>
        </patternFill>
      </fill>
    </dxf>
    <dxf>
      <fill>
        <patternFill>
          <bgColor rgb="FF00B0F0"/>
        </patternFill>
      </fill>
    </dxf>
    <dxf>
      <fill>
        <patternFill>
          <bgColor rgb="FFFFFF00"/>
        </patternFill>
      </fill>
    </dxf>
    <dxf>
      <fill>
        <patternFill>
          <bgColor rgb="FFFF0000"/>
        </patternFill>
      </fill>
    </dxf>
    <dxf>
      <fill>
        <patternFill>
          <bgColor rgb="FF00B0F0"/>
        </patternFill>
      </fill>
    </dxf>
    <dxf>
      <fill>
        <patternFill>
          <bgColor rgb="FFFFFF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00B0F0"/>
        </patternFill>
      </fill>
    </dxf>
    <dxf>
      <fill>
        <patternFill>
          <bgColor rgb="FFFFFF00"/>
        </patternFill>
      </fill>
    </dxf>
    <dxf>
      <fill>
        <patternFill>
          <bgColor rgb="FF00B0F0"/>
        </patternFill>
      </fill>
    </dxf>
    <dxf>
      <fill>
        <patternFill>
          <bgColor rgb="FF7030A0"/>
        </patternFill>
      </fill>
    </dxf>
    <dxf>
      <fill>
        <patternFill>
          <bgColor rgb="FF00B0F0"/>
        </patternFill>
      </fill>
    </dxf>
    <dxf>
      <fill>
        <patternFill>
          <bgColor rgb="FFFFFF00"/>
        </patternFill>
      </fill>
    </dxf>
    <dxf>
      <fill>
        <patternFill>
          <bgColor rgb="FFFF0000"/>
        </patternFill>
      </fill>
    </dxf>
    <dxf>
      <fill>
        <patternFill>
          <bgColor rgb="FF7030A0"/>
        </patternFill>
      </fill>
    </dxf>
    <dxf>
      <fill>
        <patternFill>
          <bgColor rgb="FF92D050"/>
        </patternFill>
      </fill>
    </dxf>
    <dxf>
      <fill>
        <patternFill>
          <bgColor theme="0" tint="-0.24994659260841701"/>
        </patternFill>
      </fill>
    </dxf>
    <dxf>
      <fill>
        <patternFill>
          <bgColor theme="9" tint="-0.2499465926084170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9" tint="-0.24994659260841701"/>
        </patternFill>
      </fill>
    </dxf>
    <dxf>
      <fill>
        <patternFill>
          <bgColor theme="0" tint="-0.24994659260841701"/>
        </patternFill>
      </fill>
    </dxf>
    <dxf>
      <fill>
        <patternFill>
          <bgColor rgb="FF92D050"/>
        </patternFill>
      </fill>
    </dxf>
    <dxf>
      <fill>
        <patternFill>
          <bgColor rgb="FF7030A0"/>
        </patternFill>
      </fill>
    </dxf>
    <dxf>
      <fill>
        <patternFill>
          <bgColor rgb="FF7030A0"/>
        </patternFill>
      </fill>
    </dxf>
    <dxf>
      <fill>
        <patternFill>
          <bgColor rgb="FFFF0000"/>
        </patternFill>
      </fill>
    </dxf>
    <dxf>
      <fill>
        <patternFill>
          <bgColor rgb="FF00B0F0"/>
        </patternFill>
      </fill>
    </dxf>
    <dxf>
      <fill>
        <patternFill>
          <bgColor rgb="FFFFFF00"/>
        </patternFill>
      </fill>
    </dxf>
    <dxf>
      <fill>
        <patternFill>
          <bgColor rgb="FF00B0F0"/>
        </patternFill>
      </fill>
    </dxf>
    <dxf>
      <fill>
        <patternFill>
          <bgColor rgb="FFFFFF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theme="9" tint="-0.24994659260841701"/>
        </patternFill>
      </fill>
    </dxf>
    <dxf>
      <fill>
        <patternFill>
          <bgColor theme="0" tint="-0.24994659260841701"/>
        </patternFill>
      </fill>
    </dxf>
    <dxf>
      <fill>
        <patternFill>
          <bgColor rgb="FF92D050"/>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rgb="FF92D050"/>
        </patternFill>
      </fill>
    </dxf>
    <dxf>
      <fill>
        <patternFill>
          <bgColor theme="0" tint="-0.24994659260841701"/>
        </patternFill>
      </fill>
    </dxf>
    <dxf>
      <fill>
        <patternFill>
          <bgColor theme="9" tint="-0.24994659260841701"/>
        </patternFill>
      </fill>
    </dxf>
    <dxf>
      <fill>
        <patternFill>
          <bgColor rgb="FF7030A0"/>
        </patternFill>
      </fill>
    </dxf>
    <dxf>
      <fill>
        <patternFill>
          <bgColor rgb="FFFFFF00"/>
        </patternFill>
      </fill>
    </dxf>
    <dxf>
      <fill>
        <patternFill>
          <bgColor rgb="FF7030A0"/>
        </patternFill>
      </fill>
    </dxf>
    <dxf>
      <fill>
        <patternFill>
          <bgColor rgb="FF00B0F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FF0000"/>
        </patternFill>
      </fill>
    </dxf>
    <dxf>
      <fill>
        <patternFill>
          <bgColor rgb="FFFFFF00"/>
        </patternFill>
      </fill>
    </dxf>
    <dxf>
      <fill>
        <patternFill>
          <bgColor rgb="FF00B0F0"/>
        </patternFill>
      </fill>
    </dxf>
    <dxf>
      <fill>
        <patternFill>
          <bgColor rgb="FF92D050"/>
        </patternFill>
      </fill>
    </dxf>
    <dxf>
      <fill>
        <patternFill>
          <bgColor rgb="FF7030A0"/>
        </patternFill>
      </fill>
    </dxf>
    <dxf>
      <fill>
        <patternFill>
          <bgColor theme="0" tint="-0.24994659260841701"/>
        </patternFill>
      </fill>
    </dxf>
    <dxf>
      <fill>
        <patternFill>
          <bgColor theme="9" tint="-0.24994659260841701"/>
        </patternFill>
      </fill>
    </dxf>
    <dxf>
      <fill>
        <patternFill>
          <bgColor rgb="FF7030A0"/>
        </patternFill>
      </fill>
    </dxf>
    <dxf>
      <fill>
        <patternFill>
          <bgColor rgb="FFFFFF00"/>
        </patternFill>
      </fill>
    </dxf>
    <dxf>
      <fill>
        <patternFill>
          <bgColor rgb="FF00B0F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00B0F0"/>
        </patternFill>
      </fill>
    </dxf>
    <dxf>
      <fill>
        <patternFill>
          <bgColor rgb="FFFFFF00"/>
        </patternFill>
      </fill>
    </dxf>
    <dxf>
      <fill>
        <patternFill>
          <bgColor rgb="FFFF0000"/>
        </patternFill>
      </fill>
    </dxf>
    <dxf>
      <fill>
        <patternFill>
          <bgColor theme="9" tint="-0.24994659260841701"/>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theme="0" tint="-0.24994659260841701"/>
        </patternFill>
      </fill>
    </dxf>
    <dxf>
      <fill>
        <patternFill>
          <bgColor rgb="FF7030A0"/>
        </patternFill>
      </fill>
    </dxf>
    <dxf>
      <fill>
        <patternFill>
          <bgColor rgb="FF92D05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00B0F0"/>
        </patternFill>
      </fill>
    </dxf>
    <dxf>
      <fill>
        <patternFill>
          <bgColor rgb="FFFFFF00"/>
        </patternFill>
      </fill>
    </dxf>
    <dxf>
      <fill>
        <patternFill>
          <bgColor rgb="FFFF0000"/>
        </patternFill>
      </fill>
    </dxf>
    <dxf>
      <fill>
        <patternFill>
          <bgColor rgb="FF7030A0"/>
        </patternFill>
      </fill>
    </dxf>
    <dxf>
      <fill>
        <patternFill>
          <bgColor theme="0" tint="-0.24994659260841701"/>
        </patternFill>
      </fill>
    </dxf>
    <dxf>
      <fill>
        <patternFill>
          <bgColor theme="9" tint="-0.24994659260841701"/>
        </patternFill>
      </fill>
    </dxf>
    <dxf>
      <fill>
        <patternFill>
          <bgColor rgb="FF92D050"/>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00B0F0"/>
        </patternFill>
      </fill>
    </dxf>
    <dxf>
      <fill>
        <patternFill>
          <bgColor rgb="FFFFFF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66CCFF"/>
      <rgbColor rgb="00800000"/>
      <rgbColor rgb="00008000"/>
      <rgbColor rgb="00000080"/>
      <rgbColor rgb="00808000"/>
      <rgbColor rgb="00800080"/>
      <rgbColor rgb="00008080"/>
      <rgbColor rgb="00EAEAEA"/>
      <rgbColor rgb="00808080"/>
      <rgbColor rgb="009999FF"/>
      <rgbColor rgb="00993366"/>
      <rgbColor rgb="00FFFFCC"/>
      <rgbColor rgb="00CCFFFF"/>
      <rgbColor rgb="00660066"/>
      <rgbColor rgb="00FF8080"/>
      <rgbColor rgb="000066CC"/>
      <rgbColor rgb="00EAEAEA"/>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7C5BF3"/>
      <color rgb="FFCCCC00"/>
      <color rgb="FFFFFF00"/>
      <color rgb="FFFFFFCC"/>
      <color rgb="FFFFFF99"/>
      <color rgb="FFFFCD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fr-CA" sz="1600">
                <a:solidFill>
                  <a:sysClr val="windowText" lastClr="000000"/>
                </a:solidFill>
              </a:rPr>
              <a:t>Résultats synthèse de la priorisation des cibles des ODD</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fr-FR"/>
        </a:p>
      </c:txPr>
    </c:title>
    <c:autoTitleDeleted val="0"/>
    <c:plotArea>
      <c:layout/>
      <c:barChart>
        <c:barDir val="bar"/>
        <c:grouping val="clustered"/>
        <c:varyColors val="0"/>
        <c:ser>
          <c:idx val="0"/>
          <c:order val="0"/>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5519-41AC-BC43-67BE7C002D58}"/>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5519-41AC-BC43-67BE7C002D58}"/>
              </c:ext>
            </c:extLst>
          </c:dPt>
          <c:dPt>
            <c:idx val="2"/>
            <c:invertIfNegative val="0"/>
            <c:bubble3D val="0"/>
            <c:spPr>
              <a:solidFill>
                <a:srgbClr val="FFFF00"/>
              </a:solidFill>
              <a:ln>
                <a:noFill/>
              </a:ln>
              <a:effectLst/>
            </c:spPr>
            <c:extLst>
              <c:ext xmlns:c16="http://schemas.microsoft.com/office/drawing/2014/chart" uri="{C3380CC4-5D6E-409C-BE32-E72D297353CC}">
                <c16:uniqueId val="{00000005-5519-41AC-BC43-67BE7C002D58}"/>
              </c:ext>
            </c:extLst>
          </c:dPt>
          <c:dPt>
            <c:idx val="3"/>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7-5519-41AC-BC43-67BE7C002D58}"/>
              </c:ext>
            </c:extLst>
          </c:dPt>
          <c:dPt>
            <c:idx val="4"/>
            <c:invertIfNegative val="0"/>
            <c:bubble3D val="0"/>
            <c:spPr>
              <a:solidFill>
                <a:srgbClr val="92D050"/>
              </a:solidFill>
              <a:ln>
                <a:noFill/>
              </a:ln>
              <a:effectLst/>
            </c:spPr>
            <c:extLst>
              <c:ext xmlns:c16="http://schemas.microsoft.com/office/drawing/2014/chart" uri="{C3380CC4-5D6E-409C-BE32-E72D297353CC}">
                <c16:uniqueId val="{00000009-5519-41AC-BC43-67BE7C002D58}"/>
              </c:ext>
            </c:extLst>
          </c:dPt>
          <c:dPt>
            <c:idx val="5"/>
            <c:invertIfNegative val="0"/>
            <c:bubble3D val="0"/>
            <c:spPr>
              <a:solidFill>
                <a:srgbClr val="7030A0"/>
              </a:solidFill>
              <a:ln>
                <a:noFill/>
              </a:ln>
              <a:effectLst/>
            </c:spPr>
            <c:extLst>
              <c:ext xmlns:c16="http://schemas.microsoft.com/office/drawing/2014/chart" uri="{C3380CC4-5D6E-409C-BE32-E72D297353CC}">
                <c16:uniqueId val="{0000000B-5519-41AC-BC43-67BE7C002D58}"/>
              </c:ext>
            </c:extLst>
          </c:dPt>
          <c:dPt>
            <c:idx val="6"/>
            <c:invertIfNegative val="0"/>
            <c:bubble3D val="0"/>
            <c:spPr>
              <a:solidFill>
                <a:schemeClr val="bg1">
                  <a:lumMod val="75000"/>
                </a:schemeClr>
              </a:solidFill>
              <a:ln>
                <a:noFill/>
              </a:ln>
              <a:effectLst/>
            </c:spPr>
            <c:extLst>
              <c:ext xmlns:c16="http://schemas.microsoft.com/office/drawing/2014/chart" uri="{C3380CC4-5D6E-409C-BE32-E72D297353CC}">
                <c16:uniqueId val="{0000000D-5519-41AC-BC43-67BE7C002D58}"/>
              </c:ext>
            </c:extLst>
          </c:dPt>
          <c:dPt>
            <c:idx val="7"/>
            <c:invertIfNegative val="0"/>
            <c:bubble3D val="0"/>
            <c:spPr>
              <a:solidFill>
                <a:schemeClr val="bg1">
                  <a:lumMod val="75000"/>
                </a:schemeClr>
              </a:solidFill>
              <a:ln>
                <a:noFill/>
              </a:ln>
              <a:effectLst/>
            </c:spPr>
            <c:extLst>
              <c:ext xmlns:c16="http://schemas.microsoft.com/office/drawing/2014/chart" uri="{C3380CC4-5D6E-409C-BE32-E72D297353CC}">
                <c16:uniqueId val="{0000000F-5519-41AC-BC43-67BE7C002D5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'Résultats synthèse'!$G$1:$M$1</c:f>
              <c:strCache>
                <c:ptCount val="7"/>
                <c:pt idx="0">
                  <c:v>Urgentes</c:v>
                </c:pt>
                <c:pt idx="1">
                  <c:v>Prioritaires</c:v>
                </c:pt>
                <c:pt idx="2">
                  <c:v>À moyen terme</c:v>
                </c:pt>
                <c:pt idx="3">
                  <c:v>À long terme</c:v>
                </c:pt>
                <c:pt idx="4">
                  <c:v>À consolider</c:v>
                </c:pt>
                <c:pt idx="5">
                  <c:v>Non prioritaires</c:v>
                </c:pt>
                <c:pt idx="6">
                  <c:v>Non pertinentes</c:v>
                </c:pt>
              </c:strCache>
            </c:strRef>
          </c:cat>
          <c:val>
            <c:numRef>
              <c:f>'Résultats synthèse'!$G$3:$M$3</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10-5519-41AC-BC43-67BE7C002D58}"/>
            </c:ext>
          </c:extLst>
        </c:ser>
        <c:dLbls>
          <c:dLblPos val="outEnd"/>
          <c:showLegendKey val="0"/>
          <c:showVal val="1"/>
          <c:showCatName val="0"/>
          <c:showSerName val="0"/>
          <c:showPercent val="0"/>
          <c:showBubbleSize val="0"/>
        </c:dLbls>
        <c:gapWidth val="182"/>
        <c:axId val="48678400"/>
        <c:axId val="48684416"/>
      </c:barChart>
      <c:catAx>
        <c:axId val="48678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Calibri" panose="020F0502020204030204" pitchFamily="34" charset="0"/>
                <a:ea typeface="+mn-ea"/>
                <a:cs typeface="Calibri" panose="020F0502020204030204" pitchFamily="34" charset="0"/>
              </a:defRPr>
            </a:pPr>
            <a:endParaRPr lang="fr-FR"/>
          </a:p>
        </c:txPr>
        <c:crossAx val="48684416"/>
        <c:crosses val="autoZero"/>
        <c:auto val="1"/>
        <c:lblAlgn val="ctr"/>
        <c:lblOffset val="100"/>
        <c:noMultiLvlLbl val="0"/>
      </c:catAx>
      <c:valAx>
        <c:axId val="486844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r>
                  <a:rPr lang="fr-CA" sz="1800">
                    <a:solidFill>
                      <a:sysClr val="windowText" lastClr="000000"/>
                    </a:solidFill>
                  </a:rPr>
                  <a:t>Nombre de cibles</a:t>
                </a:r>
              </a:p>
            </c:rich>
          </c:tx>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crossAx val="486784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bg1">
          <a:lumMod val="7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19050</xdr:colOff>
      <xdr:row>0</xdr:row>
      <xdr:rowOff>0</xdr:rowOff>
    </xdr:from>
    <xdr:to>
      <xdr:col>12</xdr:col>
      <xdr:colOff>390525</xdr:colOff>
      <xdr:row>61</xdr:row>
      <xdr:rowOff>38100</xdr:rowOff>
    </xdr:to>
    <xdr:sp macro="" textlink="">
      <xdr:nvSpPr>
        <xdr:cNvPr id="2" name="ZoneTexte 1">
          <a:extLst>
            <a:ext uri="{FF2B5EF4-FFF2-40B4-BE49-F238E27FC236}">
              <a16:creationId xmlns:a16="http://schemas.microsoft.com/office/drawing/2014/main" id="{6C9144BA-546D-4B82-AAE3-68A657F406FB}"/>
            </a:ext>
          </a:extLst>
        </xdr:cNvPr>
        <xdr:cNvSpPr txBox="1"/>
      </xdr:nvSpPr>
      <xdr:spPr>
        <a:xfrm>
          <a:off x="19050" y="0"/>
          <a:ext cx="9789795" cy="97993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fr-CA" sz="1800" b="1">
            <a:solidFill>
              <a:schemeClr val="dk1"/>
            </a:solidFill>
            <a:effectLst/>
            <a:latin typeface="+mn-lt"/>
            <a:ea typeface="+mn-ea"/>
            <a:cs typeface="+mn-cs"/>
          </a:endParaRPr>
        </a:p>
        <a:p>
          <a:pPr algn="ctr"/>
          <a:endParaRPr lang="fr-CA" sz="3600" b="0">
            <a:solidFill>
              <a:schemeClr val="dk1"/>
            </a:solidFill>
            <a:effectLst/>
            <a:latin typeface="Segoe UI Light" panose="020B0502040204020203" pitchFamily="34" charset="0"/>
            <a:ea typeface="+mn-ea"/>
            <a:cs typeface="Segoe UI Light" panose="020B0502040204020203" pitchFamily="34" charset="0"/>
          </a:endParaRPr>
        </a:p>
        <a:p>
          <a:pPr algn="ctr"/>
          <a:r>
            <a:rPr lang="fr-CA" sz="2800" b="0">
              <a:solidFill>
                <a:schemeClr val="dk1"/>
              </a:solidFill>
              <a:effectLst/>
              <a:latin typeface="Segoe UI Light" panose="020B0502040204020203" pitchFamily="34" charset="0"/>
              <a:ea typeface="+mn-ea"/>
              <a:cs typeface="Segoe UI Light" panose="020B0502040204020203" pitchFamily="34" charset="0"/>
            </a:rPr>
            <a:t>GRILLE DE PRIORISATION DES CIBLES DES ONR</a:t>
          </a:r>
        </a:p>
        <a:p>
          <a:pPr algn="ctr"/>
          <a:r>
            <a:rPr lang="fr-CA" sz="2800" b="0">
              <a:solidFill>
                <a:schemeClr val="dk1"/>
              </a:solidFill>
              <a:effectLst/>
              <a:latin typeface="Segoe UI Light" panose="020B0502040204020203" pitchFamily="34" charset="0"/>
              <a:ea typeface="+mn-ea"/>
              <a:cs typeface="Segoe UI Light" panose="020B0502040204020203" pitchFamily="34" charset="0"/>
            </a:rPr>
            <a:t>(GPC-ONR)</a:t>
          </a:r>
        </a:p>
        <a:p>
          <a:pPr algn="ctr"/>
          <a:r>
            <a:rPr lang="fr-CA" sz="1800" b="0">
              <a:solidFill>
                <a:schemeClr val="dk1"/>
              </a:solidFill>
              <a:effectLst/>
              <a:latin typeface="Segoe UI Light" panose="020B0502040204020203" pitchFamily="34" charset="0"/>
              <a:ea typeface="+mn-ea"/>
              <a:cs typeface="Segoe UI Light" panose="020B0502040204020203" pitchFamily="34" charset="0"/>
            </a:rPr>
            <a:t>OUTIL</a:t>
          </a:r>
          <a:r>
            <a:rPr lang="fr-CA" sz="1800" b="0" baseline="0">
              <a:solidFill>
                <a:schemeClr val="dk1"/>
              </a:solidFill>
              <a:effectLst/>
              <a:latin typeface="Segoe UI Light" panose="020B0502040204020203" pitchFamily="34" charset="0"/>
              <a:ea typeface="+mn-ea"/>
              <a:cs typeface="Segoe UI Light" panose="020B0502040204020203" pitchFamily="34" charset="0"/>
            </a:rPr>
            <a:t> D'INFORMATION ET DE PRIORISATION PARTICIPATIVE DES CIBLES DES ONR</a:t>
          </a:r>
        </a:p>
        <a:p>
          <a:pPr algn="ctr"/>
          <a:r>
            <a:rPr lang="fr-CA" sz="2000" b="0" baseline="0">
              <a:solidFill>
                <a:schemeClr val="dk1"/>
              </a:solidFill>
              <a:effectLst/>
              <a:latin typeface="Segoe UI Light" panose="020B0502040204020203" pitchFamily="34" charset="0"/>
              <a:ea typeface="+mn-ea"/>
              <a:cs typeface="Segoe UI Light" panose="020B0502040204020203" pitchFamily="34" charset="0"/>
            </a:rPr>
            <a:t>________________________________________________________________________________________</a:t>
          </a:r>
          <a:br>
            <a:rPr lang="fr-CA" sz="1800" b="1">
              <a:solidFill>
                <a:schemeClr val="dk1"/>
              </a:solidFill>
              <a:effectLst/>
              <a:latin typeface="+mn-lt"/>
              <a:ea typeface="+mn-ea"/>
              <a:cs typeface="+mn-cs"/>
            </a:rPr>
          </a:br>
          <a:endParaRPr lang="fr-CA" sz="1800" b="1">
            <a:solidFill>
              <a:schemeClr val="dk1"/>
            </a:solidFill>
            <a:effectLst/>
            <a:latin typeface="+mn-lt"/>
            <a:ea typeface="+mn-ea"/>
            <a:cs typeface="+mn-cs"/>
          </a:endParaRPr>
        </a:p>
        <a:p>
          <a:endParaRPr lang="fr-CA" sz="1800" b="1">
            <a:solidFill>
              <a:schemeClr val="dk1"/>
            </a:solidFill>
            <a:effectLst/>
            <a:latin typeface="+mn-lt"/>
            <a:ea typeface="+mn-ea"/>
            <a:cs typeface="+mn-cs"/>
          </a:endParaRPr>
        </a:p>
        <a:p>
          <a:r>
            <a:rPr lang="fr-CA" sz="1100" b="1">
              <a:solidFill>
                <a:schemeClr val="dk1"/>
              </a:solidFill>
              <a:effectLst/>
              <a:latin typeface="+mn-lt"/>
              <a:ea typeface="+mn-ea"/>
              <a:cs typeface="+mn-cs"/>
            </a:rPr>
            <a:t>Mot d'accueil</a:t>
          </a:r>
          <a:endParaRPr lang="fr-FR">
            <a:effectLst/>
          </a:endParaRPr>
        </a:p>
        <a:p>
          <a:pPr eaLnBrk="1" fontAlgn="auto" latinLnBrk="0" hangingPunct="1"/>
          <a:r>
            <a:rPr lang="fr-CA" sz="1100" baseline="0">
              <a:solidFill>
                <a:schemeClr val="dk1"/>
              </a:solidFill>
              <a:effectLst/>
              <a:latin typeface="+mn-lt"/>
              <a:ea typeface="+mn-ea"/>
              <a:cs typeface="+mn-cs"/>
            </a:rPr>
            <a:t>Le numérique responsable révolutionne à une vitesse vertigineuse le fonctionnement des organisations. Il est source d'innovationet de progrès, reflétant leur modernité, jusqu'à en devenir la vitrine de leurs savoir-faire. Il peut être un formidable outil de création de nouvelles valeurs durables, plus respecteuses de l'environnement et plus éthiques envers la société s'il est encadré et réfléchi en terme d'impacts. </a:t>
          </a:r>
          <a:endParaRPr lang="fr-FR">
            <a:effectLst/>
          </a:endParaRPr>
        </a:p>
        <a:p>
          <a:pPr eaLnBrk="1" fontAlgn="auto" latinLnBrk="0" hangingPunct="1"/>
          <a:r>
            <a:rPr lang="fr-CA" sz="1100" baseline="0">
              <a:solidFill>
                <a:schemeClr val="dk1"/>
              </a:solidFill>
              <a:effectLst/>
              <a:latin typeface="+mn-lt"/>
              <a:ea typeface="+mn-ea"/>
              <a:cs typeface="+mn-cs"/>
            </a:rPr>
            <a:t>Les ONR, soit les Objectifs du Numérique Responsable, reprennent les points principaux de la charte de l'Institut du Numérique Responsable (INR) et y décrit les objectifs associés. La charte quant à elle est un texte qui résume les engagements en termes de numérique pris par le signataire qu'il soit une entreprise, une association, une TPE/PME ou un acteur public. Elle peut être retrouvée dans sa totalité sur le site internet de l'INR et peut être signée, preuve de votre engagement, auprès de ce même organisme. </a:t>
          </a:r>
          <a:endParaRPr lang="fr-FR">
            <a:effectLst/>
          </a:endParaRPr>
        </a:p>
        <a:p>
          <a:pPr eaLnBrk="1" fontAlgn="auto" latinLnBrk="0" hangingPunct="1"/>
          <a:r>
            <a:rPr lang="fr-CA" sz="1100" baseline="0">
              <a:solidFill>
                <a:schemeClr val="dk1"/>
              </a:solidFill>
              <a:effectLst/>
              <a:latin typeface="+mn-lt"/>
              <a:ea typeface="+mn-ea"/>
              <a:cs typeface="+mn-cs"/>
            </a:rPr>
            <a:t>Les ONR sont composés de 5 objectifs suivant les axes principaux du numérique responsable :</a:t>
          </a:r>
          <a:endParaRPr lang="fr-FR">
            <a:effectLst/>
          </a:endParaRPr>
        </a:p>
        <a:p>
          <a:pPr eaLnBrk="1" fontAlgn="auto" latinLnBrk="0" hangingPunct="1"/>
          <a:r>
            <a:rPr lang="fr-CA" sz="1100" baseline="0">
              <a:solidFill>
                <a:schemeClr val="dk1"/>
              </a:solidFill>
              <a:effectLst/>
              <a:latin typeface="+mn-lt"/>
              <a:ea typeface="+mn-ea"/>
              <a:cs typeface="+mn-cs"/>
            </a:rPr>
            <a:t>- le changement climatique </a:t>
          </a:r>
          <a:endParaRPr lang="fr-FR">
            <a:effectLst/>
          </a:endParaRPr>
        </a:p>
        <a:p>
          <a:pPr eaLnBrk="1" fontAlgn="auto" latinLnBrk="0" hangingPunct="1"/>
          <a:r>
            <a:rPr lang="fr-CA" sz="1100" baseline="0">
              <a:solidFill>
                <a:schemeClr val="dk1"/>
              </a:solidFill>
              <a:effectLst/>
              <a:latin typeface="+mn-lt"/>
              <a:ea typeface="+mn-ea"/>
              <a:cs typeface="+mn-cs"/>
            </a:rPr>
            <a:t>- l'inclusion sociale</a:t>
          </a:r>
          <a:endParaRPr lang="fr-FR">
            <a:effectLst/>
          </a:endParaRPr>
        </a:p>
        <a:p>
          <a:pPr eaLnBrk="1" fontAlgn="auto" latinLnBrk="0" hangingPunct="1"/>
          <a:r>
            <a:rPr lang="fr-CA" sz="1100" baseline="0">
              <a:solidFill>
                <a:schemeClr val="dk1"/>
              </a:solidFill>
              <a:effectLst/>
              <a:latin typeface="+mn-lt"/>
              <a:ea typeface="+mn-ea"/>
              <a:cs typeface="+mn-cs"/>
            </a:rPr>
            <a:t>- les pratiques éthiques et responsables</a:t>
          </a:r>
          <a:endParaRPr lang="fr-FR">
            <a:effectLst/>
          </a:endParaRPr>
        </a:p>
        <a:p>
          <a:pPr eaLnBrk="1" fontAlgn="auto" latinLnBrk="0" hangingPunct="1"/>
          <a:r>
            <a:rPr lang="fr-CA" sz="1100" baseline="0">
              <a:solidFill>
                <a:schemeClr val="dk1"/>
              </a:solidFill>
              <a:effectLst/>
              <a:latin typeface="+mn-lt"/>
              <a:ea typeface="+mn-ea"/>
              <a:cs typeface="+mn-cs"/>
            </a:rPr>
            <a:t>- la résilience des organisations</a:t>
          </a:r>
          <a:endParaRPr lang="fr-FR">
            <a:effectLst/>
          </a:endParaRPr>
        </a:p>
        <a:p>
          <a:pPr eaLnBrk="1" fontAlgn="auto" latinLnBrk="0" hangingPunct="1"/>
          <a:r>
            <a:rPr lang="fr-CA" sz="1100" baseline="0">
              <a:solidFill>
                <a:schemeClr val="dk1"/>
              </a:solidFill>
              <a:effectLst/>
              <a:latin typeface="+mn-lt"/>
              <a:ea typeface="+mn-ea"/>
              <a:cs typeface="+mn-cs"/>
            </a:rPr>
            <a:t>- l'émergence de nouveaux comportements et valeurs </a:t>
          </a:r>
          <a:endParaRPr lang="fr-FR">
            <a:effectLst/>
          </a:endParaRPr>
        </a:p>
        <a:p>
          <a:pPr eaLnBrk="1" fontAlgn="auto" latinLnBrk="0" hangingPunct="1"/>
          <a:r>
            <a:rPr lang="fr-CA" sz="1100" baseline="0">
              <a:solidFill>
                <a:schemeClr val="dk1"/>
              </a:solidFill>
              <a:effectLst/>
              <a:latin typeface="+mn-lt"/>
              <a:ea typeface="+mn-ea"/>
              <a:cs typeface="+mn-cs"/>
            </a:rPr>
            <a:t>Plusieurs sous-points seront développés dans ce document afin de cerner l'ensemble des objectifs et attentes de votre organisation. </a:t>
          </a:r>
          <a:endParaRPr lang="fr-FR">
            <a:effectLst/>
          </a:endParaRPr>
        </a:p>
        <a:p>
          <a:pPr eaLnBrk="1" fontAlgn="auto" latinLnBrk="0" hangingPunct="1"/>
          <a:r>
            <a:rPr lang="fr-CA" sz="1100" baseline="0">
              <a:solidFill>
                <a:schemeClr val="dk1"/>
              </a:solidFill>
              <a:effectLst/>
              <a:latin typeface="+mn-lt"/>
              <a:ea typeface="+mn-ea"/>
              <a:cs typeface="+mn-cs"/>
            </a:rPr>
            <a:t>La charte du numérique responsable au travers des ONR, pousse l'organisation à s'évaluer et essayer de s'améliorer en permanence. Avoir une charte numérique responsable permet à l'organisation de communiquer sur sa démarche qualité. Elle peut ainsi toucher ses clients mais aussi ses fournisseurs et collaborateurs. </a:t>
          </a:r>
        </a:p>
        <a:p>
          <a:pPr eaLnBrk="1" fontAlgn="auto" latinLnBrk="0" hangingPunct="1"/>
          <a:endParaRPr lang="fr-FR">
            <a:effectLst/>
          </a:endParaRPr>
        </a:p>
        <a:p>
          <a:r>
            <a:rPr lang="fr-CA" sz="1100" b="1">
              <a:solidFill>
                <a:schemeClr val="dk1"/>
              </a:solidFill>
              <a:effectLst/>
              <a:latin typeface="+mn-lt"/>
              <a:ea typeface="+mn-ea"/>
              <a:cs typeface="+mn-cs"/>
            </a:rPr>
            <a:t>Utilisation prévue de l'outil</a:t>
          </a:r>
          <a:endParaRPr lang="fr-FR">
            <a:effectLst/>
          </a:endParaRPr>
        </a:p>
        <a:p>
          <a:pPr eaLnBrk="1" fontAlgn="auto" latinLnBrk="0" hangingPunct="1"/>
          <a:r>
            <a:rPr lang="fr-CA" sz="1100" baseline="0">
              <a:solidFill>
                <a:schemeClr val="dk1"/>
              </a:solidFill>
              <a:effectLst/>
              <a:latin typeface="+mn-lt"/>
              <a:ea typeface="+mn-ea"/>
              <a:cs typeface="+mn-cs"/>
            </a:rPr>
            <a:t>Ce document est à remplir de préférence avant tout plan d'actions numérique responsable afin de quadriller l'ensemble des partis prenantes et objectifs de l'organisation associée. La GPC-ONR permet de faire un état d'avancement des actions menées en amont par votre organisation et d'en faire une source de discussion et débat ; permettant d'en conclure des cibles ainsi que des actions à prioriser. Cet outil permettra par ailleurs d'identifier les forces, faiblesses, opportunités et menaces de votre organisme en parrallèle des objectifs.</a:t>
          </a:r>
          <a:endParaRPr lang="fr-FR">
            <a:effectLst/>
          </a:endParaRPr>
        </a:p>
        <a:p>
          <a:pPr eaLnBrk="1" fontAlgn="auto" latinLnBrk="0" hangingPunct="1"/>
          <a:r>
            <a:rPr lang="fr-CA" sz="1100" baseline="0">
              <a:solidFill>
                <a:schemeClr val="dk1"/>
              </a:solidFill>
              <a:effectLst/>
              <a:latin typeface="+mn-lt"/>
              <a:ea typeface="+mn-ea"/>
              <a:cs typeface="+mn-cs"/>
            </a:rPr>
            <a:t>Dans l'idéal, ce document doit être rempli avec la contribution de toutes les partis-prenantes afin de se rapprocher au plus près des cibles souhaitées et des objectifs généraux. </a:t>
          </a:r>
        </a:p>
        <a:p>
          <a:pPr eaLnBrk="1" fontAlgn="auto" latinLnBrk="0" hangingPunct="1"/>
          <a:endParaRPr lang="fr-FR">
            <a:effectLst/>
          </a:endParaRPr>
        </a:p>
        <a:p>
          <a:r>
            <a:rPr lang="fr-CA" sz="1100" b="1">
              <a:solidFill>
                <a:schemeClr val="dk1"/>
              </a:solidFill>
              <a:effectLst/>
              <a:latin typeface="+mn-lt"/>
              <a:ea typeface="+mn-ea"/>
              <a:cs typeface="+mn-cs"/>
            </a:rPr>
            <a:t>Origine de l'outil</a:t>
          </a:r>
          <a:endParaRPr lang="fr-FR">
            <a:effectLst/>
          </a:endParaRPr>
        </a:p>
        <a:p>
          <a:r>
            <a:rPr lang="fr-CA" sz="1100">
              <a:solidFill>
                <a:schemeClr val="dk1"/>
              </a:solidFill>
              <a:effectLst/>
              <a:latin typeface="+mn-lt"/>
              <a:ea typeface="+mn-ea"/>
              <a:cs typeface="+mn-cs"/>
            </a:rPr>
            <a:t>Ce</a:t>
          </a:r>
          <a:r>
            <a:rPr lang="fr-CA" sz="1100" baseline="0">
              <a:solidFill>
                <a:schemeClr val="dk1"/>
              </a:solidFill>
              <a:effectLst/>
              <a:latin typeface="+mn-lt"/>
              <a:ea typeface="+mn-ea"/>
              <a:cs typeface="+mn-cs"/>
            </a:rPr>
            <a:t> document a été élaboré par les élèves de la promotion 2023 de l'école d'ingéneurs de la Rochelle (EIGSI</a:t>
          </a:r>
          <a:r>
            <a:rPr lang="fr-CA" sz="1100" i="1" baseline="0">
              <a:solidFill>
                <a:schemeClr val="dk1"/>
              </a:solidFill>
              <a:effectLst/>
              <a:latin typeface="+mn-lt"/>
              <a:ea typeface="+mn-ea"/>
              <a:cs typeface="+mn-cs"/>
            </a:rPr>
            <a:t>)</a:t>
          </a:r>
          <a:r>
            <a:rPr lang="fr-CA" sz="1100" i="0" baseline="0">
              <a:solidFill>
                <a:schemeClr val="dk1"/>
              </a:solidFill>
              <a:effectLst/>
              <a:latin typeface="+mn-lt"/>
              <a:ea typeface="+mn-ea"/>
              <a:cs typeface="+mn-cs"/>
            </a:rPr>
            <a:t> en</a:t>
          </a:r>
          <a:r>
            <a:rPr lang="fr-CA" sz="1100" baseline="0">
              <a:solidFill>
                <a:schemeClr val="dk1"/>
              </a:solidFill>
              <a:effectLst/>
              <a:latin typeface="+mn-lt"/>
              <a:ea typeface="+mn-ea"/>
              <a:cs typeface="+mn-cs"/>
            </a:rPr>
            <a:t> dominante Numérique Responsable. </a:t>
          </a:r>
          <a:endParaRPr lang="fr-FR">
            <a:effectLst/>
          </a:endParaRPr>
        </a:p>
        <a:p>
          <a:r>
            <a:rPr lang="fr-CA" sz="1100" i="0" baseline="0">
              <a:solidFill>
                <a:schemeClr val="dk1"/>
              </a:solidFill>
              <a:effectLst/>
              <a:latin typeface="+mn-lt"/>
              <a:ea typeface="+mn-ea"/>
              <a:cs typeface="+mn-cs"/>
            </a:rPr>
            <a:t>La charte ainsi que ses objectifs proviennent de l'Institut du Numérique Responsable (INR).</a:t>
          </a:r>
        </a:p>
        <a:p>
          <a:endParaRPr lang="fr-FR">
            <a:effectLst/>
          </a:endParaRPr>
        </a:p>
        <a:p>
          <a:r>
            <a:rPr lang="fr-CA" sz="1100" b="1">
              <a:solidFill>
                <a:schemeClr val="dk1"/>
              </a:solidFill>
              <a:effectLst/>
              <a:latin typeface="+mn-lt"/>
              <a:ea typeface="+mn-ea"/>
              <a:cs typeface="+mn-cs"/>
            </a:rPr>
            <a:t>Crédits</a:t>
          </a:r>
          <a:endParaRPr lang="fr-FR">
            <a:effectLst/>
          </a:endParaRPr>
        </a:p>
        <a:p>
          <a:r>
            <a:rPr lang="fr-CA" sz="1100">
              <a:solidFill>
                <a:schemeClr val="dk1"/>
              </a:solidFill>
              <a:effectLst/>
              <a:latin typeface="+mn-lt"/>
              <a:ea typeface="+mn-ea"/>
              <a:cs typeface="+mn-cs"/>
            </a:rPr>
            <a:t>Cette fiche est inspirée</a:t>
          </a:r>
          <a:r>
            <a:rPr lang="fr-CA" sz="1100" baseline="0">
              <a:solidFill>
                <a:schemeClr val="dk1"/>
              </a:solidFill>
              <a:effectLst/>
              <a:latin typeface="+mn-lt"/>
              <a:ea typeface="+mn-ea"/>
              <a:cs typeface="+mn-cs"/>
            </a:rPr>
            <a:t> de la fiche GRILLE DE PRIORISATION DES CIBLES DES ODD (GPC-ODD), de l'</a:t>
          </a:r>
          <a:r>
            <a:rPr lang="fr-CA" sz="1100">
              <a:solidFill>
                <a:schemeClr val="dk1"/>
              </a:solidFill>
              <a:effectLst/>
              <a:latin typeface="+mn-lt"/>
              <a:ea typeface="+mn-ea"/>
              <a:cs typeface="+mn-cs"/>
            </a:rPr>
            <a:t>Organisation internationale de la Francophonie</a:t>
          </a:r>
          <a:r>
            <a:rPr lang="fr-CA" sz="1100" baseline="0">
              <a:solidFill>
                <a:schemeClr val="dk1"/>
              </a:solidFill>
              <a:effectLst/>
              <a:latin typeface="+mn-lt"/>
              <a:ea typeface="+mn-ea"/>
              <a:cs typeface="+mn-cs"/>
            </a:rPr>
            <a:t> (OIF), </a:t>
          </a:r>
          <a:r>
            <a:rPr lang="fr-CA" sz="1100">
              <a:solidFill>
                <a:schemeClr val="dk1"/>
              </a:solidFill>
              <a:effectLst/>
              <a:latin typeface="+mn-lt"/>
              <a:ea typeface="+mn-ea"/>
              <a:cs typeface="+mn-cs"/>
            </a:rPr>
            <a:t>Institut de la Francophonie pour le Développement Durable (IFDD), Global Shift Institute (GSI), inspiré des travaux de la Chaire en éco-conseil de l'UQAC et de Cités et gouvernements locaux unis (CGLU) et des travaux fait à l'EIGSI et La Rochelle Université.</a:t>
          </a:r>
          <a:r>
            <a:rPr lang="fr-CA" sz="1100" baseline="0">
              <a:solidFill>
                <a:schemeClr val="dk1"/>
              </a:solidFill>
              <a:effectLst/>
              <a:latin typeface="+mn-lt"/>
              <a:ea typeface="+mn-ea"/>
              <a:cs typeface="+mn-cs"/>
            </a:rPr>
            <a:t> Cette grille a été</a:t>
          </a:r>
          <a:r>
            <a:rPr lang="fr-CA" sz="1100">
              <a:solidFill>
                <a:schemeClr val="dk1"/>
              </a:solidFill>
              <a:effectLst/>
              <a:latin typeface="+mn-lt"/>
              <a:ea typeface="+mn-ea"/>
              <a:cs typeface="+mn-cs"/>
            </a:rPr>
            <a:t> créée</a:t>
          </a:r>
          <a:r>
            <a:rPr lang="fr-CA" sz="1100" baseline="0">
              <a:solidFill>
                <a:schemeClr val="dk1"/>
              </a:solidFill>
              <a:effectLst/>
              <a:latin typeface="+mn-lt"/>
              <a:ea typeface="+mn-ea"/>
              <a:cs typeface="+mn-cs"/>
            </a:rPr>
            <a:t> </a:t>
          </a:r>
          <a:r>
            <a:rPr lang="fr-FR" sz="1100" baseline="0">
              <a:solidFill>
                <a:schemeClr val="dk1"/>
              </a:solidFill>
              <a:effectLst/>
              <a:latin typeface="+mn-lt"/>
              <a:ea typeface="+mn-ea"/>
              <a:cs typeface="+mn-cs"/>
            </a:rPr>
            <a:t>et adaptée spécifiquement pour le projet TNRC </a:t>
          </a:r>
          <a:endParaRPr lang="fr-FR">
            <a:effectLst/>
          </a:endParaRPr>
        </a:p>
        <a:p>
          <a:endParaRPr lang="fr-CA" sz="1100" b="1">
            <a:solidFill>
              <a:schemeClr val="dk1"/>
            </a:solidFill>
            <a:effectLst/>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28574</xdr:colOff>
      <xdr:row>0</xdr:row>
      <xdr:rowOff>28572</xdr:rowOff>
    </xdr:from>
    <xdr:to>
      <xdr:col>11</xdr:col>
      <xdr:colOff>761999</xdr:colOff>
      <xdr:row>159</xdr:row>
      <xdr:rowOff>137160</xdr:rowOff>
    </xdr:to>
    <xdr:sp macro="" textlink="">
      <xdr:nvSpPr>
        <xdr:cNvPr id="2" name="ZoneTexte 1">
          <a:extLst>
            <a:ext uri="{FF2B5EF4-FFF2-40B4-BE49-F238E27FC236}">
              <a16:creationId xmlns:a16="http://schemas.microsoft.com/office/drawing/2014/main" id="{00000000-0008-0000-0100-000002000000}"/>
            </a:ext>
          </a:extLst>
        </xdr:cNvPr>
        <xdr:cNvSpPr txBox="1"/>
      </xdr:nvSpPr>
      <xdr:spPr>
        <a:xfrm>
          <a:off x="28574" y="28572"/>
          <a:ext cx="9366885" cy="257117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fr-CA" sz="2800" b="0">
              <a:solidFill>
                <a:schemeClr val="dk1"/>
              </a:solidFill>
              <a:effectLst/>
              <a:latin typeface="Segoe UI Light" panose="020B0502040204020203" pitchFamily="34" charset="0"/>
              <a:ea typeface="+mn-ea"/>
              <a:cs typeface="Segoe UI Light" panose="020B0502040204020203" pitchFamily="34" charset="0"/>
            </a:rPr>
            <a:t>MÉTHODOLOGIE DE PRIORISATION PARTICIPATIVE DES CIBLE DES ONR</a:t>
          </a:r>
          <a:endParaRPr lang="fr-CA" sz="2800" b="0">
            <a:effectLst/>
            <a:latin typeface="Segoe UI Light" panose="020B0502040204020203" pitchFamily="34" charset="0"/>
            <a:cs typeface="Segoe UI Light" panose="020B0502040204020203" pitchFamily="34" charset="0"/>
          </a:endParaRPr>
        </a:p>
        <a:p>
          <a:r>
            <a:rPr lang="fr-CA" sz="1800" b="0">
              <a:solidFill>
                <a:schemeClr val="dk1"/>
              </a:solidFill>
              <a:effectLst/>
              <a:latin typeface="Segoe UI Light" panose="020B0502040204020203" pitchFamily="34" charset="0"/>
              <a:ea typeface="+mn-ea"/>
              <a:cs typeface="Segoe UI Light" panose="020B0502040204020203" pitchFamily="34" charset="0"/>
            </a:rPr>
            <a:t>GRILLE DE PRIORISATION DES CIBLES</a:t>
          </a:r>
          <a:r>
            <a:rPr lang="fr-CA" sz="1800" b="0" baseline="0">
              <a:solidFill>
                <a:schemeClr val="dk1"/>
              </a:solidFill>
              <a:effectLst/>
              <a:latin typeface="Segoe UI Light" panose="020B0502040204020203" pitchFamily="34" charset="0"/>
              <a:ea typeface="+mn-ea"/>
              <a:cs typeface="Segoe UI Light" panose="020B0502040204020203" pitchFamily="34" charset="0"/>
            </a:rPr>
            <a:t> DES ONR</a:t>
          </a:r>
          <a:endParaRPr lang="fr-CA" sz="1800" b="0">
            <a:effectLst/>
            <a:latin typeface="Segoe UI Light" panose="020B0502040204020203" pitchFamily="34" charset="0"/>
            <a:cs typeface="Segoe UI Light" panose="020B0502040204020203" pitchFamily="34" charset="0"/>
          </a:endParaRPr>
        </a:p>
        <a:p>
          <a:pPr eaLnBrk="1" fontAlgn="auto" latinLnBrk="0" hangingPunct="1"/>
          <a:endParaRPr lang="fr-CA" sz="1050" b="1" baseline="0">
            <a:solidFill>
              <a:schemeClr val="dk1"/>
            </a:solidFill>
            <a:effectLst/>
            <a:latin typeface="+mn-lt"/>
            <a:ea typeface="+mn-ea"/>
            <a:cs typeface="+mn-cs"/>
          </a:endParaRPr>
        </a:p>
        <a:p>
          <a:pPr eaLnBrk="1" fontAlgn="auto" latinLnBrk="0" hangingPunct="1"/>
          <a:endParaRPr lang="fr-CA" sz="1050" b="1" baseline="0">
            <a:solidFill>
              <a:schemeClr val="dk1"/>
            </a:solidFill>
            <a:effectLst/>
            <a:latin typeface="+mn-lt"/>
            <a:ea typeface="+mn-ea"/>
            <a:cs typeface="+mn-cs"/>
          </a:endParaRPr>
        </a:p>
        <a:p>
          <a:pPr eaLnBrk="1" fontAlgn="auto" latinLnBrk="0" hangingPunct="1"/>
          <a:r>
            <a:rPr lang="fr-CA" sz="1200" b="1" i="0" u="none" baseline="0">
              <a:solidFill>
                <a:schemeClr val="dk1"/>
              </a:solidFill>
              <a:effectLst/>
              <a:latin typeface="+mn-lt"/>
              <a:ea typeface="+mn-ea"/>
              <a:cs typeface="+mn-cs"/>
            </a:rPr>
            <a:t>Étapes préalables à la priorisation</a:t>
          </a:r>
          <a:endParaRPr lang="fr-CA" sz="1200" b="1" i="0" u="none">
            <a:effectLst/>
            <a:latin typeface="+mn-lt"/>
          </a:endParaRPr>
        </a:p>
        <a:p>
          <a:pPr eaLnBrk="1" fontAlgn="auto" latinLnBrk="0" hangingPunct="1"/>
          <a:r>
            <a:rPr lang="fr-CA" sz="1200">
              <a:solidFill>
                <a:schemeClr val="dk1"/>
              </a:solidFill>
              <a:effectLst/>
              <a:latin typeface="+mn-lt"/>
              <a:ea typeface="+mn-ea"/>
              <a:cs typeface="+mn-cs"/>
            </a:rPr>
            <a:t>Prioriser les cibles à l'aide</a:t>
          </a:r>
          <a:r>
            <a:rPr lang="fr-CA" sz="1200" baseline="0">
              <a:solidFill>
                <a:schemeClr val="dk1"/>
              </a:solidFill>
              <a:effectLst/>
              <a:latin typeface="+mn-lt"/>
              <a:ea typeface="+mn-ea"/>
              <a:cs typeface="+mn-cs"/>
            </a:rPr>
            <a:t> de la grille demande la réalisation de certaines étapes préalables : </a:t>
          </a:r>
        </a:p>
        <a:p>
          <a:pPr eaLnBrk="1" fontAlgn="auto" latinLnBrk="0" hangingPunct="1"/>
          <a:endParaRPr lang="fr-CA" sz="1200">
            <a:effectLst/>
            <a:latin typeface="+mn-lt"/>
          </a:endParaRPr>
        </a:p>
        <a:p>
          <a:pPr eaLnBrk="1" fontAlgn="auto" latinLnBrk="0" hangingPunct="1"/>
          <a:r>
            <a:rPr lang="fr-CA" sz="1200" baseline="0">
              <a:solidFill>
                <a:schemeClr val="dk1"/>
              </a:solidFill>
              <a:effectLst/>
              <a:latin typeface="+mn-lt"/>
              <a:ea typeface="+mn-ea"/>
              <a:cs typeface="+mn-cs"/>
            </a:rPr>
            <a:t> - Prendre connaissance des ONR et de leurs cibles.</a:t>
          </a:r>
          <a:endParaRPr lang="fr-CA" sz="1200">
            <a:effectLst/>
            <a:latin typeface="+mn-lt"/>
          </a:endParaRPr>
        </a:p>
        <a:p>
          <a:pPr eaLnBrk="1" fontAlgn="auto" latinLnBrk="0" hangingPunct="1"/>
          <a:r>
            <a:rPr lang="fr-CA" sz="1200" baseline="0">
              <a:solidFill>
                <a:schemeClr val="dk1"/>
              </a:solidFill>
              <a:effectLst/>
              <a:latin typeface="+mn-lt"/>
              <a:ea typeface="+mn-ea"/>
              <a:cs typeface="+mn-cs"/>
            </a:rPr>
            <a:t> - Collecter des informations sur l'état d'avancement relativement aux cibles.</a:t>
          </a:r>
          <a:endParaRPr lang="fr-CA" sz="1200">
            <a:effectLst/>
            <a:latin typeface="+mn-lt"/>
          </a:endParaRPr>
        </a:p>
        <a:p>
          <a:pPr eaLnBrk="1" fontAlgn="auto" latinLnBrk="0" hangingPunct="1"/>
          <a:r>
            <a:rPr lang="fr-CA" sz="1200" baseline="0">
              <a:solidFill>
                <a:schemeClr val="dk1"/>
              </a:solidFill>
              <a:effectLst/>
              <a:latin typeface="+mn-lt"/>
              <a:ea typeface="+mn-ea"/>
              <a:cs typeface="+mn-cs"/>
            </a:rPr>
            <a:t> - Renseigner l'état d'avancement des documents de planification de développement et d'autres planifications sectorielles pertinentes.</a:t>
          </a:r>
          <a:endParaRPr lang="fr-CA" sz="1200">
            <a:effectLst/>
            <a:latin typeface="+mn-lt"/>
          </a:endParaRPr>
        </a:p>
        <a:p>
          <a:pPr eaLnBrk="1" fontAlgn="auto" latinLnBrk="0" hangingPunct="1"/>
          <a:r>
            <a:rPr lang="fr-CA" sz="1200" baseline="0">
              <a:solidFill>
                <a:schemeClr val="dk1"/>
              </a:solidFill>
              <a:effectLst/>
              <a:latin typeface="+mn-lt"/>
              <a:ea typeface="+mn-ea"/>
              <a:cs typeface="+mn-cs"/>
            </a:rPr>
            <a:t> - Identifier les responsables de l'analyse.</a:t>
          </a:r>
          <a:endParaRPr lang="fr-CA" sz="1200">
            <a:effectLst/>
            <a:latin typeface="+mn-lt"/>
          </a:endParaRPr>
        </a:p>
        <a:p>
          <a:pPr eaLnBrk="1" fontAlgn="auto" latinLnBrk="0" hangingPunct="1"/>
          <a:r>
            <a:rPr lang="fr-CA" sz="1200" baseline="0">
              <a:solidFill>
                <a:schemeClr val="dk1"/>
              </a:solidFill>
              <a:effectLst/>
              <a:latin typeface="+mn-lt"/>
              <a:ea typeface="+mn-ea"/>
              <a:cs typeface="+mn-cs"/>
            </a:rPr>
            <a:t> - Identifier les membres de l'équipe d'analystes. </a:t>
          </a:r>
        </a:p>
        <a:p>
          <a:pPr eaLnBrk="1" fontAlgn="auto" latinLnBrk="0" hangingPunct="1"/>
          <a:endParaRPr lang="fr-CA" sz="1200">
            <a:effectLst/>
            <a:latin typeface="+mn-lt"/>
          </a:endParaRPr>
        </a:p>
        <a:p>
          <a:pPr eaLnBrk="1" fontAlgn="auto" latinLnBrk="0" hangingPunct="1"/>
          <a:r>
            <a:rPr lang="fr-CA" sz="1200" baseline="0">
              <a:solidFill>
                <a:schemeClr val="dk1"/>
              </a:solidFill>
              <a:effectLst/>
              <a:latin typeface="+mn-lt"/>
              <a:ea typeface="+mn-ea"/>
              <a:cs typeface="+mn-cs"/>
            </a:rPr>
            <a:t>Ces étapes préalables peuvent être faites en remplissant la page </a:t>
          </a:r>
          <a:r>
            <a:rPr lang="fr-CA" sz="1200" b="0" i="1" baseline="0">
              <a:solidFill>
                <a:schemeClr val="dk1"/>
              </a:solidFill>
              <a:effectLst/>
              <a:latin typeface="+mn-lt"/>
              <a:ea typeface="+mn-ea"/>
              <a:cs typeface="+mn-cs"/>
            </a:rPr>
            <a:t>Contexte</a:t>
          </a:r>
          <a:r>
            <a:rPr lang="fr-CA" sz="1200" baseline="0">
              <a:solidFill>
                <a:schemeClr val="dk1"/>
              </a:solidFill>
              <a:effectLst/>
              <a:latin typeface="+mn-lt"/>
              <a:ea typeface="+mn-ea"/>
              <a:cs typeface="+mn-cs"/>
            </a:rPr>
            <a:t>. </a:t>
          </a:r>
        </a:p>
        <a:p>
          <a:pPr eaLnBrk="1" fontAlgn="auto" latinLnBrk="0" hangingPunct="1"/>
          <a:endParaRPr lang="fr-CA" sz="1100">
            <a:effectLst/>
            <a:latin typeface="+mn-lt"/>
          </a:endParaRPr>
        </a:p>
        <a:p>
          <a:r>
            <a:rPr lang="fr-CA" sz="1200" baseline="0">
              <a:solidFill>
                <a:schemeClr val="dk1"/>
              </a:solidFill>
              <a:effectLst/>
              <a:latin typeface="+mn-lt"/>
              <a:ea typeface="+mn-ea"/>
              <a:cs typeface="+mn-cs"/>
            </a:rPr>
            <a:t>Par la suite, l</a:t>
          </a:r>
          <a:r>
            <a:rPr lang="fr-CA" sz="1200">
              <a:solidFill>
                <a:schemeClr val="dk1"/>
              </a:solidFill>
              <a:effectLst/>
              <a:latin typeface="+mn-lt"/>
              <a:ea typeface="+mn-ea"/>
              <a:cs typeface="+mn-cs"/>
            </a:rPr>
            <a:t>’analyse implique : </a:t>
          </a:r>
        </a:p>
        <a:p>
          <a:endParaRPr lang="fr-CA" sz="1200">
            <a:effectLst/>
            <a:latin typeface="+mn-lt"/>
          </a:endParaRPr>
        </a:p>
        <a:p>
          <a:r>
            <a:rPr lang="fr-CA" sz="1200">
              <a:solidFill>
                <a:schemeClr val="dk1"/>
              </a:solidFill>
              <a:effectLst/>
              <a:latin typeface="+mn-lt"/>
              <a:ea typeface="+mn-ea"/>
              <a:cs typeface="+mn-cs"/>
            </a:rPr>
            <a:t> - Une évaluation de l'importance de chaque cible,</a:t>
          </a:r>
          <a:r>
            <a:rPr lang="fr-CA" sz="1200" baseline="0">
              <a:solidFill>
                <a:schemeClr val="dk1"/>
              </a:solidFill>
              <a:effectLst/>
              <a:latin typeface="+mn-lt"/>
              <a:ea typeface="+mn-ea"/>
              <a:cs typeface="+mn-cs"/>
            </a:rPr>
            <a:t> pour les 5 ONR, dans le cadre spécifique de l'analyse.</a:t>
          </a:r>
          <a:endParaRPr lang="fr-CA" sz="1200">
            <a:effectLst/>
            <a:latin typeface="+mn-lt"/>
          </a:endParaRPr>
        </a:p>
        <a:p>
          <a:r>
            <a:rPr lang="fr-CA" sz="1200" baseline="0">
              <a:solidFill>
                <a:schemeClr val="dk1"/>
              </a:solidFill>
              <a:effectLst/>
              <a:latin typeface="+mn-lt"/>
              <a:ea typeface="+mn-ea"/>
              <a:cs typeface="+mn-cs"/>
            </a:rPr>
            <a:t> - L'évaluation et la documentation de l'état d'avancement dans l'atteinte de chaque cible.</a:t>
          </a:r>
          <a:endParaRPr lang="fr-CA" sz="1200">
            <a:effectLst/>
            <a:latin typeface="+mn-lt"/>
          </a:endParaRPr>
        </a:p>
        <a:p>
          <a:r>
            <a:rPr lang="fr-CA" sz="1200" baseline="0">
              <a:solidFill>
                <a:schemeClr val="dk1"/>
              </a:solidFill>
              <a:effectLst/>
              <a:latin typeface="+mn-lt"/>
              <a:ea typeface="+mn-ea"/>
              <a:cs typeface="+mn-cs"/>
            </a:rPr>
            <a:t> - L'évaluation du niveau de compétences pour chaque cible.</a:t>
          </a:r>
          <a:endParaRPr lang="fr-CA" sz="1200">
            <a:effectLst/>
            <a:latin typeface="+mn-lt"/>
          </a:endParaRPr>
        </a:p>
        <a:p>
          <a:r>
            <a:rPr lang="fr-CA" sz="1200" baseline="0">
              <a:solidFill>
                <a:schemeClr val="dk1"/>
              </a:solidFill>
              <a:effectLst/>
              <a:latin typeface="+mn-lt"/>
              <a:ea typeface="+mn-ea"/>
              <a:cs typeface="+mn-cs"/>
            </a:rPr>
            <a:t> - La </a:t>
          </a:r>
          <a:r>
            <a:rPr lang="fr-CA" sz="1200">
              <a:solidFill>
                <a:schemeClr val="dk1"/>
              </a:solidFill>
              <a:effectLst/>
              <a:latin typeface="+mn-lt"/>
              <a:ea typeface="+mn-ea"/>
              <a:cs typeface="+mn-cs"/>
            </a:rPr>
            <a:t>recherche</a:t>
          </a:r>
          <a:r>
            <a:rPr lang="fr-CA" sz="1200" baseline="0">
              <a:solidFill>
                <a:schemeClr val="dk1"/>
              </a:solidFill>
              <a:effectLst/>
              <a:latin typeface="+mn-lt"/>
              <a:ea typeface="+mn-ea"/>
              <a:cs typeface="+mn-cs"/>
            </a:rPr>
            <a:t> </a:t>
          </a:r>
          <a:r>
            <a:rPr lang="fr-CA" sz="1200">
              <a:solidFill>
                <a:schemeClr val="dk1"/>
              </a:solidFill>
              <a:effectLst/>
              <a:latin typeface="+mn-lt"/>
              <a:ea typeface="+mn-ea"/>
              <a:cs typeface="+mn-cs"/>
            </a:rPr>
            <a:t>des</a:t>
          </a:r>
          <a:r>
            <a:rPr lang="fr-CA" sz="1200" baseline="0">
              <a:solidFill>
                <a:schemeClr val="dk1"/>
              </a:solidFill>
              <a:effectLst/>
              <a:latin typeface="+mn-lt"/>
              <a:ea typeface="+mn-ea"/>
              <a:cs typeface="+mn-cs"/>
            </a:rPr>
            <a:t> actions ou des </a:t>
          </a:r>
          <a:r>
            <a:rPr lang="fr-CA" sz="1200">
              <a:solidFill>
                <a:schemeClr val="dk1"/>
              </a:solidFill>
              <a:effectLst/>
              <a:latin typeface="+mn-lt"/>
              <a:ea typeface="+mn-ea"/>
              <a:cs typeface="+mn-cs"/>
            </a:rPr>
            <a:t>stratégies pour inscrire les cibles prioritaires dans la planification.</a:t>
          </a:r>
        </a:p>
        <a:p>
          <a:endParaRPr lang="fr-CA" sz="1200">
            <a:effectLst/>
            <a:latin typeface="+mn-lt"/>
          </a:endParaRPr>
        </a:p>
        <a:p>
          <a:r>
            <a:rPr lang="fr-CA" sz="1200" baseline="0">
              <a:solidFill>
                <a:schemeClr val="dk1"/>
              </a:solidFill>
              <a:effectLst/>
              <a:latin typeface="+mn-lt"/>
              <a:ea typeface="+mn-ea"/>
              <a:cs typeface="+mn-cs"/>
            </a:rPr>
            <a:t>Cette analyse doit être faite pour l'ensemble des cibles des 5 ONR. </a:t>
          </a:r>
          <a:r>
            <a:rPr lang="fr-CA" sz="1200">
              <a:solidFill>
                <a:schemeClr val="dk1"/>
              </a:solidFill>
              <a:effectLst/>
              <a:latin typeface="+mn-lt"/>
              <a:ea typeface="+mn-ea"/>
              <a:cs typeface="+mn-cs"/>
            </a:rPr>
            <a:t>Voici comment procéder pour réaliser chaque étape. </a:t>
          </a:r>
          <a:endParaRPr lang="fr-CA" sz="1200">
            <a:effectLst/>
            <a:latin typeface="+mn-lt"/>
          </a:endParaRPr>
        </a:p>
        <a:p>
          <a:endParaRPr lang="fr-CA" sz="1200" b="1" i="1">
            <a:solidFill>
              <a:schemeClr val="dk1"/>
            </a:solidFill>
            <a:effectLst/>
            <a:latin typeface="+mn-lt"/>
            <a:ea typeface="+mn-ea"/>
            <a:cs typeface="+mn-cs"/>
          </a:endParaRPr>
        </a:p>
        <a:p>
          <a:endParaRPr lang="fr-CA" sz="1200" b="1" i="1">
            <a:solidFill>
              <a:schemeClr val="dk1"/>
            </a:solidFill>
            <a:effectLst/>
            <a:latin typeface="+mn-lt"/>
            <a:ea typeface="+mn-ea"/>
            <a:cs typeface="+mn-cs"/>
          </a:endParaRPr>
        </a:p>
        <a:p>
          <a:r>
            <a:rPr lang="fr-CA" sz="1200" b="1" i="0">
              <a:solidFill>
                <a:schemeClr val="dk1"/>
              </a:solidFill>
              <a:effectLst/>
              <a:latin typeface="+mn-lt"/>
              <a:ea typeface="+mn-ea"/>
              <a:cs typeface="+mn-cs"/>
            </a:rPr>
            <a:t>Importance des cibles</a:t>
          </a:r>
          <a:endParaRPr lang="fr-CA" sz="1200" i="0">
            <a:effectLst/>
            <a:latin typeface="+mn-lt"/>
          </a:endParaRPr>
        </a:p>
        <a:p>
          <a:pPr eaLnBrk="1" fontAlgn="auto" latinLnBrk="0" hangingPunct="1"/>
          <a:r>
            <a:rPr lang="fr-CA" sz="1200" baseline="0">
              <a:solidFill>
                <a:schemeClr val="dk1"/>
              </a:solidFill>
              <a:effectLst/>
              <a:latin typeface="+mn-lt"/>
              <a:ea typeface="+mn-ea"/>
              <a:cs typeface="+mn-cs"/>
            </a:rPr>
            <a:t>La première opération consiste à préciser les menaces (ou risques) et les opportunités qui pourraient être associées à chacune des cibles. Les menaces et les opportunités peuvent être liées à des spécificités nationales ou locales, à des pressions externes, à des contextes temporaires ou permanents. Il s'agit d'inscrire ces éléments dans la colonne correspondante.</a:t>
          </a:r>
          <a:endParaRPr lang="fr-CA" sz="1200">
            <a:effectLst/>
            <a:latin typeface="+mn-lt"/>
          </a:endParaRPr>
        </a:p>
        <a:p>
          <a:endParaRPr lang="fr-CA" sz="1200" b="1" i="0">
            <a:solidFill>
              <a:schemeClr val="dk1"/>
            </a:solidFill>
            <a:effectLst/>
            <a:latin typeface="+mn-lt"/>
            <a:ea typeface="+mn-ea"/>
            <a:cs typeface="+mn-cs"/>
          </a:endParaRPr>
        </a:p>
        <a:p>
          <a:r>
            <a:rPr lang="fr-CA" sz="1200" b="1" i="0">
              <a:solidFill>
                <a:schemeClr val="dk1"/>
              </a:solidFill>
              <a:effectLst/>
              <a:latin typeface="+mn-lt"/>
              <a:ea typeface="+mn-ea"/>
              <a:cs typeface="+mn-cs"/>
            </a:rPr>
            <a:t>Les opportunités</a:t>
          </a:r>
          <a:r>
            <a:rPr lang="fr-CA" sz="1200" i="0">
              <a:solidFill>
                <a:schemeClr val="dk1"/>
              </a:solidFill>
              <a:effectLst/>
              <a:latin typeface="+mn-lt"/>
              <a:ea typeface="+mn-ea"/>
              <a:cs typeface="+mn-cs"/>
            </a:rPr>
            <a:t> sont les facteurs externes</a:t>
          </a:r>
          <a:r>
            <a:rPr lang="fr-CA" sz="1200" i="0" baseline="0">
              <a:solidFill>
                <a:schemeClr val="dk1"/>
              </a:solidFill>
              <a:effectLst/>
              <a:latin typeface="+mn-lt"/>
              <a:ea typeface="+mn-ea"/>
              <a:cs typeface="+mn-cs"/>
            </a:rPr>
            <a:t> </a:t>
          </a:r>
          <a:r>
            <a:rPr lang="fr-CA" sz="1200" i="0">
              <a:solidFill>
                <a:schemeClr val="dk1"/>
              </a:solidFill>
              <a:effectLst/>
              <a:latin typeface="+mn-lt"/>
              <a:ea typeface="+mn-ea"/>
              <a:cs typeface="+mn-cs"/>
            </a:rPr>
            <a:t>qui sont susceptibles d’apporter un appui à l'atteinte de la cible. </a:t>
          </a:r>
          <a:endParaRPr lang="fr-CA" sz="1200">
            <a:effectLst/>
            <a:latin typeface="+mn-lt"/>
          </a:endParaRPr>
        </a:p>
        <a:p>
          <a:r>
            <a:rPr lang="fr-CA" sz="1200" b="1" i="0">
              <a:solidFill>
                <a:schemeClr val="dk1"/>
              </a:solidFill>
              <a:effectLst/>
              <a:latin typeface="+mn-lt"/>
              <a:ea typeface="+mn-ea"/>
              <a:cs typeface="+mn-cs"/>
            </a:rPr>
            <a:t>Les menaces</a:t>
          </a:r>
          <a:r>
            <a:rPr lang="fr-CA" sz="1200" i="0">
              <a:solidFill>
                <a:schemeClr val="dk1"/>
              </a:solidFill>
              <a:effectLst/>
              <a:latin typeface="+mn-lt"/>
              <a:ea typeface="+mn-ea"/>
              <a:cs typeface="+mn-cs"/>
            </a:rPr>
            <a:t> sont les facteurs externes</a:t>
          </a:r>
          <a:r>
            <a:rPr lang="fr-CA" sz="1200" i="0" baseline="0">
              <a:solidFill>
                <a:schemeClr val="dk1"/>
              </a:solidFill>
              <a:effectLst/>
              <a:latin typeface="+mn-lt"/>
              <a:ea typeface="+mn-ea"/>
              <a:cs typeface="+mn-cs"/>
            </a:rPr>
            <a:t> </a:t>
          </a:r>
          <a:r>
            <a:rPr lang="fr-CA" sz="1200" i="0">
              <a:solidFill>
                <a:schemeClr val="dk1"/>
              </a:solidFill>
              <a:effectLst/>
              <a:latin typeface="+mn-lt"/>
              <a:ea typeface="+mn-ea"/>
              <a:cs typeface="+mn-cs"/>
            </a:rPr>
            <a:t>qui échappent à votre contrôle, qui peuvent avoir une incidence négative sur la cible et remettre en question la réalisation de ses objectifs.</a:t>
          </a:r>
          <a:endParaRPr lang="fr-CA" sz="1200">
            <a:effectLst/>
            <a:latin typeface="+mn-lt"/>
          </a:endParaRPr>
        </a:p>
        <a:p>
          <a:pPr eaLnBrk="1" fontAlgn="auto" latinLnBrk="0" hangingPunct="1"/>
          <a:endParaRPr lang="fr-CA" sz="1200">
            <a:solidFill>
              <a:schemeClr val="dk1"/>
            </a:solidFill>
            <a:effectLst/>
            <a:latin typeface="+mn-lt"/>
            <a:ea typeface="+mn-ea"/>
            <a:cs typeface="+mn-cs"/>
          </a:endParaRPr>
        </a:p>
        <a:p>
          <a:pPr eaLnBrk="1" fontAlgn="auto" latinLnBrk="0" hangingPunct="1"/>
          <a:r>
            <a:rPr lang="fr-CA" sz="1200">
              <a:solidFill>
                <a:schemeClr val="dk1"/>
              </a:solidFill>
              <a:effectLst/>
              <a:latin typeface="+mn-lt"/>
              <a:ea typeface="+mn-ea"/>
              <a:cs typeface="+mn-cs"/>
            </a:rPr>
            <a:t>Il convient ensuite de pondérer chaque cible en fonction de son importance au niveau d'analyse</a:t>
          </a:r>
          <a:r>
            <a:rPr lang="fr-CA" sz="1200" baseline="0">
              <a:solidFill>
                <a:schemeClr val="dk1"/>
              </a:solidFill>
              <a:effectLst/>
              <a:latin typeface="+mn-lt"/>
              <a:ea typeface="+mn-ea"/>
              <a:cs typeface="+mn-cs"/>
            </a:rPr>
            <a:t> déterminé</a:t>
          </a:r>
          <a:r>
            <a:rPr lang="fr-CA" sz="1200">
              <a:solidFill>
                <a:schemeClr val="dk1"/>
              </a:solidFill>
              <a:effectLst/>
              <a:latin typeface="+mn-lt"/>
              <a:ea typeface="+mn-ea"/>
              <a:cs typeface="+mn-cs"/>
            </a:rPr>
            <a:t>. Chaque</a:t>
          </a:r>
          <a:r>
            <a:rPr lang="fr-CA" sz="1200" baseline="0">
              <a:solidFill>
                <a:schemeClr val="dk1"/>
              </a:solidFill>
              <a:effectLst/>
              <a:latin typeface="+mn-lt"/>
              <a:ea typeface="+mn-ea"/>
              <a:cs typeface="+mn-cs"/>
            </a:rPr>
            <a:t> organisation a ses particularités et ses enjeux spécifiques en matière de numérique responsable. La pondération permet d'identifier les cibles sur lesquelles l'attention doit porter en priorité. </a:t>
          </a:r>
          <a:endParaRPr lang="fr-CA" sz="1200">
            <a:effectLst/>
            <a:latin typeface="+mn-lt"/>
          </a:endParaRPr>
        </a:p>
        <a:p>
          <a:pPr eaLnBrk="1" fontAlgn="auto" latinLnBrk="0" hangingPunct="1"/>
          <a:r>
            <a:rPr lang="fr-CA" sz="1200" baseline="0">
              <a:solidFill>
                <a:schemeClr val="dk1"/>
              </a:solidFill>
              <a:effectLst/>
              <a:latin typeface="+mn-lt"/>
              <a:ea typeface="+mn-ea"/>
              <a:cs typeface="+mn-cs"/>
            </a:rPr>
            <a:t>En fonction des enjeux spécifiques, déterminez l'importance que vous accordez à cette cible. </a:t>
          </a:r>
          <a:endParaRPr lang="fr-CA" sz="1200">
            <a:effectLst/>
            <a:latin typeface="+mn-lt"/>
          </a:endParaRPr>
        </a:p>
        <a:p>
          <a:pPr eaLnBrk="1" fontAlgn="auto" latinLnBrk="0" hangingPunct="1"/>
          <a:endParaRPr lang="fr-CA" sz="1200" baseline="0">
            <a:solidFill>
              <a:schemeClr val="dk1"/>
            </a:solidFill>
            <a:effectLst/>
            <a:latin typeface="+mn-lt"/>
            <a:ea typeface="+mn-ea"/>
            <a:cs typeface="+mn-cs"/>
          </a:endParaRPr>
        </a:p>
        <a:p>
          <a:pPr eaLnBrk="1" fontAlgn="auto" latinLnBrk="0" hangingPunct="1"/>
          <a:r>
            <a:rPr lang="fr-CA" sz="1200" baseline="0">
              <a:solidFill>
                <a:schemeClr val="dk1"/>
              </a:solidFill>
              <a:effectLst/>
              <a:latin typeface="+mn-lt"/>
              <a:ea typeface="+mn-ea"/>
              <a:cs typeface="+mn-cs"/>
            </a:rPr>
            <a:t>Les valeurs numérales de 0 à 3 sont utilisées pour déterminer l’importance de chaque cible.</a:t>
          </a:r>
          <a:endParaRPr lang="fr-CA" sz="1200">
            <a:effectLst/>
            <a:latin typeface="+mn-lt"/>
          </a:endParaRPr>
        </a:p>
        <a:p>
          <a:pPr eaLnBrk="1" fontAlgn="auto" latinLnBrk="0" hangingPunct="1"/>
          <a:endParaRPr lang="fr-CA" sz="1200" b="1" baseline="0">
            <a:solidFill>
              <a:schemeClr val="dk1"/>
            </a:solidFill>
            <a:effectLst/>
            <a:latin typeface="+mn-lt"/>
            <a:ea typeface="+mn-ea"/>
            <a:cs typeface="+mn-cs"/>
          </a:endParaRPr>
        </a:p>
        <a:p>
          <a:pPr eaLnBrk="1" fontAlgn="auto" latinLnBrk="0" hangingPunct="1"/>
          <a:r>
            <a:rPr lang="fr-CA" sz="1200" b="1" baseline="0">
              <a:solidFill>
                <a:schemeClr val="dk1"/>
              </a:solidFill>
              <a:effectLst/>
              <a:latin typeface="+mn-lt"/>
              <a:ea typeface="+mn-ea"/>
              <a:cs typeface="+mn-cs"/>
            </a:rPr>
            <a:t>0</a:t>
          </a:r>
          <a:r>
            <a:rPr lang="fr-CA" sz="1200" baseline="0">
              <a:solidFill>
                <a:schemeClr val="dk1"/>
              </a:solidFill>
              <a:effectLst/>
              <a:latin typeface="+mn-lt"/>
              <a:ea typeface="+mn-ea"/>
              <a:cs typeface="+mn-cs"/>
            </a:rPr>
            <a:t> -  Cible </a:t>
          </a:r>
          <a:r>
            <a:rPr lang="fr-CA" sz="1200" b="1" baseline="0">
              <a:solidFill>
                <a:schemeClr val="dk1"/>
              </a:solidFill>
              <a:effectLst/>
              <a:latin typeface="+mn-lt"/>
              <a:ea typeface="+mn-ea"/>
              <a:cs typeface="+mn-cs"/>
            </a:rPr>
            <a:t>non applicable</a:t>
          </a:r>
          <a:r>
            <a:rPr lang="fr-CA" sz="1200" baseline="0">
              <a:solidFill>
                <a:schemeClr val="dk1"/>
              </a:solidFill>
              <a:effectLst/>
              <a:latin typeface="+mn-lt"/>
              <a:ea typeface="+mn-ea"/>
              <a:cs typeface="+mn-cs"/>
            </a:rPr>
            <a:t>.</a:t>
          </a:r>
          <a:endParaRPr lang="fr-CA" sz="1200">
            <a:effectLst/>
            <a:latin typeface="+mn-lt"/>
          </a:endParaRPr>
        </a:p>
        <a:p>
          <a:pPr eaLnBrk="1" fontAlgn="auto" latinLnBrk="0" hangingPunct="1"/>
          <a:r>
            <a:rPr lang="fr-CA" sz="1200" b="1" baseline="0">
              <a:solidFill>
                <a:schemeClr val="dk1"/>
              </a:solidFill>
              <a:effectLst/>
              <a:latin typeface="+mn-lt"/>
              <a:ea typeface="+mn-ea"/>
              <a:cs typeface="+mn-cs"/>
            </a:rPr>
            <a:t>1</a:t>
          </a:r>
          <a:r>
            <a:rPr lang="fr-CA" sz="1200" baseline="0">
              <a:solidFill>
                <a:schemeClr val="dk1"/>
              </a:solidFill>
              <a:effectLst/>
              <a:latin typeface="+mn-lt"/>
              <a:ea typeface="+mn-ea"/>
              <a:cs typeface="+mn-cs"/>
            </a:rPr>
            <a:t>  - Cible dont l'atteinte est jugée </a:t>
          </a:r>
          <a:r>
            <a:rPr lang="fr-CA" sz="1200" b="1" baseline="0">
              <a:solidFill>
                <a:schemeClr val="dk1"/>
              </a:solidFill>
              <a:effectLst/>
              <a:latin typeface="+mn-lt"/>
              <a:ea typeface="+mn-ea"/>
              <a:cs typeface="+mn-cs"/>
            </a:rPr>
            <a:t>peu importante</a:t>
          </a:r>
          <a:r>
            <a:rPr lang="fr-CA" sz="1200" baseline="0">
              <a:solidFill>
                <a:schemeClr val="dk1"/>
              </a:solidFill>
              <a:effectLst/>
              <a:latin typeface="+mn-lt"/>
              <a:ea typeface="+mn-ea"/>
              <a:cs typeface="+mn-cs"/>
            </a:rPr>
            <a:t>.</a:t>
          </a:r>
          <a:endParaRPr lang="fr-CA" sz="1200">
            <a:effectLst/>
            <a:latin typeface="+mn-lt"/>
          </a:endParaRPr>
        </a:p>
        <a:p>
          <a:pPr eaLnBrk="1" fontAlgn="auto" latinLnBrk="0" hangingPunct="1"/>
          <a:r>
            <a:rPr lang="fr-CA" sz="1200" b="1" baseline="0">
              <a:solidFill>
                <a:schemeClr val="dk1"/>
              </a:solidFill>
              <a:effectLst/>
              <a:latin typeface="+mn-lt"/>
              <a:ea typeface="+mn-ea"/>
              <a:cs typeface="+mn-cs"/>
            </a:rPr>
            <a:t>2</a:t>
          </a:r>
          <a:r>
            <a:rPr lang="fr-CA" sz="1200" baseline="0">
              <a:solidFill>
                <a:schemeClr val="dk1"/>
              </a:solidFill>
              <a:effectLst/>
              <a:latin typeface="+mn-lt"/>
              <a:ea typeface="+mn-ea"/>
              <a:cs typeface="+mn-cs"/>
            </a:rPr>
            <a:t>  - Cible dont l'atteinte est jugée </a:t>
          </a:r>
          <a:r>
            <a:rPr lang="fr-CA" sz="1200" b="1" baseline="0">
              <a:solidFill>
                <a:schemeClr val="dk1"/>
              </a:solidFill>
              <a:effectLst/>
              <a:latin typeface="+mn-lt"/>
              <a:ea typeface="+mn-ea"/>
              <a:cs typeface="+mn-cs"/>
            </a:rPr>
            <a:t>importante</a:t>
          </a:r>
          <a:r>
            <a:rPr lang="fr-CA" sz="1200" baseline="0">
              <a:solidFill>
                <a:schemeClr val="dk1"/>
              </a:solidFill>
              <a:effectLst/>
              <a:latin typeface="+mn-lt"/>
              <a:ea typeface="+mn-ea"/>
              <a:cs typeface="+mn-cs"/>
            </a:rPr>
            <a:t>.</a:t>
          </a:r>
          <a:endParaRPr lang="fr-CA" sz="1200">
            <a:effectLst/>
            <a:latin typeface="+mn-lt"/>
          </a:endParaRPr>
        </a:p>
        <a:p>
          <a:pPr eaLnBrk="1" fontAlgn="auto" latinLnBrk="0" hangingPunct="1"/>
          <a:r>
            <a:rPr lang="fr-CA" sz="1200" b="1" baseline="0">
              <a:solidFill>
                <a:schemeClr val="dk1"/>
              </a:solidFill>
              <a:effectLst/>
              <a:latin typeface="+mn-lt"/>
              <a:ea typeface="+mn-ea"/>
              <a:cs typeface="+mn-cs"/>
            </a:rPr>
            <a:t>3</a:t>
          </a:r>
          <a:r>
            <a:rPr lang="fr-CA" sz="1200" baseline="0">
              <a:solidFill>
                <a:schemeClr val="dk1"/>
              </a:solidFill>
              <a:effectLst/>
              <a:latin typeface="+mn-lt"/>
              <a:ea typeface="+mn-ea"/>
              <a:cs typeface="+mn-cs"/>
            </a:rPr>
            <a:t>  - Cible dont l'atteinte est </a:t>
          </a:r>
          <a:r>
            <a:rPr lang="fr-CA" sz="1200" b="1" baseline="0">
              <a:solidFill>
                <a:schemeClr val="dk1"/>
              </a:solidFill>
              <a:effectLst/>
              <a:latin typeface="+mn-lt"/>
              <a:ea typeface="+mn-ea"/>
              <a:cs typeface="+mn-cs"/>
            </a:rPr>
            <a:t>très importante</a:t>
          </a:r>
          <a:r>
            <a:rPr lang="fr-CA" sz="1200" baseline="0">
              <a:solidFill>
                <a:schemeClr val="dk1"/>
              </a:solidFill>
              <a:effectLst/>
              <a:latin typeface="+mn-lt"/>
              <a:ea typeface="+mn-ea"/>
              <a:cs typeface="+mn-cs"/>
            </a:rPr>
            <a:t>.</a:t>
          </a:r>
          <a:endParaRPr lang="fr-CA" sz="1200">
            <a:effectLst/>
            <a:latin typeface="+mn-lt"/>
          </a:endParaRPr>
        </a:p>
        <a:p>
          <a:endParaRPr lang="fr-CA" sz="1200" b="1" i="1">
            <a:solidFill>
              <a:schemeClr val="dk1"/>
            </a:solidFill>
            <a:effectLst/>
            <a:latin typeface="+mn-lt"/>
            <a:ea typeface="+mn-ea"/>
            <a:cs typeface="+mn-cs"/>
          </a:endParaRPr>
        </a:p>
        <a:p>
          <a:endParaRPr lang="fr-CA" sz="1200" b="1" i="1">
            <a:solidFill>
              <a:schemeClr val="dk1"/>
            </a:solidFill>
            <a:effectLst/>
            <a:latin typeface="+mn-lt"/>
            <a:ea typeface="+mn-ea"/>
            <a:cs typeface="+mn-cs"/>
          </a:endParaRPr>
        </a:p>
        <a:p>
          <a:r>
            <a:rPr lang="fr-CA" sz="1200" b="1" i="0">
              <a:solidFill>
                <a:schemeClr val="dk1"/>
              </a:solidFill>
              <a:effectLst/>
              <a:latin typeface="+mn-lt"/>
              <a:ea typeface="+mn-ea"/>
              <a:cs typeface="+mn-cs"/>
            </a:rPr>
            <a:t>Performance</a:t>
          </a:r>
          <a:r>
            <a:rPr lang="fr-CA" sz="1200" b="1" i="0" baseline="0">
              <a:solidFill>
                <a:schemeClr val="dk1"/>
              </a:solidFill>
              <a:effectLst/>
              <a:latin typeface="+mn-lt"/>
              <a:ea typeface="+mn-ea"/>
              <a:cs typeface="+mn-cs"/>
            </a:rPr>
            <a:t> actuelle </a:t>
          </a:r>
          <a:endParaRPr lang="fr-CA" sz="1200" i="0">
            <a:effectLst/>
            <a:latin typeface="+mn-lt"/>
          </a:endParaRPr>
        </a:p>
        <a:p>
          <a:pPr fontAlgn="base"/>
          <a:r>
            <a:rPr lang="fr-CA" sz="1200">
              <a:solidFill>
                <a:schemeClr val="dk1"/>
              </a:solidFill>
              <a:effectLst/>
              <a:latin typeface="+mn-lt"/>
              <a:ea typeface="+mn-ea"/>
              <a:cs typeface="+mn-cs"/>
            </a:rPr>
            <a:t>Une fois que l'importance de chaque</a:t>
          </a:r>
          <a:r>
            <a:rPr lang="fr-CA" sz="1200" baseline="0">
              <a:solidFill>
                <a:schemeClr val="dk1"/>
              </a:solidFill>
              <a:effectLst/>
              <a:latin typeface="+mn-lt"/>
              <a:ea typeface="+mn-ea"/>
              <a:cs typeface="+mn-cs"/>
            </a:rPr>
            <a:t> cible a été déterminée</a:t>
          </a:r>
          <a:r>
            <a:rPr lang="fr-CA" sz="1200">
              <a:solidFill>
                <a:schemeClr val="dk1"/>
              </a:solidFill>
              <a:effectLst/>
              <a:latin typeface="+mn-lt"/>
              <a:ea typeface="+mn-ea"/>
              <a:cs typeface="+mn-cs"/>
            </a:rPr>
            <a:t>, il faut évaluer la performance au regard de chacune des cibles. </a:t>
          </a:r>
          <a:endParaRPr lang="fr-CA" sz="1200">
            <a:effectLst/>
            <a:latin typeface="+mn-lt"/>
          </a:endParaRPr>
        </a:p>
        <a:p>
          <a:pPr fontAlgn="base"/>
          <a:r>
            <a:rPr lang="fr-CA" sz="1200">
              <a:solidFill>
                <a:schemeClr val="dk1"/>
              </a:solidFill>
              <a:effectLst/>
              <a:latin typeface="+mn-lt"/>
              <a:ea typeface="+mn-ea"/>
              <a:cs typeface="+mn-cs"/>
            </a:rPr>
            <a:t>Les valeurs numérales de 1 à 4 sont utilisées pour déterminer le niveau de performance actuel.</a:t>
          </a:r>
          <a:endParaRPr lang="fr-CA" sz="1200">
            <a:effectLst/>
            <a:latin typeface="+mn-lt"/>
          </a:endParaRPr>
        </a:p>
        <a:p>
          <a:pPr fontAlgn="base"/>
          <a:endParaRPr lang="fr-CA" sz="1200" b="1">
            <a:solidFill>
              <a:schemeClr val="dk1"/>
            </a:solidFill>
            <a:effectLst/>
            <a:latin typeface="+mn-lt"/>
            <a:ea typeface="+mn-ea"/>
            <a:cs typeface="+mn-cs"/>
          </a:endParaRPr>
        </a:p>
        <a:p>
          <a:pPr fontAlgn="base"/>
          <a:r>
            <a:rPr lang="fr-CA" sz="1200" b="1">
              <a:solidFill>
                <a:schemeClr val="dk1"/>
              </a:solidFill>
              <a:effectLst/>
              <a:latin typeface="+mn-lt"/>
              <a:ea typeface="+mn-ea"/>
              <a:cs typeface="+mn-cs"/>
            </a:rPr>
            <a:t>1</a:t>
          </a:r>
          <a:r>
            <a:rPr lang="fr-CA" sz="1200">
              <a:solidFill>
                <a:schemeClr val="dk1"/>
              </a:solidFill>
              <a:effectLst/>
              <a:latin typeface="+mn-lt"/>
              <a:ea typeface="+mn-ea"/>
              <a:cs typeface="+mn-cs"/>
            </a:rPr>
            <a:t> - Cette cible n'est </a:t>
          </a:r>
          <a:r>
            <a:rPr lang="fr-CA" sz="1200" b="1">
              <a:solidFill>
                <a:schemeClr val="dk1"/>
              </a:solidFill>
              <a:effectLst/>
              <a:latin typeface="+mn-lt"/>
              <a:ea typeface="+mn-ea"/>
              <a:cs typeface="+mn-cs"/>
            </a:rPr>
            <a:t>pas du tout atteinte</a:t>
          </a:r>
          <a:endParaRPr lang="fr-CA" sz="1200">
            <a:effectLst/>
            <a:latin typeface="+mn-lt"/>
          </a:endParaRPr>
        </a:p>
        <a:p>
          <a:pPr fontAlgn="base"/>
          <a:r>
            <a:rPr lang="fr-CA" sz="1200">
              <a:solidFill>
                <a:schemeClr val="dk1"/>
              </a:solidFill>
              <a:effectLst/>
              <a:latin typeface="+mn-lt"/>
              <a:ea typeface="+mn-ea"/>
              <a:cs typeface="+mn-cs"/>
            </a:rPr>
            <a:t>La situation relative à cette cible est jugée problématique, la situation est inconfortable et il est nécessaire d'apporter des correctifs.</a:t>
          </a:r>
          <a:endParaRPr lang="fr-CA" sz="1200">
            <a:effectLst/>
            <a:latin typeface="+mn-lt"/>
          </a:endParaRPr>
        </a:p>
        <a:p>
          <a:pPr fontAlgn="base"/>
          <a:endParaRPr lang="fr-CA" sz="1200" b="1">
            <a:solidFill>
              <a:schemeClr val="dk1"/>
            </a:solidFill>
            <a:effectLst/>
            <a:latin typeface="+mn-lt"/>
            <a:ea typeface="+mn-ea"/>
            <a:cs typeface="+mn-cs"/>
          </a:endParaRPr>
        </a:p>
        <a:p>
          <a:pPr fontAlgn="base"/>
          <a:r>
            <a:rPr lang="fr-CA" sz="1200" b="1">
              <a:solidFill>
                <a:schemeClr val="dk1"/>
              </a:solidFill>
              <a:effectLst/>
              <a:latin typeface="+mn-lt"/>
              <a:ea typeface="+mn-ea"/>
              <a:cs typeface="+mn-cs"/>
            </a:rPr>
            <a:t>2</a:t>
          </a:r>
          <a:r>
            <a:rPr lang="fr-CA" sz="1200">
              <a:solidFill>
                <a:schemeClr val="dk1"/>
              </a:solidFill>
              <a:effectLst/>
              <a:latin typeface="+mn-lt"/>
              <a:ea typeface="+mn-ea"/>
              <a:cs typeface="+mn-cs"/>
            </a:rPr>
            <a:t> - Cette cible est </a:t>
          </a:r>
          <a:r>
            <a:rPr lang="fr-CA" sz="1200" b="1">
              <a:solidFill>
                <a:schemeClr val="dk1"/>
              </a:solidFill>
              <a:effectLst/>
              <a:latin typeface="+mn-lt"/>
              <a:ea typeface="+mn-ea"/>
              <a:cs typeface="+mn-cs"/>
            </a:rPr>
            <a:t>atteinte en partie</a:t>
          </a:r>
          <a:endParaRPr lang="fr-CA" sz="1200">
            <a:effectLst/>
            <a:latin typeface="+mn-lt"/>
          </a:endParaRPr>
        </a:p>
        <a:p>
          <a:pPr fontAlgn="base"/>
          <a:r>
            <a:rPr lang="fr-CA" sz="1200">
              <a:solidFill>
                <a:schemeClr val="dk1"/>
              </a:solidFill>
              <a:effectLst/>
              <a:latin typeface="+mn-lt"/>
              <a:ea typeface="+mn-ea"/>
              <a:cs typeface="+mn-cs"/>
            </a:rPr>
            <a:t>La situation relative à cette cible est jugée perfectible, la situation est relativement inconfortable, il serait aisé d'imaginer des pistes d'amélioration.</a:t>
          </a:r>
          <a:endParaRPr lang="fr-CA" sz="1200">
            <a:effectLst/>
            <a:latin typeface="+mn-lt"/>
          </a:endParaRPr>
        </a:p>
        <a:p>
          <a:pPr fontAlgn="base"/>
          <a:endParaRPr lang="fr-CA" sz="1200" b="1">
            <a:solidFill>
              <a:schemeClr val="dk1"/>
            </a:solidFill>
            <a:effectLst/>
            <a:latin typeface="+mn-lt"/>
            <a:ea typeface="+mn-ea"/>
            <a:cs typeface="+mn-cs"/>
          </a:endParaRPr>
        </a:p>
        <a:p>
          <a:pPr fontAlgn="base"/>
          <a:r>
            <a:rPr lang="fr-CA" sz="1200" b="1">
              <a:solidFill>
                <a:schemeClr val="dk1"/>
              </a:solidFill>
              <a:effectLst/>
              <a:latin typeface="+mn-lt"/>
              <a:ea typeface="+mn-ea"/>
              <a:cs typeface="+mn-cs"/>
            </a:rPr>
            <a:t>3</a:t>
          </a:r>
          <a:r>
            <a:rPr lang="fr-CA" sz="1200">
              <a:solidFill>
                <a:schemeClr val="dk1"/>
              </a:solidFill>
              <a:effectLst/>
              <a:latin typeface="+mn-lt"/>
              <a:ea typeface="+mn-ea"/>
              <a:cs typeface="+mn-cs"/>
            </a:rPr>
            <a:t> - Cette cible est </a:t>
          </a:r>
          <a:r>
            <a:rPr lang="fr-CA" sz="1200" b="1">
              <a:solidFill>
                <a:schemeClr val="dk1"/>
              </a:solidFill>
              <a:effectLst/>
              <a:latin typeface="+mn-lt"/>
              <a:ea typeface="+mn-ea"/>
              <a:cs typeface="+mn-cs"/>
            </a:rPr>
            <a:t>en voie d'être atteinte</a:t>
          </a:r>
          <a:endParaRPr lang="fr-CA" sz="1200">
            <a:effectLst/>
            <a:latin typeface="+mn-lt"/>
          </a:endParaRPr>
        </a:p>
        <a:p>
          <a:pPr fontAlgn="base"/>
          <a:r>
            <a:rPr lang="fr-CA" sz="1200">
              <a:solidFill>
                <a:schemeClr val="dk1"/>
              </a:solidFill>
              <a:effectLst/>
              <a:latin typeface="+mn-lt"/>
              <a:ea typeface="+mn-ea"/>
              <a:cs typeface="+mn-cs"/>
            </a:rPr>
            <a:t>La situation relative à cette cible est jugée satisfaisante, la situation est confortable, sans être parfaite, des améliorations sont encore possibles.</a:t>
          </a:r>
          <a:endParaRPr lang="fr-CA" sz="1200">
            <a:effectLst/>
            <a:latin typeface="+mn-lt"/>
          </a:endParaRPr>
        </a:p>
        <a:p>
          <a:pPr fontAlgn="base"/>
          <a:endParaRPr lang="fr-CA" sz="1200" b="1">
            <a:solidFill>
              <a:schemeClr val="dk1"/>
            </a:solidFill>
            <a:effectLst/>
            <a:latin typeface="+mn-lt"/>
            <a:ea typeface="+mn-ea"/>
            <a:cs typeface="+mn-cs"/>
          </a:endParaRPr>
        </a:p>
        <a:p>
          <a:pPr fontAlgn="base"/>
          <a:r>
            <a:rPr lang="fr-CA" sz="1200" b="1">
              <a:solidFill>
                <a:schemeClr val="dk1"/>
              </a:solidFill>
              <a:effectLst/>
              <a:latin typeface="+mn-lt"/>
              <a:ea typeface="+mn-ea"/>
              <a:cs typeface="+mn-cs"/>
            </a:rPr>
            <a:t>4</a:t>
          </a:r>
          <a:r>
            <a:rPr lang="fr-CA" sz="1200">
              <a:solidFill>
                <a:schemeClr val="dk1"/>
              </a:solidFill>
              <a:effectLst/>
              <a:latin typeface="+mn-lt"/>
              <a:ea typeface="+mn-ea"/>
              <a:cs typeface="+mn-cs"/>
            </a:rPr>
            <a:t> - Cette cible est </a:t>
          </a:r>
          <a:r>
            <a:rPr lang="fr-CA" sz="1200" b="1">
              <a:solidFill>
                <a:schemeClr val="dk1"/>
              </a:solidFill>
              <a:effectLst/>
              <a:latin typeface="+mn-lt"/>
              <a:ea typeface="+mn-ea"/>
              <a:cs typeface="+mn-cs"/>
            </a:rPr>
            <a:t>atteinte</a:t>
          </a:r>
          <a:endParaRPr lang="fr-CA" sz="1200">
            <a:effectLst/>
            <a:latin typeface="+mn-lt"/>
          </a:endParaRPr>
        </a:p>
        <a:p>
          <a:pPr fontAlgn="base"/>
          <a:r>
            <a:rPr lang="fr-CA" sz="1200">
              <a:solidFill>
                <a:schemeClr val="dk1"/>
              </a:solidFill>
              <a:effectLst/>
              <a:latin typeface="+mn-lt"/>
              <a:ea typeface="+mn-ea"/>
              <a:cs typeface="+mn-cs"/>
            </a:rPr>
            <a:t>La situation relative à cette cible est jugée excellente, la situation actuelle est très confortable, l'organisation pouvant faire figure d'exemplarité.</a:t>
          </a:r>
        </a:p>
        <a:p>
          <a:pPr fontAlgn="base"/>
          <a:endParaRPr lang="fr-CA" sz="1200">
            <a:solidFill>
              <a:schemeClr val="dk1"/>
            </a:solidFill>
            <a:effectLst/>
            <a:latin typeface="+mn-lt"/>
            <a:ea typeface="+mn-ea"/>
            <a:cs typeface="+mn-cs"/>
          </a:endParaRPr>
        </a:p>
        <a:p>
          <a:pPr fontAlgn="base"/>
          <a:r>
            <a:rPr lang="fr-CA" sz="1200" b="0" i="0">
              <a:solidFill>
                <a:schemeClr val="dk1"/>
              </a:solidFill>
              <a:effectLst/>
              <a:latin typeface="+mn-lt"/>
              <a:ea typeface="+mn-ea"/>
              <a:cs typeface="+mn-cs"/>
            </a:rPr>
            <a:t>Vous devez ensuite inscrire dans la</a:t>
          </a:r>
          <a:r>
            <a:rPr lang="fr-CA" sz="1200" b="0" i="0" baseline="0">
              <a:solidFill>
                <a:schemeClr val="dk1"/>
              </a:solidFill>
              <a:effectLst/>
              <a:latin typeface="+mn-lt"/>
              <a:ea typeface="+mn-ea"/>
              <a:cs typeface="+mn-cs"/>
            </a:rPr>
            <a:t> </a:t>
          </a:r>
          <a:r>
            <a:rPr lang="fr-CA" sz="1200" b="0" i="0">
              <a:solidFill>
                <a:schemeClr val="dk1"/>
              </a:solidFill>
              <a:effectLst/>
              <a:latin typeface="+mn-lt"/>
              <a:ea typeface="+mn-ea"/>
              <a:cs typeface="+mn-cs"/>
            </a:rPr>
            <a:t>colonne correspondante les actions et mesures qui ont déjà été planifiées ou mises en œuvre qui peuvent contribuer à l'atteinte de cette cible. Justifiez,</a:t>
          </a:r>
          <a:r>
            <a:rPr lang="fr-CA" sz="1200" b="0" i="0" baseline="0">
              <a:solidFill>
                <a:schemeClr val="dk1"/>
              </a:solidFill>
              <a:effectLst/>
              <a:latin typeface="+mn-lt"/>
              <a:ea typeface="+mn-ea"/>
              <a:cs typeface="+mn-cs"/>
            </a:rPr>
            <a:t> en quelque sorte, le</a:t>
          </a:r>
          <a:r>
            <a:rPr lang="fr-CA" sz="1200" b="0" i="0">
              <a:solidFill>
                <a:schemeClr val="dk1"/>
              </a:solidFill>
              <a:effectLst/>
              <a:latin typeface="+mn-lt"/>
              <a:ea typeface="+mn-ea"/>
              <a:cs typeface="+mn-cs"/>
            </a:rPr>
            <a:t> niveau d'atteinte de la cible, une cible atteinte devrait pouvoir s'expliquer par plusieurs éléments positifs déjà présents. Utilisez l'ensemble des informations à votre disposition pour documenter cette section. Précisez par exemple : </a:t>
          </a:r>
          <a:endParaRPr lang="fr-CA" sz="1200">
            <a:effectLst/>
            <a:latin typeface="+mn-lt"/>
          </a:endParaRPr>
        </a:p>
        <a:p>
          <a:pPr fontAlgn="base"/>
          <a:endParaRPr lang="fr-CA" sz="1200" b="0" i="0">
            <a:solidFill>
              <a:schemeClr val="dk1"/>
            </a:solidFill>
            <a:effectLst/>
            <a:latin typeface="+mn-lt"/>
            <a:ea typeface="+mn-ea"/>
            <a:cs typeface="+mn-cs"/>
          </a:endParaRPr>
        </a:p>
        <a:p>
          <a:pPr fontAlgn="base"/>
          <a:r>
            <a:rPr lang="fr-CA" sz="1200" b="0" i="0">
              <a:solidFill>
                <a:schemeClr val="dk1"/>
              </a:solidFill>
              <a:effectLst/>
              <a:latin typeface="+mn-lt"/>
              <a:ea typeface="+mn-ea"/>
              <a:cs typeface="+mn-cs"/>
            </a:rPr>
            <a:t> - Les programmes et stratégies existants, avec les organisations responsables.</a:t>
          </a:r>
          <a:endParaRPr lang="fr-CA" sz="1200">
            <a:effectLst/>
            <a:latin typeface="+mn-lt"/>
          </a:endParaRPr>
        </a:p>
        <a:p>
          <a:pPr fontAlgn="base"/>
          <a:r>
            <a:rPr lang="fr-CA" sz="1200" b="0" i="0">
              <a:solidFill>
                <a:schemeClr val="dk1"/>
              </a:solidFill>
              <a:effectLst/>
              <a:latin typeface="+mn-lt"/>
              <a:ea typeface="+mn-ea"/>
              <a:cs typeface="+mn-cs"/>
            </a:rPr>
            <a:t> - Les mesures, projets et actions mis en </a:t>
          </a:r>
          <a:r>
            <a:rPr lang="fr-CA" sz="1200">
              <a:solidFill>
                <a:schemeClr val="dk1"/>
              </a:solidFill>
              <a:effectLst/>
              <a:latin typeface="+mn-lt"/>
              <a:ea typeface="+mn-ea"/>
              <a:cs typeface="+mn-cs"/>
            </a:rPr>
            <a:t>œuvre </a:t>
          </a:r>
          <a:r>
            <a:rPr lang="fr-CA" sz="1200" b="0" i="0">
              <a:solidFill>
                <a:schemeClr val="dk1"/>
              </a:solidFill>
              <a:effectLst/>
              <a:latin typeface="+mn-lt"/>
              <a:ea typeface="+mn-ea"/>
              <a:cs typeface="+mn-cs"/>
            </a:rPr>
            <a:t>sur le territoire.</a:t>
          </a:r>
          <a:endParaRPr lang="fr-CA" sz="1200">
            <a:effectLst/>
            <a:latin typeface="+mn-lt"/>
          </a:endParaRPr>
        </a:p>
        <a:p>
          <a:pPr fontAlgn="base"/>
          <a:r>
            <a:rPr lang="fr-CA" sz="1200" b="0" i="0">
              <a:solidFill>
                <a:schemeClr val="dk1"/>
              </a:solidFill>
              <a:effectLst/>
              <a:latin typeface="+mn-lt"/>
              <a:ea typeface="+mn-ea"/>
              <a:cs typeface="+mn-cs"/>
            </a:rPr>
            <a:t> - Les partenaires actifs sur ces enjeux.</a:t>
          </a:r>
          <a:endParaRPr lang="fr-CA" sz="1200">
            <a:effectLst/>
            <a:latin typeface="+mn-lt"/>
          </a:endParaRPr>
        </a:p>
        <a:p>
          <a:pPr fontAlgn="base"/>
          <a:r>
            <a:rPr lang="fr-CA" sz="1200" b="0" i="0">
              <a:solidFill>
                <a:schemeClr val="dk1"/>
              </a:solidFill>
              <a:effectLst/>
              <a:latin typeface="+mn-lt"/>
              <a:ea typeface="+mn-ea"/>
              <a:cs typeface="+mn-cs"/>
            </a:rPr>
            <a:t> - Les indicateurs de suivi pertinents.</a:t>
          </a:r>
          <a:endParaRPr lang="fr-CA" sz="1200">
            <a:effectLst/>
            <a:latin typeface="+mn-lt"/>
          </a:endParaRPr>
        </a:p>
        <a:p>
          <a:pPr fontAlgn="base"/>
          <a:r>
            <a:rPr lang="fr-CA" sz="1200" b="0" i="0">
              <a:solidFill>
                <a:schemeClr val="dk1"/>
              </a:solidFill>
              <a:effectLst/>
              <a:latin typeface="+mn-lt"/>
              <a:ea typeface="+mn-ea"/>
              <a:cs typeface="+mn-cs"/>
            </a:rPr>
            <a:t> - Les financements disponibles.</a:t>
          </a:r>
          <a:endParaRPr lang="fr-CA" sz="1200">
            <a:effectLst/>
            <a:latin typeface="+mn-lt"/>
          </a:endParaRPr>
        </a:p>
        <a:p>
          <a:pPr eaLnBrk="1" fontAlgn="auto" latinLnBrk="0" hangingPunct="1"/>
          <a:endParaRPr lang="fr-CA" sz="1200" b="1" i="1">
            <a:solidFill>
              <a:schemeClr val="dk1"/>
            </a:solidFill>
            <a:effectLst/>
            <a:latin typeface="+mn-lt"/>
            <a:ea typeface="+mn-ea"/>
            <a:cs typeface="+mn-cs"/>
          </a:endParaRPr>
        </a:p>
        <a:p>
          <a:pPr eaLnBrk="1" fontAlgn="auto" latinLnBrk="0" hangingPunct="1"/>
          <a:endParaRPr lang="fr-CA" sz="1200" b="1" i="1">
            <a:solidFill>
              <a:schemeClr val="dk1"/>
            </a:solidFill>
            <a:effectLst/>
            <a:latin typeface="+mn-lt"/>
            <a:ea typeface="+mn-ea"/>
            <a:cs typeface="+mn-cs"/>
          </a:endParaRPr>
        </a:p>
        <a:p>
          <a:pPr eaLnBrk="1" fontAlgn="auto" latinLnBrk="0" hangingPunct="1"/>
          <a:r>
            <a:rPr lang="fr-CA" sz="1200" b="1" i="0">
              <a:solidFill>
                <a:schemeClr val="dk1"/>
              </a:solidFill>
              <a:effectLst/>
              <a:latin typeface="+mn-lt"/>
              <a:ea typeface="+mn-ea"/>
              <a:cs typeface="+mn-cs"/>
            </a:rPr>
            <a:t>Évaluation des compétences</a:t>
          </a:r>
          <a:endParaRPr lang="fr-CA" sz="1200" i="0">
            <a:effectLst/>
            <a:latin typeface="+mn-lt"/>
          </a:endParaRPr>
        </a:p>
        <a:p>
          <a:r>
            <a:rPr lang="fr-CA" sz="1200" b="0" i="0">
              <a:solidFill>
                <a:schemeClr val="dk1"/>
              </a:solidFill>
              <a:effectLst/>
              <a:latin typeface="+mn-lt"/>
              <a:ea typeface="+mn-ea"/>
              <a:cs typeface="+mn-cs"/>
            </a:rPr>
            <a:t>Il s'agit de déterminer à quelle échelle de gouvernance (locale</a:t>
          </a:r>
          <a:r>
            <a:rPr lang="fr-CA" sz="1200" b="0" i="0" baseline="0">
              <a:solidFill>
                <a:schemeClr val="dk1"/>
              </a:solidFill>
              <a:effectLst/>
              <a:latin typeface="+mn-lt"/>
              <a:ea typeface="+mn-ea"/>
              <a:cs typeface="+mn-cs"/>
            </a:rPr>
            <a:t> et/ou nationale</a:t>
          </a:r>
          <a:r>
            <a:rPr lang="fr-CA" sz="1200" b="0" i="0">
              <a:solidFill>
                <a:schemeClr val="dk1"/>
              </a:solidFill>
              <a:effectLst/>
              <a:latin typeface="+mn-lt"/>
              <a:ea typeface="+mn-ea"/>
              <a:cs typeface="+mn-cs"/>
            </a:rPr>
            <a:t>) sont attribuées les pouvoirs et responsabilités relatives à chaque cible.</a:t>
          </a:r>
          <a:endParaRPr lang="fr-CA" sz="1200">
            <a:effectLst/>
            <a:latin typeface="+mn-lt"/>
          </a:endParaRPr>
        </a:p>
        <a:p>
          <a:pPr eaLnBrk="1" fontAlgn="auto" latinLnBrk="0" hangingPunct="1"/>
          <a:endParaRPr lang="fr-CA" sz="1200">
            <a:solidFill>
              <a:schemeClr val="dk1"/>
            </a:solidFill>
            <a:effectLst/>
            <a:latin typeface="+mn-lt"/>
            <a:ea typeface="+mn-ea"/>
            <a:cs typeface="+mn-cs"/>
          </a:endParaRPr>
        </a:p>
        <a:p>
          <a:pPr eaLnBrk="1" fontAlgn="auto" latinLnBrk="0" hangingPunct="1"/>
          <a:r>
            <a:rPr lang="fr-CA" sz="1200">
              <a:solidFill>
                <a:schemeClr val="dk1"/>
              </a:solidFill>
              <a:effectLst/>
              <a:latin typeface="+mn-lt"/>
              <a:ea typeface="+mn-ea"/>
              <a:cs typeface="+mn-cs"/>
            </a:rPr>
            <a:t>Il est proposé que l’évaluation des niveaux de compétences soit réalisée en fonction des textes législatifs en vigueur dans le pays et par une équipe experte en la matière,</a:t>
          </a:r>
          <a:r>
            <a:rPr lang="fr-CA" sz="1200" baseline="0">
              <a:solidFill>
                <a:schemeClr val="dk1"/>
              </a:solidFill>
              <a:effectLst/>
              <a:latin typeface="+mn-lt"/>
              <a:ea typeface="+mn-ea"/>
              <a:cs typeface="+mn-cs"/>
            </a:rPr>
            <a:t> </a:t>
          </a:r>
          <a:r>
            <a:rPr lang="fr-CA" sz="1200">
              <a:solidFill>
                <a:schemeClr val="dk1"/>
              </a:solidFill>
              <a:effectLst/>
              <a:latin typeface="+mn-lt"/>
              <a:ea typeface="+mn-ea"/>
              <a:cs typeface="+mn-cs"/>
            </a:rPr>
            <a:t>idéalement, avant la tenue de la priorisation. Cette évaluation pourrait notamment</a:t>
          </a:r>
          <a:r>
            <a:rPr lang="fr-CA" sz="1200" baseline="0">
              <a:solidFill>
                <a:schemeClr val="dk1"/>
              </a:solidFill>
              <a:effectLst/>
              <a:latin typeface="+mn-lt"/>
              <a:ea typeface="+mn-ea"/>
              <a:cs typeface="+mn-cs"/>
            </a:rPr>
            <a:t> être</a:t>
          </a:r>
          <a:r>
            <a:rPr lang="fr-CA" sz="1200">
              <a:solidFill>
                <a:schemeClr val="dk1"/>
              </a:solidFill>
              <a:effectLst/>
              <a:latin typeface="+mn-lt"/>
              <a:ea typeface="+mn-ea"/>
              <a:cs typeface="+mn-cs"/>
            </a:rPr>
            <a:t> faite par les experts des ministères en charge de la planification et de l’administration territoriale.</a:t>
          </a:r>
          <a:endParaRPr lang="fr-CA" sz="1200">
            <a:effectLst/>
            <a:latin typeface="+mn-lt"/>
          </a:endParaRPr>
        </a:p>
        <a:p>
          <a:endParaRPr lang="fr-CA" sz="1200" b="0" i="0">
            <a:solidFill>
              <a:schemeClr val="dk1"/>
            </a:solidFill>
            <a:effectLst/>
            <a:latin typeface="+mn-lt"/>
            <a:ea typeface="+mn-ea"/>
            <a:cs typeface="+mn-cs"/>
          </a:endParaRPr>
        </a:p>
        <a:p>
          <a:r>
            <a:rPr lang="fr-CA" sz="1200" b="0" i="0">
              <a:solidFill>
                <a:schemeClr val="dk1"/>
              </a:solidFill>
              <a:effectLst/>
              <a:latin typeface="+mn-lt"/>
              <a:ea typeface="+mn-ea"/>
              <a:cs typeface="+mn-cs"/>
            </a:rPr>
            <a:t>Les </a:t>
          </a:r>
          <a:r>
            <a:rPr lang="fr-CA" sz="1200" b="0" i="0">
              <a:solidFill>
                <a:sysClr val="windowText" lastClr="000000"/>
              </a:solidFill>
              <a:effectLst/>
              <a:latin typeface="+mn-lt"/>
              <a:ea typeface="+mn-ea"/>
              <a:cs typeface="+mn-cs"/>
            </a:rPr>
            <a:t>valeurs numérales de 1 à 3 sont utilisées pour déterminer le niveau de compétence.</a:t>
          </a:r>
        </a:p>
        <a:p>
          <a:r>
            <a:rPr lang="fr-CA" sz="1200" b="0" i="0">
              <a:solidFill>
                <a:sysClr val="windowText" lastClr="000000"/>
              </a:solidFill>
              <a:effectLst/>
              <a:latin typeface="+mn-lt"/>
              <a:ea typeface="+mn-ea"/>
              <a:cs typeface="+mn-cs"/>
            </a:rPr>
            <a:t>1- Equipes TNRC, </a:t>
          </a:r>
        </a:p>
        <a:p>
          <a:r>
            <a:rPr lang="fr-CA" sz="1200" b="0" i="0">
              <a:solidFill>
                <a:sysClr val="windowText" lastClr="000000"/>
              </a:solidFill>
              <a:effectLst/>
              <a:latin typeface="+mn-lt"/>
              <a:ea typeface="+mn-ea"/>
              <a:cs typeface="+mn-cs"/>
            </a:rPr>
            <a:t>2- Organisation adhérente</a:t>
          </a:r>
        </a:p>
        <a:p>
          <a:r>
            <a:rPr lang="fr-CA" sz="1200" b="0" i="0">
              <a:solidFill>
                <a:sysClr val="windowText" lastClr="000000"/>
              </a:solidFill>
              <a:effectLst/>
              <a:latin typeface="+mn-lt"/>
              <a:ea typeface="+mn-ea"/>
              <a:cs typeface="+mn-cs"/>
            </a:rPr>
            <a:t>3- besoin de ressources extérieures</a:t>
          </a:r>
          <a:endParaRPr lang="fr-CA" sz="1200">
            <a:solidFill>
              <a:sysClr val="windowText" lastClr="000000"/>
            </a:solidFill>
            <a:effectLst/>
            <a:latin typeface="+mn-lt"/>
          </a:endParaRPr>
        </a:p>
        <a:p>
          <a:endParaRPr lang="fr-CA" sz="1200" b="0" i="0">
            <a:solidFill>
              <a:sysClr val="windowText" lastClr="000000"/>
            </a:solidFill>
            <a:effectLst/>
            <a:latin typeface="+mn-lt"/>
            <a:ea typeface="+mn-ea"/>
            <a:cs typeface="+mn-cs"/>
          </a:endParaRPr>
        </a:p>
        <a:p>
          <a:r>
            <a:rPr lang="fr-CA" sz="1200" b="0" i="0">
              <a:solidFill>
                <a:sysClr val="windowText" lastClr="000000"/>
              </a:solidFill>
              <a:effectLst/>
              <a:latin typeface="+mn-lt"/>
              <a:ea typeface="+mn-ea"/>
              <a:cs typeface="+mn-cs"/>
            </a:rPr>
            <a:t>Il faut ensuite inscrire dans la colonne correspondante</a:t>
          </a:r>
          <a:r>
            <a:rPr lang="fr-CA" sz="1200" b="0" i="0" baseline="0">
              <a:solidFill>
                <a:sysClr val="windowText" lastClr="000000"/>
              </a:solidFill>
              <a:effectLst/>
              <a:latin typeface="+mn-lt"/>
              <a:ea typeface="+mn-ea"/>
              <a:cs typeface="+mn-cs"/>
            </a:rPr>
            <a:t> </a:t>
          </a:r>
          <a:r>
            <a:rPr lang="fr-CA" sz="1200" b="0" i="0">
              <a:solidFill>
                <a:sysClr val="windowText" lastClr="000000"/>
              </a:solidFill>
              <a:effectLst/>
              <a:latin typeface="+mn-lt"/>
              <a:ea typeface="+mn-ea"/>
              <a:cs typeface="+mn-cs"/>
            </a:rPr>
            <a:t>toutes les forces et les faiblesses en lien avec chaque cible. </a:t>
          </a:r>
          <a:endParaRPr lang="fr-CA" sz="1200">
            <a:solidFill>
              <a:sysClr val="windowText" lastClr="000000"/>
            </a:solidFill>
            <a:effectLst/>
            <a:latin typeface="+mn-lt"/>
          </a:endParaRPr>
        </a:p>
        <a:p>
          <a:r>
            <a:rPr lang="fr-CA" sz="1200" b="0" i="0">
              <a:solidFill>
                <a:sysClr val="windowText" lastClr="000000"/>
              </a:solidFill>
              <a:effectLst/>
              <a:latin typeface="+mn-lt"/>
              <a:ea typeface="+mn-ea"/>
              <a:cs typeface="+mn-cs"/>
            </a:rPr>
            <a:t>Ces forces et faiblesses doivent référer aux capacités d'action réelles sur le terrain des acteurs.</a:t>
          </a:r>
          <a:endParaRPr lang="fr-CA" sz="1200">
            <a:solidFill>
              <a:sysClr val="windowText" lastClr="000000"/>
            </a:solidFill>
            <a:effectLst/>
            <a:latin typeface="+mn-lt"/>
          </a:endParaRPr>
        </a:p>
        <a:p>
          <a:endParaRPr lang="fr-CA" sz="1200" b="1" i="0">
            <a:solidFill>
              <a:sysClr val="windowText" lastClr="000000"/>
            </a:solidFill>
            <a:effectLst/>
            <a:latin typeface="+mn-lt"/>
            <a:ea typeface="+mn-ea"/>
            <a:cs typeface="+mn-cs"/>
          </a:endParaRPr>
        </a:p>
        <a:p>
          <a:r>
            <a:rPr lang="fr-CA" sz="1200" b="1" i="0">
              <a:solidFill>
                <a:sysClr val="windowText" lastClr="000000"/>
              </a:solidFill>
              <a:effectLst/>
              <a:latin typeface="+mn-lt"/>
              <a:ea typeface="+mn-ea"/>
              <a:cs typeface="+mn-cs"/>
            </a:rPr>
            <a:t>Les forces</a:t>
          </a:r>
          <a:r>
            <a:rPr lang="fr-CA" sz="1200" i="0">
              <a:solidFill>
                <a:sysClr val="windowText" lastClr="000000"/>
              </a:solidFill>
              <a:effectLst/>
              <a:latin typeface="+mn-lt"/>
              <a:ea typeface="+mn-ea"/>
              <a:cs typeface="+mn-cs"/>
            </a:rPr>
            <a:t> sont les facteurs internes, qui peuvent être d’une importance particulière pour la cible, tels que des ressources humaines et matérielles.</a:t>
          </a:r>
          <a:endParaRPr lang="fr-CA" sz="1200">
            <a:solidFill>
              <a:sysClr val="windowText" lastClr="000000"/>
            </a:solidFill>
            <a:effectLst/>
            <a:latin typeface="+mn-lt"/>
          </a:endParaRPr>
        </a:p>
        <a:p>
          <a:r>
            <a:rPr lang="fr-CA" sz="1200" b="1" i="0">
              <a:solidFill>
                <a:sysClr val="windowText" lastClr="000000"/>
              </a:solidFill>
              <a:effectLst/>
              <a:latin typeface="+mn-lt"/>
              <a:ea typeface="+mn-ea"/>
              <a:cs typeface="+mn-cs"/>
            </a:rPr>
            <a:t>Les faiblesses</a:t>
          </a:r>
          <a:r>
            <a:rPr lang="fr-CA" sz="1200" i="0">
              <a:solidFill>
                <a:sysClr val="windowText" lastClr="000000"/>
              </a:solidFill>
              <a:effectLst/>
              <a:latin typeface="+mn-lt"/>
              <a:ea typeface="+mn-ea"/>
              <a:cs typeface="+mn-cs"/>
            </a:rPr>
            <a:t> sont les facteurs internes qui peuvent porter atteinte à l’efficacité des actions. Ils peuvent comprendre le manque d'expérience, les limitations budgétaires, le manque de contacts appropriés et l’insuffisance des capacités.</a:t>
          </a:r>
          <a:endParaRPr lang="fr-CA" sz="1200">
            <a:solidFill>
              <a:sysClr val="windowText" lastClr="000000"/>
            </a:solidFill>
            <a:effectLst/>
            <a:latin typeface="+mn-lt"/>
          </a:endParaRPr>
        </a:p>
        <a:p>
          <a:endParaRPr lang="fr-CA" sz="1200" b="0" i="0">
            <a:solidFill>
              <a:schemeClr val="dk1"/>
            </a:solidFill>
            <a:effectLst/>
            <a:latin typeface="+mn-lt"/>
            <a:ea typeface="+mn-ea"/>
            <a:cs typeface="+mn-cs"/>
          </a:endParaRPr>
        </a:p>
        <a:p>
          <a:r>
            <a:rPr lang="fr-CA" sz="1200" b="0" i="0">
              <a:solidFill>
                <a:schemeClr val="dk1"/>
              </a:solidFill>
              <a:effectLst/>
              <a:latin typeface="+mn-lt"/>
              <a:ea typeface="+mn-ea"/>
              <a:cs typeface="+mn-cs"/>
            </a:rPr>
            <a:t>Dans cette colonne, précisez par exemple : </a:t>
          </a:r>
          <a:endParaRPr lang="fr-CA" sz="1200">
            <a:effectLst/>
            <a:latin typeface="+mn-lt"/>
          </a:endParaRPr>
        </a:p>
        <a:p>
          <a:r>
            <a:rPr lang="fr-CA" sz="1200" b="0" i="0">
              <a:solidFill>
                <a:schemeClr val="dk1"/>
              </a:solidFill>
              <a:effectLst/>
              <a:latin typeface="+mn-lt"/>
              <a:ea typeface="+mn-ea"/>
              <a:cs typeface="+mn-cs"/>
            </a:rPr>
            <a:t>- La nature des capacités au niveau</a:t>
          </a:r>
          <a:r>
            <a:rPr lang="fr-CA" sz="1200" b="0" i="0" baseline="0">
              <a:solidFill>
                <a:schemeClr val="dk1"/>
              </a:solidFill>
              <a:effectLst/>
              <a:latin typeface="+mn-lt"/>
              <a:ea typeface="+mn-ea"/>
              <a:cs typeface="+mn-cs"/>
            </a:rPr>
            <a:t> d'analyse déterminé</a:t>
          </a:r>
          <a:r>
            <a:rPr lang="fr-CA" sz="1200" b="0" i="0">
              <a:solidFill>
                <a:schemeClr val="dk1"/>
              </a:solidFill>
              <a:effectLst/>
              <a:latin typeface="+mn-lt"/>
              <a:ea typeface="+mn-ea"/>
              <a:cs typeface="+mn-cs"/>
            </a:rPr>
            <a:t>;</a:t>
          </a:r>
          <a:endParaRPr lang="fr-CA" sz="1200">
            <a:effectLst/>
            <a:latin typeface="+mn-lt"/>
          </a:endParaRPr>
        </a:p>
        <a:p>
          <a:r>
            <a:rPr lang="fr-CA" sz="1200" b="0" i="0">
              <a:solidFill>
                <a:schemeClr val="dk1"/>
              </a:solidFill>
              <a:effectLst/>
              <a:latin typeface="+mn-lt"/>
              <a:ea typeface="+mn-ea"/>
              <a:cs typeface="+mn-cs"/>
            </a:rPr>
            <a:t>- Les ressources humaines, financières et techniques disponibles;</a:t>
          </a:r>
          <a:endParaRPr lang="fr-CA" sz="1200">
            <a:effectLst/>
            <a:latin typeface="+mn-lt"/>
          </a:endParaRPr>
        </a:p>
        <a:p>
          <a:r>
            <a:rPr lang="fr-CA" sz="1200" b="0" i="0">
              <a:solidFill>
                <a:schemeClr val="dk1"/>
              </a:solidFill>
              <a:effectLst/>
              <a:latin typeface="+mn-lt"/>
              <a:ea typeface="+mn-ea"/>
              <a:cs typeface="+mn-cs"/>
            </a:rPr>
            <a:t>- Les partenaires en place qui peuvent agir sur la cible;</a:t>
          </a:r>
          <a:endParaRPr lang="fr-CA" sz="1200">
            <a:effectLst/>
            <a:latin typeface="+mn-lt"/>
          </a:endParaRPr>
        </a:p>
        <a:p>
          <a:endParaRPr lang="fr-CA" sz="1200" b="1" i="1">
            <a:solidFill>
              <a:schemeClr val="dk1"/>
            </a:solidFill>
            <a:effectLst/>
            <a:latin typeface="+mn-lt"/>
            <a:ea typeface="+mn-ea"/>
            <a:cs typeface="+mn-cs"/>
          </a:endParaRPr>
        </a:p>
        <a:p>
          <a:endParaRPr lang="fr-CA" sz="1200" b="1" i="1">
            <a:solidFill>
              <a:schemeClr val="dk1"/>
            </a:solidFill>
            <a:effectLst/>
            <a:latin typeface="+mn-lt"/>
            <a:ea typeface="+mn-ea"/>
            <a:cs typeface="+mn-cs"/>
          </a:endParaRPr>
        </a:p>
        <a:p>
          <a:r>
            <a:rPr lang="fr-CA" sz="1200" b="1" i="0">
              <a:solidFill>
                <a:schemeClr val="dk1"/>
              </a:solidFill>
              <a:effectLst/>
              <a:latin typeface="+mn-lt"/>
              <a:ea typeface="+mn-ea"/>
              <a:cs typeface="+mn-cs"/>
            </a:rPr>
            <a:t>Stratégie d'action pour l'atteinte de cette cible</a:t>
          </a:r>
          <a:endParaRPr lang="fr-CA" sz="1200" i="0">
            <a:effectLst/>
            <a:latin typeface="+mn-lt"/>
          </a:endParaRPr>
        </a:p>
        <a:p>
          <a:r>
            <a:rPr lang="fr-CA" sz="1200">
              <a:solidFill>
                <a:schemeClr val="dk1"/>
              </a:solidFill>
              <a:effectLst/>
              <a:latin typeface="+mn-lt"/>
              <a:ea typeface="+mn-ea"/>
              <a:cs typeface="+mn-cs"/>
            </a:rPr>
            <a:t>Une colonne</a:t>
          </a:r>
          <a:r>
            <a:rPr lang="fr-CA" sz="1200" baseline="0">
              <a:solidFill>
                <a:schemeClr val="dk1"/>
              </a:solidFill>
              <a:effectLst/>
              <a:latin typeface="+mn-lt"/>
              <a:ea typeface="+mn-ea"/>
              <a:cs typeface="+mn-cs"/>
            </a:rPr>
            <a:t> est prévue dans la grille pour proposer des </a:t>
          </a:r>
          <a:r>
            <a:rPr lang="fr-CA" sz="1200">
              <a:solidFill>
                <a:schemeClr val="dk1"/>
              </a:solidFill>
              <a:effectLst/>
              <a:latin typeface="+mn-lt"/>
              <a:ea typeface="+mn-ea"/>
              <a:cs typeface="+mn-cs"/>
            </a:rPr>
            <a:t>suggestions de stratégies d'actions</a:t>
          </a:r>
          <a:r>
            <a:rPr lang="fr-CA" sz="1200" baseline="0">
              <a:solidFill>
                <a:schemeClr val="dk1"/>
              </a:solidFill>
              <a:effectLst/>
              <a:latin typeface="+mn-lt"/>
              <a:ea typeface="+mn-ea"/>
              <a:cs typeface="+mn-cs"/>
            </a:rPr>
            <a:t> </a:t>
          </a:r>
          <a:r>
            <a:rPr lang="fr-CA" sz="1200">
              <a:solidFill>
                <a:schemeClr val="dk1"/>
              </a:solidFill>
              <a:effectLst/>
              <a:latin typeface="+mn-lt"/>
              <a:ea typeface="+mn-ea"/>
              <a:cs typeface="+mn-cs"/>
            </a:rPr>
            <a:t>pouvant contribuer à l'atteinte de la cible. Ces propositions peuvent être de nature stratégique (inscription dans la planification, dans une stratégie) ou pratique (mise en place de programmes ou de projets). Elle peuvent être inspirées d'initiatives d'autres organisations, de partage de bonnes pratiques, de la littérature, d'expériences personnelles des analystes, etc. </a:t>
          </a:r>
        </a:p>
        <a:p>
          <a:r>
            <a:rPr lang="fr-CA" sz="1200">
              <a:solidFill>
                <a:schemeClr val="dk1"/>
              </a:solidFill>
              <a:effectLst/>
              <a:latin typeface="+mn-lt"/>
              <a:ea typeface="+mn-ea"/>
              <a:cs typeface="+mn-cs"/>
            </a:rPr>
            <a:t>Les propositions devront par la suite faire l'objet d'un processus de priorisation. Les actions retenues devront faire l'objet d'une analyse de faisabilité et d'impact. </a:t>
          </a:r>
          <a:endParaRPr lang="fr-CA" sz="1200">
            <a:effectLst/>
            <a:latin typeface="+mn-lt"/>
          </a:endParaRPr>
        </a:p>
        <a:p>
          <a:endParaRPr lang="fr-CA" sz="1200" b="1" i="1">
            <a:solidFill>
              <a:schemeClr val="dk1"/>
            </a:solidFill>
            <a:effectLst/>
            <a:latin typeface="+mn-lt"/>
            <a:ea typeface="+mn-ea"/>
            <a:cs typeface="+mn-cs"/>
          </a:endParaRPr>
        </a:p>
        <a:p>
          <a:endParaRPr lang="fr-CA" sz="1200" b="1" i="1">
            <a:solidFill>
              <a:schemeClr val="dk1"/>
            </a:solidFill>
            <a:effectLst/>
            <a:latin typeface="+mn-lt"/>
            <a:ea typeface="+mn-ea"/>
            <a:cs typeface="+mn-cs"/>
          </a:endParaRPr>
        </a:p>
        <a:p>
          <a:r>
            <a:rPr lang="fr-CA" sz="1200" b="1" i="0">
              <a:solidFill>
                <a:schemeClr val="dk1"/>
              </a:solidFill>
              <a:effectLst/>
              <a:latin typeface="+mn-lt"/>
              <a:ea typeface="+mn-ea"/>
              <a:cs typeface="+mn-cs"/>
            </a:rPr>
            <a:t>Note générale sur la</a:t>
          </a:r>
          <a:r>
            <a:rPr lang="fr-CA" sz="1200" b="1" i="0" baseline="0">
              <a:solidFill>
                <a:schemeClr val="dk1"/>
              </a:solidFill>
              <a:effectLst/>
              <a:latin typeface="+mn-lt"/>
              <a:ea typeface="+mn-ea"/>
              <a:cs typeface="+mn-cs"/>
            </a:rPr>
            <a:t> priorisation</a:t>
          </a:r>
          <a:endParaRPr lang="fr-CA" sz="1200" i="0">
            <a:effectLst/>
            <a:latin typeface="+mn-lt"/>
          </a:endParaRPr>
        </a:p>
        <a:p>
          <a:r>
            <a:rPr lang="fr-CA" sz="1200">
              <a:solidFill>
                <a:schemeClr val="dk1"/>
              </a:solidFill>
              <a:effectLst/>
              <a:latin typeface="+mn-lt"/>
              <a:ea typeface="+mn-ea"/>
              <a:cs typeface="+mn-cs"/>
            </a:rPr>
            <a:t>Il faut garder en tête que malgré le recours à des évaluations quantitatives, l'évaluation de l'importance</a:t>
          </a:r>
          <a:r>
            <a:rPr lang="fr-CA" sz="1200" baseline="0">
              <a:solidFill>
                <a:schemeClr val="dk1"/>
              </a:solidFill>
              <a:effectLst/>
              <a:latin typeface="+mn-lt"/>
              <a:ea typeface="+mn-ea"/>
              <a:cs typeface="+mn-cs"/>
            </a:rPr>
            <a:t> et de la performance </a:t>
          </a:r>
          <a:r>
            <a:rPr lang="fr-CA" sz="1200">
              <a:solidFill>
                <a:schemeClr val="dk1"/>
              </a:solidFill>
              <a:effectLst/>
              <a:latin typeface="+mn-lt"/>
              <a:ea typeface="+mn-ea"/>
              <a:cs typeface="+mn-cs"/>
            </a:rPr>
            <a:t>demeurent des exercices subjectifs.</a:t>
          </a:r>
          <a:endParaRPr lang="fr-CA" sz="1200">
            <a:effectLst/>
            <a:latin typeface="+mn-lt"/>
          </a:endParaRPr>
        </a:p>
        <a:p>
          <a:endParaRPr lang="fr-CA" sz="1100" b="1">
            <a:solidFill>
              <a:schemeClr val="dk1"/>
            </a:solidFill>
            <a:effectLst/>
            <a:latin typeface="+mn-lt"/>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13</xdr:col>
      <xdr:colOff>76199</xdr:colOff>
      <xdr:row>1</xdr:row>
      <xdr:rowOff>10885</xdr:rowOff>
    </xdr:from>
    <xdr:to>
      <xdr:col>23</xdr:col>
      <xdr:colOff>228599</xdr:colOff>
      <xdr:row>8</xdr:row>
      <xdr:rowOff>0</xdr:rowOff>
    </xdr:to>
    <xdr:graphicFrame macro="">
      <xdr:nvGraphicFramePr>
        <xdr:cNvPr id="2" name="Graphique 1">
          <a:extLst>
            <a:ext uri="{FF2B5EF4-FFF2-40B4-BE49-F238E27FC236}">
              <a16:creationId xmlns:a16="http://schemas.microsoft.com/office/drawing/2014/main" id="{00000000-0008-0000-1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77DD2-87CE-454C-8C43-EDD42C072FFC}">
  <sheetPr codeName="Feuil1"/>
  <dimension ref="A1:AK10"/>
  <sheetViews>
    <sheetView tabSelected="1" zoomScaleNormal="100" workbookViewId="0">
      <selection activeCell="H62" sqref="H62"/>
    </sheetView>
  </sheetViews>
  <sheetFormatPr baseColWidth="10" defaultColWidth="11.5" defaultRowHeight="13"/>
  <cols>
    <col min="1" max="37" width="11.5" style="1"/>
  </cols>
  <sheetData>
    <row r="1" spans="1:13">
      <c r="A1" s="1" t="s">
        <v>0</v>
      </c>
    </row>
    <row r="10" spans="1:13">
      <c r="M10" s="1" t="s">
        <v>0</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
  <dimension ref="A9:Y9"/>
  <sheetViews>
    <sheetView zoomScaleNormal="20" workbookViewId="0">
      <selection activeCell="N64" sqref="N64"/>
    </sheetView>
  </sheetViews>
  <sheetFormatPr baseColWidth="10" defaultColWidth="11.5" defaultRowHeight="13"/>
  <cols>
    <col min="1" max="25" width="11.5" style="1"/>
  </cols>
  <sheetData>
    <row r="9" spans="13:13">
      <c r="M9" s="1" t="s">
        <v>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dimension ref="B1:C12"/>
  <sheetViews>
    <sheetView topLeftCell="B1" zoomScaleNormal="90" workbookViewId="0">
      <selection activeCell="C4" sqref="C4"/>
    </sheetView>
  </sheetViews>
  <sheetFormatPr baseColWidth="10" defaultColWidth="10.6640625" defaultRowHeight="16"/>
  <cols>
    <col min="1" max="1" width="1.1640625" style="31" customWidth="1"/>
    <col min="2" max="2" width="33.83203125" style="31" customWidth="1"/>
    <col min="3" max="3" width="127.5" style="32" customWidth="1"/>
    <col min="4" max="256" width="10.6640625" style="31"/>
    <col min="257" max="257" width="1.1640625" style="31" customWidth="1"/>
    <col min="258" max="258" width="31.5" style="31" customWidth="1"/>
    <col min="259" max="259" width="127.5" style="31" customWidth="1"/>
    <col min="260" max="512" width="10.6640625" style="31"/>
    <col min="513" max="513" width="1.1640625" style="31" customWidth="1"/>
    <col min="514" max="514" width="31.5" style="31" customWidth="1"/>
    <col min="515" max="515" width="127.5" style="31" customWidth="1"/>
    <col min="516" max="768" width="10.6640625" style="31"/>
    <col min="769" max="769" width="1.1640625" style="31" customWidth="1"/>
    <col min="770" max="770" width="31.5" style="31" customWidth="1"/>
    <col min="771" max="771" width="127.5" style="31" customWidth="1"/>
    <col min="772" max="1024" width="10.6640625" style="31"/>
    <col min="1025" max="1025" width="1.1640625" style="31" customWidth="1"/>
    <col min="1026" max="1026" width="31.5" style="31" customWidth="1"/>
    <col min="1027" max="1027" width="127.5" style="31" customWidth="1"/>
    <col min="1028" max="1280" width="10.6640625" style="31"/>
    <col min="1281" max="1281" width="1.1640625" style="31" customWidth="1"/>
    <col min="1282" max="1282" width="31.5" style="31" customWidth="1"/>
    <col min="1283" max="1283" width="127.5" style="31" customWidth="1"/>
    <col min="1284" max="1536" width="10.6640625" style="31"/>
    <col min="1537" max="1537" width="1.1640625" style="31" customWidth="1"/>
    <col min="1538" max="1538" width="31.5" style="31" customWidth="1"/>
    <col min="1539" max="1539" width="127.5" style="31" customWidth="1"/>
    <col min="1540" max="1792" width="10.6640625" style="31"/>
    <col min="1793" max="1793" width="1.1640625" style="31" customWidth="1"/>
    <col min="1794" max="1794" width="31.5" style="31" customWidth="1"/>
    <col min="1795" max="1795" width="127.5" style="31" customWidth="1"/>
    <col min="1796" max="2048" width="10.6640625" style="31"/>
    <col min="2049" max="2049" width="1.1640625" style="31" customWidth="1"/>
    <col min="2050" max="2050" width="31.5" style="31" customWidth="1"/>
    <col min="2051" max="2051" width="127.5" style="31" customWidth="1"/>
    <col min="2052" max="2304" width="10.6640625" style="31"/>
    <col min="2305" max="2305" width="1.1640625" style="31" customWidth="1"/>
    <col min="2306" max="2306" width="31.5" style="31" customWidth="1"/>
    <col min="2307" max="2307" width="127.5" style="31" customWidth="1"/>
    <col min="2308" max="2560" width="10.6640625" style="31"/>
    <col min="2561" max="2561" width="1.1640625" style="31" customWidth="1"/>
    <col min="2562" max="2562" width="31.5" style="31" customWidth="1"/>
    <col min="2563" max="2563" width="127.5" style="31" customWidth="1"/>
    <col min="2564" max="2816" width="10.6640625" style="31"/>
    <col min="2817" max="2817" width="1.1640625" style="31" customWidth="1"/>
    <col min="2818" max="2818" width="31.5" style="31" customWidth="1"/>
    <col min="2819" max="2819" width="127.5" style="31" customWidth="1"/>
    <col min="2820" max="3072" width="10.6640625" style="31"/>
    <col min="3073" max="3073" width="1.1640625" style="31" customWidth="1"/>
    <col min="3074" max="3074" width="31.5" style="31" customWidth="1"/>
    <col min="3075" max="3075" width="127.5" style="31" customWidth="1"/>
    <col min="3076" max="3328" width="10.6640625" style="31"/>
    <col min="3329" max="3329" width="1.1640625" style="31" customWidth="1"/>
    <col min="3330" max="3330" width="31.5" style="31" customWidth="1"/>
    <col min="3331" max="3331" width="127.5" style="31" customWidth="1"/>
    <col min="3332" max="3584" width="10.6640625" style="31"/>
    <col min="3585" max="3585" width="1.1640625" style="31" customWidth="1"/>
    <col min="3586" max="3586" width="31.5" style="31" customWidth="1"/>
    <col min="3587" max="3587" width="127.5" style="31" customWidth="1"/>
    <col min="3588" max="3840" width="10.6640625" style="31"/>
    <col min="3841" max="3841" width="1.1640625" style="31" customWidth="1"/>
    <col min="3842" max="3842" width="31.5" style="31" customWidth="1"/>
    <col min="3843" max="3843" width="127.5" style="31" customWidth="1"/>
    <col min="3844" max="4096" width="10.6640625" style="31"/>
    <col min="4097" max="4097" width="1.1640625" style="31" customWidth="1"/>
    <col min="4098" max="4098" width="31.5" style="31" customWidth="1"/>
    <col min="4099" max="4099" width="127.5" style="31" customWidth="1"/>
    <col min="4100" max="4352" width="10.6640625" style="31"/>
    <col min="4353" max="4353" width="1.1640625" style="31" customWidth="1"/>
    <col min="4354" max="4354" width="31.5" style="31" customWidth="1"/>
    <col min="4355" max="4355" width="127.5" style="31" customWidth="1"/>
    <col min="4356" max="4608" width="10.6640625" style="31"/>
    <col min="4609" max="4609" width="1.1640625" style="31" customWidth="1"/>
    <col min="4610" max="4610" width="31.5" style="31" customWidth="1"/>
    <col min="4611" max="4611" width="127.5" style="31" customWidth="1"/>
    <col min="4612" max="4864" width="10.6640625" style="31"/>
    <col min="4865" max="4865" width="1.1640625" style="31" customWidth="1"/>
    <col min="4866" max="4866" width="31.5" style="31" customWidth="1"/>
    <col min="4867" max="4867" width="127.5" style="31" customWidth="1"/>
    <col min="4868" max="5120" width="10.6640625" style="31"/>
    <col min="5121" max="5121" width="1.1640625" style="31" customWidth="1"/>
    <col min="5122" max="5122" width="31.5" style="31" customWidth="1"/>
    <col min="5123" max="5123" width="127.5" style="31" customWidth="1"/>
    <col min="5124" max="5376" width="10.6640625" style="31"/>
    <col min="5377" max="5377" width="1.1640625" style="31" customWidth="1"/>
    <col min="5378" max="5378" width="31.5" style="31" customWidth="1"/>
    <col min="5379" max="5379" width="127.5" style="31" customWidth="1"/>
    <col min="5380" max="5632" width="10.6640625" style="31"/>
    <col min="5633" max="5633" width="1.1640625" style="31" customWidth="1"/>
    <col min="5634" max="5634" width="31.5" style="31" customWidth="1"/>
    <col min="5635" max="5635" width="127.5" style="31" customWidth="1"/>
    <col min="5636" max="5888" width="10.6640625" style="31"/>
    <col min="5889" max="5889" width="1.1640625" style="31" customWidth="1"/>
    <col min="5890" max="5890" width="31.5" style="31" customWidth="1"/>
    <col min="5891" max="5891" width="127.5" style="31" customWidth="1"/>
    <col min="5892" max="6144" width="10.6640625" style="31"/>
    <col min="6145" max="6145" width="1.1640625" style="31" customWidth="1"/>
    <col min="6146" max="6146" width="31.5" style="31" customWidth="1"/>
    <col min="6147" max="6147" width="127.5" style="31" customWidth="1"/>
    <col min="6148" max="6400" width="10.6640625" style="31"/>
    <col min="6401" max="6401" width="1.1640625" style="31" customWidth="1"/>
    <col min="6402" max="6402" width="31.5" style="31" customWidth="1"/>
    <col min="6403" max="6403" width="127.5" style="31" customWidth="1"/>
    <col min="6404" max="6656" width="10.6640625" style="31"/>
    <col min="6657" max="6657" width="1.1640625" style="31" customWidth="1"/>
    <col min="6658" max="6658" width="31.5" style="31" customWidth="1"/>
    <col min="6659" max="6659" width="127.5" style="31" customWidth="1"/>
    <col min="6660" max="6912" width="10.6640625" style="31"/>
    <col min="6913" max="6913" width="1.1640625" style="31" customWidth="1"/>
    <col min="6914" max="6914" width="31.5" style="31" customWidth="1"/>
    <col min="6915" max="6915" width="127.5" style="31" customWidth="1"/>
    <col min="6916" max="7168" width="10.6640625" style="31"/>
    <col min="7169" max="7169" width="1.1640625" style="31" customWidth="1"/>
    <col min="7170" max="7170" width="31.5" style="31" customWidth="1"/>
    <col min="7171" max="7171" width="127.5" style="31" customWidth="1"/>
    <col min="7172" max="7424" width="10.6640625" style="31"/>
    <col min="7425" max="7425" width="1.1640625" style="31" customWidth="1"/>
    <col min="7426" max="7426" width="31.5" style="31" customWidth="1"/>
    <col min="7427" max="7427" width="127.5" style="31" customWidth="1"/>
    <col min="7428" max="7680" width="10.6640625" style="31"/>
    <col min="7681" max="7681" width="1.1640625" style="31" customWidth="1"/>
    <col min="7682" max="7682" width="31.5" style="31" customWidth="1"/>
    <col min="7683" max="7683" width="127.5" style="31" customWidth="1"/>
    <col min="7684" max="7936" width="10.6640625" style="31"/>
    <col min="7937" max="7937" width="1.1640625" style="31" customWidth="1"/>
    <col min="7938" max="7938" width="31.5" style="31" customWidth="1"/>
    <col min="7939" max="7939" width="127.5" style="31" customWidth="1"/>
    <col min="7940" max="8192" width="10.6640625" style="31"/>
    <col min="8193" max="8193" width="1.1640625" style="31" customWidth="1"/>
    <col min="8194" max="8194" width="31.5" style="31" customWidth="1"/>
    <col min="8195" max="8195" width="127.5" style="31" customWidth="1"/>
    <col min="8196" max="8448" width="10.6640625" style="31"/>
    <col min="8449" max="8449" width="1.1640625" style="31" customWidth="1"/>
    <col min="8450" max="8450" width="31.5" style="31" customWidth="1"/>
    <col min="8451" max="8451" width="127.5" style="31" customWidth="1"/>
    <col min="8452" max="8704" width="10.6640625" style="31"/>
    <col min="8705" max="8705" width="1.1640625" style="31" customWidth="1"/>
    <col min="8706" max="8706" width="31.5" style="31" customWidth="1"/>
    <col min="8707" max="8707" width="127.5" style="31" customWidth="1"/>
    <col min="8708" max="8960" width="10.6640625" style="31"/>
    <col min="8961" max="8961" width="1.1640625" style="31" customWidth="1"/>
    <col min="8962" max="8962" width="31.5" style="31" customWidth="1"/>
    <col min="8963" max="8963" width="127.5" style="31" customWidth="1"/>
    <col min="8964" max="9216" width="10.6640625" style="31"/>
    <col min="9217" max="9217" width="1.1640625" style="31" customWidth="1"/>
    <col min="9218" max="9218" width="31.5" style="31" customWidth="1"/>
    <col min="9219" max="9219" width="127.5" style="31" customWidth="1"/>
    <col min="9220" max="9472" width="10.6640625" style="31"/>
    <col min="9473" max="9473" width="1.1640625" style="31" customWidth="1"/>
    <col min="9474" max="9474" width="31.5" style="31" customWidth="1"/>
    <col min="9475" max="9475" width="127.5" style="31" customWidth="1"/>
    <col min="9476" max="9728" width="10.6640625" style="31"/>
    <col min="9729" max="9729" width="1.1640625" style="31" customWidth="1"/>
    <col min="9730" max="9730" width="31.5" style="31" customWidth="1"/>
    <col min="9731" max="9731" width="127.5" style="31" customWidth="1"/>
    <col min="9732" max="9984" width="10.6640625" style="31"/>
    <col min="9985" max="9985" width="1.1640625" style="31" customWidth="1"/>
    <col min="9986" max="9986" width="31.5" style="31" customWidth="1"/>
    <col min="9987" max="9987" width="127.5" style="31" customWidth="1"/>
    <col min="9988" max="10240" width="10.6640625" style="31"/>
    <col min="10241" max="10241" width="1.1640625" style="31" customWidth="1"/>
    <col min="10242" max="10242" width="31.5" style="31" customWidth="1"/>
    <col min="10243" max="10243" width="127.5" style="31" customWidth="1"/>
    <col min="10244" max="10496" width="10.6640625" style="31"/>
    <col min="10497" max="10497" width="1.1640625" style="31" customWidth="1"/>
    <col min="10498" max="10498" width="31.5" style="31" customWidth="1"/>
    <col min="10499" max="10499" width="127.5" style="31" customWidth="1"/>
    <col min="10500" max="10752" width="10.6640625" style="31"/>
    <col min="10753" max="10753" width="1.1640625" style="31" customWidth="1"/>
    <col min="10754" max="10754" width="31.5" style="31" customWidth="1"/>
    <col min="10755" max="10755" width="127.5" style="31" customWidth="1"/>
    <col min="10756" max="11008" width="10.6640625" style="31"/>
    <col min="11009" max="11009" width="1.1640625" style="31" customWidth="1"/>
    <col min="11010" max="11010" width="31.5" style="31" customWidth="1"/>
    <col min="11011" max="11011" width="127.5" style="31" customWidth="1"/>
    <col min="11012" max="11264" width="10.6640625" style="31"/>
    <col min="11265" max="11265" width="1.1640625" style="31" customWidth="1"/>
    <col min="11266" max="11266" width="31.5" style="31" customWidth="1"/>
    <col min="11267" max="11267" width="127.5" style="31" customWidth="1"/>
    <col min="11268" max="11520" width="10.6640625" style="31"/>
    <col min="11521" max="11521" width="1.1640625" style="31" customWidth="1"/>
    <col min="11522" max="11522" width="31.5" style="31" customWidth="1"/>
    <col min="11523" max="11523" width="127.5" style="31" customWidth="1"/>
    <col min="11524" max="11776" width="10.6640625" style="31"/>
    <col min="11777" max="11777" width="1.1640625" style="31" customWidth="1"/>
    <col min="11778" max="11778" width="31.5" style="31" customWidth="1"/>
    <col min="11779" max="11779" width="127.5" style="31" customWidth="1"/>
    <col min="11780" max="12032" width="10.6640625" style="31"/>
    <col min="12033" max="12033" width="1.1640625" style="31" customWidth="1"/>
    <col min="12034" max="12034" width="31.5" style="31" customWidth="1"/>
    <col min="12035" max="12035" width="127.5" style="31" customWidth="1"/>
    <col min="12036" max="12288" width="10.6640625" style="31"/>
    <col min="12289" max="12289" width="1.1640625" style="31" customWidth="1"/>
    <col min="12290" max="12290" width="31.5" style="31" customWidth="1"/>
    <col min="12291" max="12291" width="127.5" style="31" customWidth="1"/>
    <col min="12292" max="12544" width="10.6640625" style="31"/>
    <col min="12545" max="12545" width="1.1640625" style="31" customWidth="1"/>
    <col min="12546" max="12546" width="31.5" style="31" customWidth="1"/>
    <col min="12547" max="12547" width="127.5" style="31" customWidth="1"/>
    <col min="12548" max="12800" width="10.6640625" style="31"/>
    <col min="12801" max="12801" width="1.1640625" style="31" customWidth="1"/>
    <col min="12802" max="12802" width="31.5" style="31" customWidth="1"/>
    <col min="12803" max="12803" width="127.5" style="31" customWidth="1"/>
    <col min="12804" max="13056" width="10.6640625" style="31"/>
    <col min="13057" max="13057" width="1.1640625" style="31" customWidth="1"/>
    <col min="13058" max="13058" width="31.5" style="31" customWidth="1"/>
    <col min="13059" max="13059" width="127.5" style="31" customWidth="1"/>
    <col min="13060" max="13312" width="10.6640625" style="31"/>
    <col min="13313" max="13313" width="1.1640625" style="31" customWidth="1"/>
    <col min="13314" max="13314" width="31.5" style="31" customWidth="1"/>
    <col min="13315" max="13315" width="127.5" style="31" customWidth="1"/>
    <col min="13316" max="13568" width="10.6640625" style="31"/>
    <col min="13569" max="13569" width="1.1640625" style="31" customWidth="1"/>
    <col min="13570" max="13570" width="31.5" style="31" customWidth="1"/>
    <col min="13571" max="13571" width="127.5" style="31" customWidth="1"/>
    <col min="13572" max="13824" width="10.6640625" style="31"/>
    <col min="13825" max="13825" width="1.1640625" style="31" customWidth="1"/>
    <col min="13826" max="13826" width="31.5" style="31" customWidth="1"/>
    <col min="13827" max="13827" width="127.5" style="31" customWidth="1"/>
    <col min="13828" max="14080" width="10.6640625" style="31"/>
    <col min="14081" max="14081" width="1.1640625" style="31" customWidth="1"/>
    <col min="14082" max="14082" width="31.5" style="31" customWidth="1"/>
    <col min="14083" max="14083" width="127.5" style="31" customWidth="1"/>
    <col min="14084" max="14336" width="10.6640625" style="31"/>
    <col min="14337" max="14337" width="1.1640625" style="31" customWidth="1"/>
    <col min="14338" max="14338" width="31.5" style="31" customWidth="1"/>
    <col min="14339" max="14339" width="127.5" style="31" customWidth="1"/>
    <col min="14340" max="14592" width="10.6640625" style="31"/>
    <col min="14593" max="14593" width="1.1640625" style="31" customWidth="1"/>
    <col min="14594" max="14594" width="31.5" style="31" customWidth="1"/>
    <col min="14595" max="14595" width="127.5" style="31" customWidth="1"/>
    <col min="14596" max="14848" width="10.6640625" style="31"/>
    <col min="14849" max="14849" width="1.1640625" style="31" customWidth="1"/>
    <col min="14850" max="14850" width="31.5" style="31" customWidth="1"/>
    <col min="14851" max="14851" width="127.5" style="31" customWidth="1"/>
    <col min="14852" max="15104" width="10.6640625" style="31"/>
    <col min="15105" max="15105" width="1.1640625" style="31" customWidth="1"/>
    <col min="15106" max="15106" width="31.5" style="31" customWidth="1"/>
    <col min="15107" max="15107" width="127.5" style="31" customWidth="1"/>
    <col min="15108" max="15360" width="10.6640625" style="31"/>
    <col min="15361" max="15361" width="1.1640625" style="31" customWidth="1"/>
    <col min="15362" max="15362" width="31.5" style="31" customWidth="1"/>
    <col min="15363" max="15363" width="127.5" style="31" customWidth="1"/>
    <col min="15364" max="15616" width="10.6640625" style="31"/>
    <col min="15617" max="15617" width="1.1640625" style="31" customWidth="1"/>
    <col min="15618" max="15618" width="31.5" style="31" customWidth="1"/>
    <col min="15619" max="15619" width="127.5" style="31" customWidth="1"/>
    <col min="15620" max="15872" width="10.6640625" style="31"/>
    <col min="15873" max="15873" width="1.1640625" style="31" customWidth="1"/>
    <col min="15874" max="15874" width="31.5" style="31" customWidth="1"/>
    <col min="15875" max="15875" width="127.5" style="31" customWidth="1"/>
    <col min="15876" max="16128" width="10.6640625" style="31"/>
    <col min="16129" max="16129" width="1.1640625" style="31" customWidth="1"/>
    <col min="16130" max="16130" width="31.5" style="31" customWidth="1"/>
    <col min="16131" max="16131" width="127.5" style="31" customWidth="1"/>
    <col min="16132" max="16384" width="10.6640625" style="31"/>
  </cols>
  <sheetData>
    <row r="1" spans="2:3" ht="6.75" customHeight="1"/>
    <row r="2" spans="2:3" ht="70.5" customHeight="1">
      <c r="B2" s="347" t="s">
        <v>1</v>
      </c>
      <c r="C2" s="348"/>
    </row>
    <row r="3" spans="2:3" ht="17" thickBot="1"/>
    <row r="4" spans="2:3" s="32" customFormat="1" ht="58.5" customHeight="1">
      <c r="B4" s="33" t="s">
        <v>2</v>
      </c>
      <c r="C4" s="34"/>
    </row>
    <row r="5" spans="2:3" s="32" customFormat="1" ht="65.25" customHeight="1">
      <c r="B5" s="35" t="s">
        <v>3</v>
      </c>
      <c r="C5" s="36"/>
    </row>
    <row r="6" spans="2:3" s="32" customFormat="1" ht="99" customHeight="1">
      <c r="B6" s="37" t="s">
        <v>4</v>
      </c>
      <c r="C6" s="38"/>
    </row>
    <row r="7" spans="2:3" s="32" customFormat="1" ht="99" customHeight="1">
      <c r="B7" s="39" t="s">
        <v>5</v>
      </c>
      <c r="C7" s="40"/>
    </row>
    <row r="8" spans="2:3" s="32" customFormat="1" ht="48" customHeight="1" thickBot="1">
      <c r="B8" s="41" t="s">
        <v>6</v>
      </c>
      <c r="C8" s="42"/>
    </row>
    <row r="9" spans="2:3" ht="17" thickBot="1">
      <c r="C9" s="58"/>
    </row>
    <row r="10" spans="2:3" ht="61.5" customHeight="1" thickBot="1">
      <c r="B10" s="33" t="s">
        <v>7</v>
      </c>
      <c r="C10" s="34"/>
    </row>
    <row r="11" spans="2:3" ht="61.5" customHeight="1">
      <c r="B11" s="39" t="s">
        <v>8</v>
      </c>
      <c r="C11" s="34"/>
    </row>
    <row r="12" spans="2:3" ht="43.5" customHeight="1" thickBot="1">
      <c r="B12" s="41" t="s">
        <v>9</v>
      </c>
      <c r="C12" s="43"/>
    </row>
  </sheetData>
  <mergeCells count="1">
    <mergeCell ref="B2:C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4">
    <tabColor theme="4"/>
    <pageSetUpPr fitToPage="1"/>
  </sheetPr>
  <dimension ref="A1:X13"/>
  <sheetViews>
    <sheetView topLeftCell="D5" zoomScaleNormal="100" workbookViewId="0">
      <selection activeCell="G9" sqref="G9"/>
    </sheetView>
  </sheetViews>
  <sheetFormatPr baseColWidth="10" defaultColWidth="10.6640625" defaultRowHeight="12"/>
  <cols>
    <col min="1" max="1" width="1.5" style="51" customWidth="1"/>
    <col min="2" max="2" width="6.6640625" style="54" customWidth="1"/>
    <col min="3" max="3" width="83" style="55" customWidth="1"/>
    <col min="4" max="4" width="108.1640625" style="56" customWidth="1"/>
    <col min="5" max="5" width="9.83203125" style="51" customWidth="1"/>
    <col min="6" max="6" width="9.83203125" style="57" customWidth="1"/>
    <col min="7" max="7" width="89.1640625" style="56" customWidth="1"/>
    <col min="8" max="8" width="8.83203125" style="56" customWidth="1"/>
    <col min="9" max="9" width="66.6640625" style="56" customWidth="1"/>
    <col min="10" max="10" width="20.6640625" style="56" customWidth="1"/>
    <col min="11" max="11" width="5.6640625" style="51" hidden="1" customWidth="1"/>
    <col min="12" max="12" width="16.6640625" style="51" hidden="1" customWidth="1"/>
    <col min="13" max="13" width="17.6640625" style="51" hidden="1" customWidth="1"/>
    <col min="14" max="21" width="5.6640625" style="51" hidden="1" customWidth="1"/>
    <col min="22" max="22" width="79.1640625" style="56" customWidth="1"/>
    <col min="23" max="23" width="68.6640625" style="56" hidden="1" customWidth="1"/>
    <col min="24" max="24" width="78.5" style="51" hidden="1" customWidth="1"/>
    <col min="25" max="16384" width="10.6640625" style="51"/>
  </cols>
  <sheetData>
    <row r="1" spans="1:24" s="46" customFormat="1" ht="13" thickBot="1">
      <c r="B1" s="47"/>
      <c r="C1" s="48"/>
      <c r="D1" s="49"/>
      <c r="F1" s="50"/>
      <c r="G1" s="49"/>
      <c r="H1" s="49"/>
      <c r="I1" s="49"/>
      <c r="J1" s="49"/>
      <c r="L1" s="46">
        <v>0</v>
      </c>
      <c r="M1" s="46">
        <v>1</v>
      </c>
      <c r="N1" s="46">
        <v>2</v>
      </c>
      <c r="O1" s="46">
        <v>3</v>
      </c>
      <c r="P1" s="46">
        <v>4</v>
      </c>
      <c r="Q1" s="46">
        <v>5</v>
      </c>
      <c r="V1" s="49"/>
      <c r="W1" s="49"/>
    </row>
    <row r="2" spans="1:24" s="46" customFormat="1" ht="26" thickBot="1">
      <c r="B2" s="324" t="s">
        <v>10</v>
      </c>
      <c r="C2" s="325"/>
      <c r="D2" s="325"/>
      <c r="E2" s="325"/>
      <c r="F2" s="325"/>
      <c r="G2" s="326"/>
      <c r="H2" s="49"/>
      <c r="I2" s="49"/>
      <c r="J2" s="49"/>
      <c r="V2" s="49"/>
      <c r="W2" s="49"/>
    </row>
    <row r="3" spans="1:24" s="46" customFormat="1" ht="17" thickBot="1">
      <c r="B3" s="349"/>
      <c r="C3" s="350"/>
      <c r="D3" s="350"/>
      <c r="E3" s="350"/>
      <c r="F3" s="350"/>
      <c r="G3" s="350"/>
      <c r="H3" s="350"/>
      <c r="I3" s="350"/>
      <c r="J3" s="350"/>
      <c r="K3" s="350"/>
      <c r="L3" s="350"/>
      <c r="M3" s="350"/>
      <c r="N3" s="350"/>
      <c r="O3" s="350"/>
      <c r="P3" s="350"/>
      <c r="Q3" s="350"/>
      <c r="R3" s="350"/>
      <c r="S3" s="350"/>
      <c r="T3" s="350"/>
      <c r="U3" s="350"/>
      <c r="V3" s="350"/>
      <c r="W3" s="350"/>
      <c r="X3" s="350"/>
    </row>
    <row r="4" spans="1:24" ht="19">
      <c r="A4" s="46"/>
      <c r="B4" s="336"/>
      <c r="C4" s="337"/>
      <c r="D4" s="340" t="s">
        <v>11</v>
      </c>
      <c r="E4" s="341"/>
      <c r="F4" s="342" t="s">
        <v>12</v>
      </c>
      <c r="G4" s="343"/>
      <c r="H4" s="344" t="s">
        <v>13</v>
      </c>
      <c r="I4" s="345"/>
      <c r="J4" s="79" t="s">
        <v>14</v>
      </c>
      <c r="K4" s="80"/>
      <c r="L4" s="80"/>
      <c r="M4" s="80"/>
      <c r="N4" s="80"/>
      <c r="O4" s="80"/>
      <c r="P4" s="80"/>
      <c r="Q4" s="80"/>
      <c r="R4" s="80"/>
      <c r="S4" s="80"/>
      <c r="T4" s="80"/>
      <c r="U4" s="80"/>
      <c r="V4" s="351" t="s">
        <v>15</v>
      </c>
      <c r="W4" s="352"/>
      <c r="X4" s="352"/>
    </row>
    <row r="5" spans="1:24" s="53" customFormat="1" ht="355" customHeight="1" thickBot="1">
      <c r="A5" s="52"/>
      <c r="B5" s="338"/>
      <c r="C5" s="339"/>
      <c r="D5" s="158" t="s">
        <v>16</v>
      </c>
      <c r="E5" s="159" t="s">
        <v>17</v>
      </c>
      <c r="F5" s="164" t="s">
        <v>18</v>
      </c>
      <c r="G5" s="165" t="s">
        <v>19</v>
      </c>
      <c r="H5" s="156" t="s">
        <v>133</v>
      </c>
      <c r="I5" s="157" t="s">
        <v>20</v>
      </c>
      <c r="J5" s="100" t="s">
        <v>21</v>
      </c>
      <c r="K5" s="101" t="s">
        <v>22</v>
      </c>
      <c r="L5" s="129" t="s">
        <v>23</v>
      </c>
      <c r="M5" s="130" t="s">
        <v>24</v>
      </c>
      <c r="N5" s="131" t="s">
        <v>25</v>
      </c>
      <c r="O5" s="132" t="s">
        <v>26</v>
      </c>
      <c r="P5" s="133" t="s">
        <v>27</v>
      </c>
      <c r="Q5" s="134" t="s">
        <v>28</v>
      </c>
      <c r="R5" s="135" t="s">
        <v>29</v>
      </c>
      <c r="S5" s="102" t="s">
        <v>30</v>
      </c>
      <c r="T5" s="102" t="s">
        <v>31</v>
      </c>
      <c r="U5" s="102" t="s">
        <v>32</v>
      </c>
      <c r="V5" s="103" t="s">
        <v>33</v>
      </c>
      <c r="W5" s="287"/>
      <c r="X5" s="291"/>
    </row>
    <row r="6" spans="1:24" s="60" customFormat="1" ht="19" thickBot="1">
      <c r="A6" s="59"/>
      <c r="B6" s="327" t="s">
        <v>35</v>
      </c>
      <c r="C6" s="328"/>
      <c r="D6" s="329"/>
      <c r="E6" s="329"/>
      <c r="F6" s="329"/>
      <c r="G6" s="329"/>
      <c r="H6" s="329"/>
      <c r="I6" s="329"/>
      <c r="J6" s="329"/>
      <c r="K6" s="329"/>
      <c r="L6" s="329"/>
      <c r="M6" s="329"/>
      <c r="N6" s="329"/>
      <c r="O6" s="329"/>
      <c r="P6" s="329"/>
      <c r="Q6" s="329"/>
      <c r="R6" s="329"/>
      <c r="S6" s="329"/>
      <c r="T6" s="329"/>
      <c r="U6" s="329"/>
      <c r="V6" s="329"/>
      <c r="W6" s="328"/>
      <c r="X6" s="292"/>
    </row>
    <row r="7" spans="1:24" s="137" customFormat="1" ht="42">
      <c r="A7" s="136"/>
      <c r="B7" s="152" t="s">
        <v>36</v>
      </c>
      <c r="C7" s="320" t="s">
        <v>132</v>
      </c>
      <c r="D7" s="139"/>
      <c r="E7" s="169"/>
      <c r="F7" s="166"/>
      <c r="G7" s="393"/>
      <c r="H7" s="140"/>
      <c r="I7" s="172"/>
      <c r="J7" s="110" t="str">
        <f>S7</f>
        <v/>
      </c>
      <c r="K7" s="88">
        <f>E7*10+F7</f>
        <v>0</v>
      </c>
      <c r="L7" s="88" t="b">
        <f>OR(K7=31)</f>
        <v>0</v>
      </c>
      <c r="M7" s="88" t="b">
        <f>OR(K7=21,K7=32)</f>
        <v>0</v>
      </c>
      <c r="N7" s="88" t="b">
        <f>OR(K7=22,K7=33)</f>
        <v>0</v>
      </c>
      <c r="O7" s="88" t="b">
        <f>OR(K7=11,K7=12)</f>
        <v>0</v>
      </c>
      <c r="P7" s="88" t="b">
        <f>OR(K7=23,K7=34)</f>
        <v>0</v>
      </c>
      <c r="Q7" s="88" t="b">
        <f>OR(K7=13,K7=14,K7=24)</f>
        <v>0</v>
      </c>
      <c r="R7" s="88" t="b">
        <f>OR(K7=1,K7=2,K7=3,K7=4)</f>
        <v>0</v>
      </c>
      <c r="S7" s="89" t="str">
        <f t="shared" ref="S7:S12" si="0">IF(COUNTA(E7:F7)&lt;2,"",(IF(L7=TRUE,$L$5,IF(M7=TRUE,$M$5,IF(N7=TRUE,$N$5,IF(O7=TRUE,$O$5,IF(P7=TRUE,$P$5,IF(Q7=TRUE,$Q$5,IF(R7=TRUE,$R$5,0)))))))))</f>
        <v/>
      </c>
      <c r="T7" s="90" t="str">
        <f t="shared" ref="T7:T12" si="1">IF(COUNTA(E7:F7)&lt;2,"",(IF(L7=TRUE,6,IF(M7=TRUE,5,IF(N7=TRUE,4,IF(O7=TRUE,3,IF(P7=TRUE,2,IF(Q7=TRUE,1,IF(R7=TRUE,0,0)))))))))</f>
        <v/>
      </c>
      <c r="U7" s="91" t="e">
        <f>T7*10+#REF!</f>
        <v>#VALUE!</v>
      </c>
      <c r="V7" s="143"/>
      <c r="W7" s="288"/>
      <c r="X7" s="88"/>
    </row>
    <row r="8" spans="1:24" s="137" customFormat="1" ht="63">
      <c r="A8" s="136"/>
      <c r="B8" s="153" t="s">
        <v>37</v>
      </c>
      <c r="C8" s="318" t="s">
        <v>38</v>
      </c>
      <c r="D8" s="139"/>
      <c r="E8" s="169"/>
      <c r="F8" s="166"/>
      <c r="G8" s="393"/>
      <c r="H8" s="140"/>
      <c r="I8" s="172"/>
      <c r="J8" s="110" t="str">
        <f t="shared" ref="J8:J12" si="2">S8</f>
        <v/>
      </c>
      <c r="K8" s="88">
        <f t="shared" ref="K8:K12" si="3">E8*10+F8</f>
        <v>0</v>
      </c>
      <c r="L8" s="88" t="b">
        <f t="shared" ref="L8:L12" si="4">OR(K8=31)</f>
        <v>0</v>
      </c>
      <c r="M8" s="88" t="b">
        <f t="shared" ref="M8:M12" si="5">OR(K8=21,K8=32)</f>
        <v>0</v>
      </c>
      <c r="N8" s="88" t="b">
        <f t="shared" ref="N8:N12" si="6">OR(K8=22,K8=33)</f>
        <v>0</v>
      </c>
      <c r="O8" s="88" t="b">
        <f t="shared" ref="O8:O12" si="7">OR(K8=11,K8=12)</f>
        <v>0</v>
      </c>
      <c r="P8" s="88" t="b">
        <f t="shared" ref="P8:P12" si="8">OR(K8=23,K8=34)</f>
        <v>0</v>
      </c>
      <c r="Q8" s="88" t="b">
        <f t="shared" ref="Q8:Q12" si="9">OR(K8=13,K8=14,K8=24)</f>
        <v>0</v>
      </c>
      <c r="R8" s="88" t="b">
        <f t="shared" ref="R8:R12" si="10">OR(K8=1,K8=2,K8=3,K8=4)</f>
        <v>0</v>
      </c>
      <c r="S8" s="89" t="str">
        <f t="shared" si="0"/>
        <v/>
      </c>
      <c r="T8" s="90" t="str">
        <f t="shared" si="1"/>
        <v/>
      </c>
      <c r="U8" s="91" t="e">
        <f t="shared" ref="U8:U12" si="11">T8*10+H8</f>
        <v>#VALUE!</v>
      </c>
      <c r="V8" s="143"/>
      <c r="W8" s="303"/>
      <c r="X8" s="302"/>
    </row>
    <row r="9" spans="1:24" s="137" customFormat="1" ht="63">
      <c r="A9" s="136"/>
      <c r="B9" s="153" t="s">
        <v>39</v>
      </c>
      <c r="C9" s="318" t="s">
        <v>40</v>
      </c>
      <c r="D9" s="139"/>
      <c r="E9" s="169"/>
      <c r="F9" s="166"/>
      <c r="G9" s="393"/>
      <c r="H9" s="140"/>
      <c r="I9" s="172"/>
      <c r="J9" s="110" t="str">
        <f t="shared" si="2"/>
        <v/>
      </c>
      <c r="K9" s="104">
        <f t="shared" si="3"/>
        <v>0</v>
      </c>
      <c r="L9" s="104" t="b">
        <f t="shared" si="4"/>
        <v>0</v>
      </c>
      <c r="M9" s="104" t="b">
        <f t="shared" si="5"/>
        <v>0</v>
      </c>
      <c r="N9" s="104" t="b">
        <f t="shared" si="6"/>
        <v>0</v>
      </c>
      <c r="O9" s="104" t="b">
        <f t="shared" si="7"/>
        <v>0</v>
      </c>
      <c r="P9" s="104" t="b">
        <f t="shared" si="8"/>
        <v>0</v>
      </c>
      <c r="Q9" s="104" t="b">
        <f t="shared" si="9"/>
        <v>0</v>
      </c>
      <c r="R9" s="104" t="b">
        <f t="shared" si="10"/>
        <v>0</v>
      </c>
      <c r="S9" s="105" t="str">
        <f t="shared" si="0"/>
        <v/>
      </c>
      <c r="T9" s="106" t="str">
        <f t="shared" si="1"/>
        <v/>
      </c>
      <c r="U9" s="104" t="e">
        <f t="shared" si="11"/>
        <v>#VALUE!</v>
      </c>
      <c r="V9" s="143"/>
      <c r="W9" s="289"/>
      <c r="X9" s="301"/>
    </row>
    <row r="10" spans="1:24" s="137" customFormat="1" ht="63">
      <c r="A10" s="136"/>
      <c r="B10" s="154" t="s">
        <v>41</v>
      </c>
      <c r="C10" s="321" t="s">
        <v>42</v>
      </c>
      <c r="D10" s="139"/>
      <c r="E10" s="170"/>
      <c r="F10" s="168"/>
      <c r="G10" s="394"/>
      <c r="H10" s="140"/>
      <c r="I10" s="172"/>
      <c r="J10" s="144" t="str">
        <f t="shared" si="2"/>
        <v/>
      </c>
      <c r="K10" s="92">
        <f t="shared" si="3"/>
        <v>0</v>
      </c>
      <c r="L10" s="92" t="b">
        <f t="shared" si="4"/>
        <v>0</v>
      </c>
      <c r="M10" s="92" t="b">
        <f t="shared" si="5"/>
        <v>0</v>
      </c>
      <c r="N10" s="92" t="b">
        <f t="shared" si="6"/>
        <v>0</v>
      </c>
      <c r="O10" s="92" t="b">
        <f t="shared" si="7"/>
        <v>0</v>
      </c>
      <c r="P10" s="92" t="b">
        <f t="shared" si="8"/>
        <v>0</v>
      </c>
      <c r="Q10" s="92" t="b">
        <f t="shared" si="9"/>
        <v>0</v>
      </c>
      <c r="R10" s="92" t="b">
        <f t="shared" si="10"/>
        <v>0</v>
      </c>
      <c r="S10" s="93" t="str">
        <f t="shared" si="0"/>
        <v/>
      </c>
      <c r="T10" s="94" t="str">
        <f t="shared" si="1"/>
        <v/>
      </c>
      <c r="U10" s="95" t="e">
        <f t="shared" si="11"/>
        <v>#VALUE!</v>
      </c>
      <c r="V10" s="146"/>
      <c r="W10" s="290"/>
      <c r="X10" s="88"/>
    </row>
    <row r="11" spans="1:24" s="137" customFormat="1" ht="63">
      <c r="A11" s="136"/>
      <c r="B11" s="155" t="s">
        <v>43</v>
      </c>
      <c r="C11" s="322" t="s">
        <v>44</v>
      </c>
      <c r="D11" s="139"/>
      <c r="E11" s="170"/>
      <c r="F11" s="168"/>
      <c r="G11" s="394"/>
      <c r="H11" s="140"/>
      <c r="I11" s="172"/>
      <c r="J11" s="144" t="str">
        <f t="shared" si="2"/>
        <v/>
      </c>
      <c r="K11" s="92">
        <f t="shared" si="3"/>
        <v>0</v>
      </c>
      <c r="L11" s="92" t="b">
        <f t="shared" si="4"/>
        <v>0</v>
      </c>
      <c r="M11" s="92" t="b">
        <f t="shared" si="5"/>
        <v>0</v>
      </c>
      <c r="N11" s="92" t="b">
        <f t="shared" si="6"/>
        <v>0</v>
      </c>
      <c r="O11" s="92" t="b">
        <f t="shared" si="7"/>
        <v>0</v>
      </c>
      <c r="P11" s="92" t="b">
        <f t="shared" si="8"/>
        <v>0</v>
      </c>
      <c r="Q11" s="92" t="b">
        <f t="shared" si="9"/>
        <v>0</v>
      </c>
      <c r="R11" s="92" t="b">
        <f t="shared" si="10"/>
        <v>0</v>
      </c>
      <c r="S11" s="93" t="str">
        <f t="shared" si="0"/>
        <v/>
      </c>
      <c r="T11" s="94" t="str">
        <f t="shared" si="1"/>
        <v/>
      </c>
      <c r="U11" s="95" t="e">
        <f t="shared" si="11"/>
        <v>#VALUE!</v>
      </c>
      <c r="V11" s="146"/>
      <c r="W11" s="304"/>
      <c r="X11" s="299"/>
    </row>
    <row r="12" spans="1:24" s="138" customFormat="1" ht="42">
      <c r="A12" s="136"/>
      <c r="B12" s="154" t="s">
        <v>45</v>
      </c>
      <c r="C12" s="323" t="s">
        <v>46</v>
      </c>
      <c r="D12" s="139"/>
      <c r="E12" s="171"/>
      <c r="F12" s="167"/>
      <c r="G12" s="394"/>
      <c r="H12" s="140"/>
      <c r="I12" s="172"/>
      <c r="J12" s="147" t="str">
        <f t="shared" si="2"/>
        <v/>
      </c>
      <c r="K12" s="96">
        <f t="shared" si="3"/>
        <v>0</v>
      </c>
      <c r="L12" s="96" t="b">
        <f t="shared" si="4"/>
        <v>0</v>
      </c>
      <c r="M12" s="96" t="b">
        <f t="shared" si="5"/>
        <v>0</v>
      </c>
      <c r="N12" s="96" t="b">
        <f t="shared" si="6"/>
        <v>0</v>
      </c>
      <c r="O12" s="96" t="b">
        <f t="shared" si="7"/>
        <v>0</v>
      </c>
      <c r="P12" s="96" t="b">
        <f t="shared" si="8"/>
        <v>0</v>
      </c>
      <c r="Q12" s="96" t="b">
        <f t="shared" si="9"/>
        <v>0</v>
      </c>
      <c r="R12" s="96" t="b">
        <f t="shared" si="10"/>
        <v>0</v>
      </c>
      <c r="S12" s="97" t="str">
        <f t="shared" si="0"/>
        <v/>
      </c>
      <c r="T12" s="98" t="str">
        <f t="shared" si="1"/>
        <v/>
      </c>
      <c r="U12" s="99" t="e">
        <f t="shared" si="11"/>
        <v>#VALUE!</v>
      </c>
      <c r="V12" s="149"/>
      <c r="W12" s="305"/>
      <c r="X12" s="299"/>
    </row>
    <row r="13" spans="1:24" ht="42">
      <c r="B13" s="154" t="s">
        <v>47</v>
      </c>
      <c r="C13" s="323" t="s">
        <v>48</v>
      </c>
      <c r="D13" s="139"/>
      <c r="E13" s="171"/>
      <c r="F13" s="282"/>
      <c r="G13" s="394"/>
      <c r="H13" s="140"/>
      <c r="I13" s="172"/>
      <c r="J13" s="147" t="str">
        <f t="shared" ref="J13" si="12">S13</f>
        <v/>
      </c>
      <c r="K13" s="96">
        <f t="shared" ref="K13" si="13">E13*10+F13</f>
        <v>0</v>
      </c>
      <c r="L13" s="96" t="b">
        <f t="shared" ref="L13" si="14">OR(K13=31)</f>
        <v>0</v>
      </c>
      <c r="M13" s="96" t="b">
        <f t="shared" ref="M13" si="15">OR(K13=21,K13=32)</f>
        <v>0</v>
      </c>
      <c r="N13" s="96" t="b">
        <f t="shared" ref="N13" si="16">OR(K13=22,K13=33)</f>
        <v>0</v>
      </c>
      <c r="O13" s="96" t="b">
        <f t="shared" ref="O13" si="17">OR(K13=11,K13=12)</f>
        <v>0</v>
      </c>
      <c r="P13" s="96" t="b">
        <f t="shared" ref="P13" si="18">OR(K13=23,K13=34)</f>
        <v>0</v>
      </c>
      <c r="Q13" s="96" t="b">
        <f t="shared" ref="Q13" si="19">OR(K13=13,K13=14,K13=24)</f>
        <v>0</v>
      </c>
      <c r="R13" s="96" t="b">
        <f t="shared" ref="R13" si="20">OR(K13=1,K13=2,K13=3,K13=4)</f>
        <v>0</v>
      </c>
      <c r="S13" s="97" t="str">
        <f t="shared" ref="S13" si="21">IF(COUNTA(E13:F13)&lt;2,"",(IF(L13=TRUE,$L$5,IF(M13=TRUE,$M$5,IF(N13=TRUE,$N$5,IF(O13=TRUE,$O$5,IF(P13=TRUE,$P$5,IF(Q13=TRUE,$Q$5,IF(R13=TRUE,$R$5,0)))))))))</f>
        <v/>
      </c>
      <c r="T13" s="98" t="str">
        <f t="shared" ref="T13" si="22">IF(COUNTA(E13:F13)&lt;2,"",(IF(L13=TRUE,6,IF(M13=TRUE,5,IF(N13=TRUE,4,IF(O13=TRUE,3,IF(P13=TRUE,2,IF(Q13=TRUE,1,IF(R13=TRUE,0,0)))))))))</f>
        <v/>
      </c>
      <c r="U13" s="99" t="e">
        <f t="shared" ref="U13" si="23">T13*10+H13</f>
        <v>#VALUE!</v>
      </c>
      <c r="V13" s="149"/>
      <c r="W13" s="306"/>
      <c r="X13" s="299"/>
    </row>
  </sheetData>
  <mergeCells count="8">
    <mergeCell ref="B2:G2"/>
    <mergeCell ref="B6:W6"/>
    <mergeCell ref="B4:C5"/>
    <mergeCell ref="D4:E4"/>
    <mergeCell ref="F4:G4"/>
    <mergeCell ref="H4:I4"/>
    <mergeCell ref="B3:X3"/>
    <mergeCell ref="V4:X4"/>
  </mergeCells>
  <phoneticPr fontId="42" type="noConversion"/>
  <conditionalFormatting sqref="A4 G7 I7:I13">
    <cfRule type="expression" dxfId="406" priority="269">
      <formula>FIND("Agir",B4)</formula>
    </cfRule>
    <cfRule type="expression" dxfId="405" priority="270">
      <formula>FIND("Réagir",B4)</formula>
    </cfRule>
  </conditionalFormatting>
  <conditionalFormatting sqref="A4 I7:I13">
    <cfRule type="expression" dxfId="404" priority="268" stopIfTrue="1">
      <formula>ISTEXT(A4)</formula>
    </cfRule>
  </conditionalFormatting>
  <conditionalFormatting sqref="A4">
    <cfRule type="expression" dxfId="403" priority="267">
      <formula>FIND("Réagir",B4)</formula>
    </cfRule>
    <cfRule type="expression" dxfId="402" priority="266">
      <formula>FIND("Agir",B4)</formula>
    </cfRule>
    <cfRule type="expression" dxfId="401" priority="265" stopIfTrue="1">
      <formula>ISTEXT(A4)</formula>
    </cfRule>
    <cfRule type="expression" dxfId="400" priority="264">
      <formula>FIND("Réagir",B4)</formula>
    </cfRule>
    <cfRule type="expression" dxfId="399" priority="263">
      <formula>FIND("Agir",B4)</formula>
    </cfRule>
    <cfRule type="expression" dxfId="398" priority="262" stopIfTrue="1">
      <formula>ISTEXT(A4)</formula>
    </cfRule>
  </conditionalFormatting>
  <conditionalFormatting sqref="D7:D13">
    <cfRule type="expression" dxfId="397" priority="76">
      <formula>FIND("Conforter",F7)</formula>
    </cfRule>
    <cfRule type="expression" dxfId="396" priority="75" stopIfTrue="1">
      <formula>ISTEXT(D7)</formula>
    </cfRule>
    <cfRule type="expression" dxfId="395" priority="79" stopIfTrue="1">
      <formula>ISTEXT(D7)</formula>
    </cfRule>
    <cfRule type="expression" dxfId="394" priority="80">
      <formula>FIND("Agir",E7)</formula>
    </cfRule>
    <cfRule type="expression" dxfId="393" priority="81">
      <formula>FIND("Réagir",E7)</formula>
    </cfRule>
  </conditionalFormatting>
  <conditionalFormatting sqref="D8:D13 F7">
    <cfRule type="expression" dxfId="392" priority="77" stopIfTrue="1">
      <formula>ISTEXT(D7)</formula>
    </cfRule>
  </conditionalFormatting>
  <conditionalFormatting sqref="D9:D13">
    <cfRule type="expression" dxfId="391" priority="68">
      <formula>FIND("Conforter",F9)</formula>
    </cfRule>
    <cfRule type="expression" dxfId="390" priority="67" stopIfTrue="1">
      <formula>ISTEXT(D9)</formula>
    </cfRule>
  </conditionalFormatting>
  <conditionalFormatting sqref="D10">
    <cfRule type="expression" dxfId="389" priority="13" stopIfTrue="1">
      <formula>ISTEXT(D10)</formula>
    </cfRule>
    <cfRule type="expression" dxfId="388" priority="14">
      <formula>FIND("Conforter",F10)</formula>
    </cfRule>
  </conditionalFormatting>
  <conditionalFormatting sqref="F7 D8:D13">
    <cfRule type="expression" dxfId="387" priority="78">
      <formula>FIND("Conforter",F7)</formula>
    </cfRule>
  </conditionalFormatting>
  <conditionalFormatting sqref="F8:F13">
    <cfRule type="expression" dxfId="386" priority="119">
      <formula>FIND("Conforter",I8)</formula>
    </cfRule>
  </conditionalFormatting>
  <conditionalFormatting sqref="G7:H7 F8:H13">
    <cfRule type="expression" dxfId="385" priority="115" stopIfTrue="1">
      <formula>ISTEXT(F7)</formula>
    </cfRule>
  </conditionalFormatting>
  <conditionalFormatting sqref="G7:H13">
    <cfRule type="expression" dxfId="384" priority="114">
      <formula>FIND("Conforter",J7)</formula>
    </cfRule>
    <cfRule type="expression" dxfId="383" priority="113" stopIfTrue="1">
      <formula>ISTEXT(G7)</formula>
    </cfRule>
  </conditionalFormatting>
  <conditionalFormatting sqref="G9:H13">
    <cfRule type="expression" dxfId="382" priority="93">
      <formula>FIND("Conforter",J9)</formula>
    </cfRule>
  </conditionalFormatting>
  <conditionalFormatting sqref="G10:H10">
    <cfRule type="expression" dxfId="381" priority="16">
      <formula>FIND("Conforter",J10)</formula>
    </cfRule>
    <cfRule type="expression" dxfId="380" priority="15" stopIfTrue="1">
      <formula>ISTEXT(G10)</formula>
    </cfRule>
  </conditionalFormatting>
  <conditionalFormatting sqref="G9:I13">
    <cfRule type="expression" dxfId="379" priority="92" stopIfTrue="1">
      <formula>ISTEXT(G9)</formula>
    </cfRule>
  </conditionalFormatting>
  <conditionalFormatting sqref="H7 G8:H13">
    <cfRule type="expression" dxfId="378" priority="117">
      <formula>FIND("Réagir",I7)</formula>
    </cfRule>
    <cfRule type="expression" dxfId="377" priority="116">
      <formula>FIND("Agir",I7)</formula>
    </cfRule>
  </conditionalFormatting>
  <conditionalFormatting sqref="H7:H13">
    <cfRule type="expression" dxfId="376" priority="66">
      <formula>FIND("Réagir",J7)</formula>
    </cfRule>
    <cfRule type="expression" dxfId="375" priority="65">
      <formula>FIND("Agir",J7)</formula>
    </cfRule>
    <cfRule type="expression" dxfId="374" priority="64" stopIfTrue="1">
      <formula>ISTEXT(H7)</formula>
    </cfRule>
  </conditionalFormatting>
  <conditionalFormatting sqref="H7:I7 V7:W13 H8:J13">
    <cfRule type="containsText" dxfId="373" priority="120" stopIfTrue="1" operator="containsText" text="Première">
      <formula>NOT(ISERROR(SEARCH("Première",H7)))</formula>
    </cfRule>
  </conditionalFormatting>
  <conditionalFormatting sqref="H7:I7 V7:W13 H8:J13">
    <cfRule type="containsText" dxfId="372" priority="121" stopIfTrue="1" operator="containsText" text="Seconde">
      <formula>NOT(ISERROR(SEARCH("Seconde",H7)))</formula>
    </cfRule>
    <cfRule type="containsText" dxfId="371" priority="122" stopIfTrue="1" operator="containsText" text="Terme">
      <formula>NOT(ISERROR(SEARCH("Terme",H7)))</formula>
    </cfRule>
  </conditionalFormatting>
  <conditionalFormatting sqref="I7:I10">
    <cfRule type="expression" dxfId="370" priority="19">
      <formula>FIND("Réagir",J7)</formula>
    </cfRule>
    <cfRule type="expression" dxfId="369" priority="18">
      <formula>FIND("Agir",J7)</formula>
    </cfRule>
    <cfRule type="expression" dxfId="368" priority="17" stopIfTrue="1">
      <formula>ISTEXT(I7)</formula>
    </cfRule>
  </conditionalFormatting>
  <conditionalFormatting sqref="I9:I13">
    <cfRule type="expression" dxfId="367" priority="96">
      <formula>FIND("Réagir",J9)</formula>
    </cfRule>
    <cfRule type="expression" dxfId="366" priority="95">
      <formula>FIND("Agir",J9)</formula>
    </cfRule>
  </conditionalFormatting>
  <conditionalFormatting sqref="I12:I13">
    <cfRule type="expression" dxfId="365" priority="1">
      <formula>FIND("Conforter",L12)</formula>
    </cfRule>
    <cfRule type="expression" dxfId="364" priority="6">
      <formula>FIND("Réagir",K12)</formula>
    </cfRule>
    <cfRule type="expression" dxfId="363" priority="5">
      <formula>FIND("Agir",K12)</formula>
    </cfRule>
    <cfRule type="expression" dxfId="362" priority="4" stopIfTrue="1">
      <formula>ISTEXT(I12)</formula>
    </cfRule>
    <cfRule type="expression" dxfId="361" priority="3">
      <formula>FIND("Conforter",L12)</formula>
    </cfRule>
    <cfRule type="expression" dxfId="360" priority="2" stopIfTrue="1">
      <formula>ISTEXT(I12)</formula>
    </cfRule>
  </conditionalFormatting>
  <conditionalFormatting sqref="J7:J13">
    <cfRule type="containsText" dxfId="359" priority="88" stopIfTrue="1" operator="containsText" text="long">
      <formula>NOT(ISERROR(SEARCH("long",J7)))</formula>
    </cfRule>
    <cfRule type="containsText" dxfId="358" priority="87" stopIfTrue="1" operator="containsText" text="moyen">
      <formula>NOT(ISERROR(SEARCH("moyen",J7)))</formula>
    </cfRule>
    <cfRule type="containsText" dxfId="357" priority="86" stopIfTrue="1" operator="containsText" text="Urgent">
      <formula>NOT(ISERROR(SEARCH("Urgent",J7)))</formula>
    </cfRule>
    <cfRule type="containsText" dxfId="356" priority="85" stopIfTrue="1" operator="containsText" text="Non Prioritaire">
      <formula>NOT(ISERROR(SEARCH("Non Prioritaire",J7)))</formula>
    </cfRule>
    <cfRule type="containsText" dxfId="355" priority="84" stopIfTrue="1" operator="containsText" text="consolidation">
      <formula>NOT(ISERROR(SEARCH("consolidation",J7)))</formula>
    </cfRule>
    <cfRule type="containsText" dxfId="354" priority="82" operator="containsText" text="Intervention prioritaire">
      <formula>NOT(ISERROR(SEARCH("Intervention prioritaire",J7)))</formula>
    </cfRule>
    <cfRule type="containsText" dxfId="353" priority="83" stopIfTrue="1" operator="containsText" text="Non pertinent">
      <formula>NOT(ISERROR(SEARCH("Non pertinent",J7)))</formula>
    </cfRule>
  </conditionalFormatting>
  <conditionalFormatting sqref="J8:J13">
    <cfRule type="containsText" dxfId="352" priority="112" stopIfTrue="1" operator="containsText" text="Non">
      <formula>NOT(ISERROR(SEARCH("Non",J8)))</formula>
    </cfRule>
  </conditionalFormatting>
  <conditionalFormatting sqref="V4:V5 J5">
    <cfRule type="containsText" dxfId="351" priority="259" stopIfTrue="1" operator="containsText" text="Première">
      <formula>NOT(ISERROR(SEARCH("Première",J4)))</formula>
    </cfRule>
    <cfRule type="containsText" dxfId="350" priority="260" stopIfTrue="1" operator="containsText" text="Seconde">
      <formula>NOT(ISERROR(SEARCH("Seconde",J4)))</formula>
    </cfRule>
    <cfRule type="containsText" dxfId="349" priority="261" stopIfTrue="1" operator="containsText" text="Terme">
      <formula>NOT(ISERROR(SEARCH("Terme",J4)))</formula>
    </cfRule>
  </conditionalFormatting>
  <conditionalFormatting sqref="V7:W13">
    <cfRule type="expression" dxfId="348" priority="25">
      <formula>FIND("Réagir",#REF!)</formula>
    </cfRule>
    <cfRule type="expression" dxfId="347" priority="24">
      <formula>FIND("Agir",#REF!)</formula>
    </cfRule>
    <cfRule type="expression" dxfId="346" priority="23" stopIfTrue="1">
      <formula>ISTEXT(V7)</formula>
    </cfRule>
  </conditionalFormatting>
  <conditionalFormatting sqref="W5:X5">
    <cfRule type="containsText" dxfId="345" priority="9" stopIfTrue="1" operator="containsText" text="Terme">
      <formula>NOT(ISERROR(SEARCH("Terme",W5)))</formula>
    </cfRule>
    <cfRule type="containsText" dxfId="344" priority="8" stopIfTrue="1" operator="containsText" text="Seconde">
      <formula>NOT(ISERROR(SEARCH("Seconde",W5)))</formula>
    </cfRule>
    <cfRule type="containsText" dxfId="343" priority="7" stopIfTrue="1" operator="containsText" text="Première">
      <formula>NOT(ISERROR(SEARCH("Première",W5)))</formula>
    </cfRule>
  </conditionalFormatting>
  <dataValidations count="3">
    <dataValidation type="list" allowBlank="1" showInputMessage="1" showErrorMessage="1" errorTitle="Valeur invalide" error="La valeur doit être contenue entre 1 et 4" promptTitle="Performance actuelle" prompt="Valeur comprise entre 1 et 4_x000a_Cette cible est :_x000a_1 - Pas du tout atteinte_x000a_2 - En partie atteinte_x000a_3 - En voie d'être atteinte_x000a_4 - Atteinte" sqref="F7:F13" xr:uid="{762842EB-0F03-4937-87D1-1AAFC2B5391C}">
      <formula1>$M$1:$P$1</formula1>
    </dataValidation>
    <dataValidation type="list" allowBlank="1" showInputMessage="1" showErrorMessage="1" errorTitle="Valeur invalide" error="Les valeurs permises pour l'importance sont 0, 1, 2 ou 3" promptTitle="Importance de la cible" prompt="Valeur comprise entre 0 et 3_x000a_L'atteinte de cette cible est :_x000a_0 - Non applicable_x000a_1 - Peu important_x000a_2 - Important_x000a_3 - Très important" sqref="E7:E13" xr:uid="{E2CB4F99-AC63-4DD0-9426-57C9A27EBE7B}">
      <formula1>$L$1:$O$1</formula1>
    </dataValidation>
    <dataValidation type="list" allowBlank="1" showInputMessage="1" showErrorMessage="1" errorTitle="Valeur invalide" error="La valeur doit être contenue entre 1 et 4" promptTitle="Compétences" prompt="Valeur comprise entre 1 et 4_x000a_Les compétences pour cette cible sont : _x000a_1 - Equipe NR / RSE_x000a_2 - NR + implication DSI_x000a_3 - NR + équipe hors DSI _x000a_3 - Intervention extérieure" sqref="H7:H13" xr:uid="{C589538E-36C5-F649-8C27-182B661180B1}">
      <formula1>$M$1:$O$1</formula1>
    </dataValidation>
  </dataValidations>
  <pageMargins left="0.7" right="0.7" top="0.75" bottom="0.75" header="0.3" footer="0.3"/>
  <pageSetup scale="38" fitToHeight="0" orientation="landscape"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5">
    <tabColor theme="9"/>
  </sheetPr>
  <dimension ref="A1:X11"/>
  <sheetViews>
    <sheetView zoomScaleNormal="100" workbookViewId="0">
      <selection activeCell="G7" sqref="G7:G10"/>
    </sheetView>
  </sheetViews>
  <sheetFormatPr baseColWidth="10" defaultColWidth="10.6640625" defaultRowHeight="12"/>
  <cols>
    <col min="1" max="1" width="1.5" style="51" customWidth="1"/>
    <col min="2" max="2" width="4.5" style="54" customWidth="1"/>
    <col min="3" max="3" width="83" style="55" customWidth="1"/>
    <col min="4" max="4" width="85.6640625" style="56" customWidth="1"/>
    <col min="5" max="5" width="9.83203125" style="51" customWidth="1"/>
    <col min="6" max="6" width="9.83203125" style="57" customWidth="1"/>
    <col min="7" max="7" width="46" style="56" customWidth="1"/>
    <col min="8" max="8" width="8.83203125" style="56" customWidth="1"/>
    <col min="9" max="9" width="65.5" style="56" customWidth="1"/>
    <col min="10" max="10" width="20.6640625" style="56" customWidth="1"/>
    <col min="11" max="21" width="5.6640625" style="51" hidden="1" customWidth="1"/>
    <col min="22" max="22" width="52.33203125" style="56" customWidth="1"/>
    <col min="23" max="23" width="42.6640625" style="56" hidden="1" customWidth="1"/>
    <col min="24" max="24" width="42.6640625" style="51" hidden="1" customWidth="1"/>
    <col min="25" max="16384" width="10.6640625" style="51"/>
  </cols>
  <sheetData>
    <row r="1" spans="1:24" s="46" customFormat="1" ht="13" thickBot="1">
      <c r="B1" s="47"/>
      <c r="C1" s="48"/>
      <c r="D1" s="49"/>
      <c r="F1" s="50"/>
      <c r="G1" s="49"/>
      <c r="H1" s="49"/>
      <c r="I1" s="49"/>
      <c r="J1" s="49"/>
      <c r="L1" s="46">
        <v>0</v>
      </c>
      <c r="M1" s="46">
        <v>1</v>
      </c>
      <c r="N1" s="46">
        <v>2</v>
      </c>
      <c r="O1" s="46">
        <v>3</v>
      </c>
      <c r="P1" s="46">
        <v>4</v>
      </c>
      <c r="Q1" s="46">
        <v>5</v>
      </c>
      <c r="V1" s="49"/>
      <c r="W1" s="49"/>
    </row>
    <row r="2" spans="1:24" s="46" customFormat="1" ht="26" thickBot="1">
      <c r="B2" s="324" t="s">
        <v>49</v>
      </c>
      <c r="C2" s="325"/>
      <c r="D2" s="325"/>
      <c r="E2" s="325"/>
      <c r="F2" s="325"/>
      <c r="G2" s="326"/>
      <c r="H2" s="49"/>
      <c r="I2" s="49"/>
      <c r="J2" s="49"/>
      <c r="V2" s="49"/>
      <c r="W2" s="49"/>
    </row>
    <row r="3" spans="1:24" s="46" customFormat="1" ht="17" thickBot="1">
      <c r="B3" s="349"/>
      <c r="C3" s="350"/>
      <c r="D3" s="350"/>
      <c r="E3" s="350"/>
      <c r="F3" s="350"/>
      <c r="G3" s="350"/>
      <c r="H3" s="350"/>
      <c r="I3" s="350"/>
      <c r="J3" s="350"/>
      <c r="K3" s="350"/>
      <c r="L3" s="350"/>
      <c r="M3" s="350"/>
      <c r="N3" s="350"/>
      <c r="O3" s="350"/>
      <c r="P3" s="350"/>
      <c r="Q3" s="350"/>
      <c r="R3" s="350"/>
      <c r="S3" s="350"/>
      <c r="T3" s="350"/>
      <c r="U3" s="350"/>
      <c r="V3" s="350"/>
      <c r="W3" s="350"/>
      <c r="X3" s="350"/>
    </row>
    <row r="4" spans="1:24" ht="19">
      <c r="A4" s="46"/>
      <c r="B4" s="336"/>
      <c r="C4" s="337"/>
      <c r="D4" s="340" t="s">
        <v>11</v>
      </c>
      <c r="E4" s="341"/>
      <c r="F4" s="342" t="s">
        <v>12</v>
      </c>
      <c r="G4" s="343"/>
      <c r="H4" s="344" t="s">
        <v>13</v>
      </c>
      <c r="I4" s="345"/>
      <c r="J4" s="79" t="s">
        <v>14</v>
      </c>
      <c r="K4" s="80"/>
      <c r="L4" s="80"/>
      <c r="M4" s="80"/>
      <c r="N4" s="80"/>
      <c r="O4" s="80"/>
      <c r="P4" s="80"/>
      <c r="Q4" s="80"/>
      <c r="R4" s="80"/>
      <c r="S4" s="80"/>
      <c r="T4" s="80"/>
      <c r="U4" s="80"/>
      <c r="V4" s="351" t="s">
        <v>15</v>
      </c>
      <c r="W4" s="352"/>
      <c r="X4" s="352"/>
    </row>
    <row r="5" spans="1:24" s="53" customFormat="1" ht="216" thickBot="1">
      <c r="A5" s="52"/>
      <c r="B5" s="338"/>
      <c r="C5" s="339"/>
      <c r="D5" s="158" t="s">
        <v>16</v>
      </c>
      <c r="E5" s="159" t="s">
        <v>17</v>
      </c>
      <c r="F5" s="164" t="s">
        <v>18</v>
      </c>
      <c r="G5" s="165" t="s">
        <v>19</v>
      </c>
      <c r="H5" s="156" t="s">
        <v>133</v>
      </c>
      <c r="I5" s="157" t="s">
        <v>20</v>
      </c>
      <c r="J5" s="83" t="s">
        <v>21</v>
      </c>
      <c r="K5" s="84" t="s">
        <v>22</v>
      </c>
      <c r="L5" s="173" t="s">
        <v>23</v>
      </c>
      <c r="M5" s="174" t="s">
        <v>24</v>
      </c>
      <c r="N5" s="175" t="s">
        <v>25</v>
      </c>
      <c r="O5" s="176" t="s">
        <v>26</v>
      </c>
      <c r="P5" s="177" t="s">
        <v>27</v>
      </c>
      <c r="Q5" s="178" t="s">
        <v>28</v>
      </c>
      <c r="R5" s="179" t="s">
        <v>29</v>
      </c>
      <c r="S5" s="85" t="s">
        <v>30</v>
      </c>
      <c r="T5" s="85" t="s">
        <v>31</v>
      </c>
      <c r="U5" s="85" t="s">
        <v>32</v>
      </c>
      <c r="V5" s="291" t="s">
        <v>33</v>
      </c>
      <c r="W5" s="291" t="s">
        <v>131</v>
      </c>
      <c r="X5" s="291"/>
    </row>
    <row r="6" spans="1:24" s="60" customFormat="1" ht="19" customHeight="1" thickBot="1">
      <c r="A6" s="59"/>
      <c r="B6" s="309" t="s">
        <v>35</v>
      </c>
      <c r="C6" s="310"/>
      <c r="D6" s="311"/>
      <c r="E6" s="311"/>
      <c r="F6" s="311"/>
      <c r="G6" s="311"/>
      <c r="H6" s="311"/>
      <c r="I6" s="311"/>
      <c r="J6" s="311"/>
      <c r="K6" s="311"/>
      <c r="L6" s="311"/>
      <c r="M6" s="311"/>
      <c r="N6" s="311"/>
      <c r="O6" s="311"/>
      <c r="P6" s="311"/>
      <c r="Q6" s="311"/>
      <c r="R6" s="311"/>
      <c r="S6" s="311"/>
      <c r="T6" s="311"/>
      <c r="U6" s="311"/>
      <c r="V6" s="312"/>
      <c r="W6" s="313"/>
      <c r="X6" s="314"/>
    </row>
    <row r="7" spans="1:24" s="137" customFormat="1" ht="42">
      <c r="A7" s="136"/>
      <c r="B7" s="180" t="s">
        <v>50</v>
      </c>
      <c r="C7" s="318" t="s">
        <v>51</v>
      </c>
      <c r="D7" s="139"/>
      <c r="E7" s="169"/>
      <c r="F7" s="166"/>
      <c r="G7" s="393"/>
      <c r="H7" s="140"/>
      <c r="I7" s="141"/>
      <c r="J7" s="110" t="str">
        <f t="shared" ref="J7:J9" si="0">S7</f>
        <v/>
      </c>
      <c r="K7" s="104">
        <f>E7*10+F7</f>
        <v>0</v>
      </c>
      <c r="L7" s="104" t="b">
        <f>OR(K7=31)</f>
        <v>0</v>
      </c>
      <c r="M7" s="104" t="b">
        <f>OR(K7=21,K7=32)</f>
        <v>0</v>
      </c>
      <c r="N7" s="104" t="b">
        <f>OR(K7=22,K7=33)</f>
        <v>0</v>
      </c>
      <c r="O7" s="104" t="b">
        <f>OR(K7=11,K7=12)</f>
        <v>0</v>
      </c>
      <c r="P7" s="104" t="b">
        <f>OR(K7=23,K7=34)</f>
        <v>0</v>
      </c>
      <c r="Q7" s="104" t="b">
        <f>OR(K7=13,K7=14,K7=24)</f>
        <v>0</v>
      </c>
      <c r="R7" s="104" t="b">
        <f>OR(K7=1,K7=2,K7=3,K7=4)</f>
        <v>0</v>
      </c>
      <c r="S7" s="105" t="str">
        <f>IF(COUNTA(E7:F7)&lt;2,"",(IF(L7=TRUE,$L$5,IF(M7=TRUE,$M$5,IF(N7=TRUE,$N$5,IF(O7=TRUE,$O$5,IF(P7=TRUE,$P$5,IF(Q7=TRUE,$Q$5,IF(R7=TRUE,$R$5,0)))))))))</f>
        <v/>
      </c>
      <c r="T7" s="106" t="str">
        <f>IF(COUNTA(E7:F7)&lt;2,"",(IF(L7=TRUE,6,IF(M7=TRUE,5,IF(N7=TRUE,4,IF(O7=TRUE,3,IF(P7=TRUE,2,IF(Q7=TRUE,1,IF(R7=TRUE,0,0)))))))))</f>
        <v/>
      </c>
      <c r="U7" s="104" t="e">
        <f>T7*10+H7</f>
        <v>#VALUE!</v>
      </c>
      <c r="V7" s="150"/>
      <c r="W7" s="308"/>
      <c r="X7" s="298"/>
    </row>
    <row r="8" spans="1:24" s="137" customFormat="1" ht="63">
      <c r="A8" s="136"/>
      <c r="B8" s="180" t="s">
        <v>52</v>
      </c>
      <c r="C8" s="318" t="s">
        <v>53</v>
      </c>
      <c r="D8" s="139"/>
      <c r="E8" s="169"/>
      <c r="F8" s="166"/>
      <c r="G8" s="393"/>
      <c r="H8" s="140"/>
      <c r="I8" s="141"/>
      <c r="J8" s="280" t="str">
        <f t="shared" si="0"/>
        <v/>
      </c>
      <c r="K8" s="104">
        <f>E8*10+F8</f>
        <v>0</v>
      </c>
      <c r="L8" s="104" t="b">
        <f>OR(K8=31)</f>
        <v>0</v>
      </c>
      <c r="M8" s="104" t="b">
        <f>OR(K8=21,K8=32)</f>
        <v>0</v>
      </c>
      <c r="N8" s="104" t="b">
        <f>OR(K8=22,K8=33)</f>
        <v>0</v>
      </c>
      <c r="O8" s="104" t="b">
        <f>OR(K8=11,K8=12)</f>
        <v>0</v>
      </c>
      <c r="P8" s="104" t="b">
        <f>OR(K8=23,K8=34)</f>
        <v>0</v>
      </c>
      <c r="Q8" s="104" t="b">
        <f>OR(K8=13,K8=14,K8=24)</f>
        <v>0</v>
      </c>
      <c r="R8" s="104" t="b">
        <f>OR(K8=1,K8=2,K8=3,K8=4)</f>
        <v>0</v>
      </c>
      <c r="S8" s="105" t="str">
        <f>IF(COUNTA(E8:F8)&lt;2,"",(IF(L8=TRUE,$L$5,IF(M8=TRUE,$M$5,IF(N8=TRUE,$N$5,IF(O8=TRUE,$O$5,IF(P8=TRUE,$P$5,IF(Q8=TRUE,$Q$5,IF(R8=TRUE,$R$5,0)))))))))</f>
        <v/>
      </c>
      <c r="T8" s="106" t="str">
        <f>IF(COUNTA(E8:F8)&lt;2,"",(IF(L8=TRUE,6,IF(M8=TRUE,5,IF(N8=TRUE,4,IF(O8=TRUE,3,IF(P8=TRUE,2,IF(Q8=TRUE,1,IF(R8=TRUE,0,0)))))))))</f>
        <v/>
      </c>
      <c r="U8" s="104" t="e">
        <f>T8*10+H8</f>
        <v>#VALUE!</v>
      </c>
      <c r="V8" s="150"/>
      <c r="W8" s="294"/>
      <c r="X8" s="293"/>
    </row>
    <row r="9" spans="1:24" s="137" customFormat="1" ht="63">
      <c r="A9" s="136"/>
      <c r="B9" s="180" t="s">
        <v>54</v>
      </c>
      <c r="C9" s="318" t="s">
        <v>55</v>
      </c>
      <c r="D9" s="139"/>
      <c r="E9" s="169"/>
      <c r="F9" s="166"/>
      <c r="G9" s="393"/>
      <c r="H9" s="140"/>
      <c r="I9" s="141"/>
      <c r="J9" s="110" t="str">
        <f t="shared" si="0"/>
        <v/>
      </c>
      <c r="K9" s="104">
        <f>E9*10+F9</f>
        <v>0</v>
      </c>
      <c r="L9" s="104" t="b">
        <f>OR(K9=31)</f>
        <v>0</v>
      </c>
      <c r="M9" s="104" t="b">
        <f>OR(K9=21,K9=32)</f>
        <v>0</v>
      </c>
      <c r="N9" s="104" t="b">
        <f>OR(K9=22,K9=33)</f>
        <v>0</v>
      </c>
      <c r="O9" s="104" t="b">
        <f>OR(K9=11,K9=12)</f>
        <v>0</v>
      </c>
      <c r="P9" s="104" t="b">
        <f>OR(K9=23,K9=34)</f>
        <v>0</v>
      </c>
      <c r="Q9" s="104" t="b">
        <f>OR(K9=13,K9=14,K9=24)</f>
        <v>0</v>
      </c>
      <c r="R9" s="104" t="b">
        <f>OR(K9=1,K9=2,K9=3,K9=4)</f>
        <v>0</v>
      </c>
      <c r="S9" s="105" t="str">
        <f>IF(COUNTA(E9:F9)&lt;2,"",(IF(L9=TRUE,$L$5,IF(M9=TRUE,$M$5,IF(N9=TRUE,$N$5,IF(O9=TRUE,$O$5,IF(P9=TRUE,$P$5,IF(Q9=TRUE,$Q$5,IF(R9=TRUE,$R$5,0)))))))))</f>
        <v/>
      </c>
      <c r="T9" s="106" t="str">
        <f>IF(COUNTA(E9:F9)&lt;2,"",(IF(L9=TRUE,6,IF(M9=TRUE,5,IF(N9=TRUE,4,IF(O9=TRUE,3,IF(P9=TRUE,2,IF(Q9=TRUE,1,IF(R9=TRUE,0,0)))))))))</f>
        <v/>
      </c>
      <c r="U9" s="104" t="e">
        <f>T9*10+H9</f>
        <v>#VALUE!</v>
      </c>
      <c r="V9" s="150"/>
      <c r="W9" s="307"/>
      <c r="X9" s="299"/>
    </row>
    <row r="10" spans="1:24" s="137" customFormat="1" ht="63">
      <c r="A10" s="136"/>
      <c r="B10" s="180" t="s">
        <v>56</v>
      </c>
      <c r="C10" s="318" t="s">
        <v>57</v>
      </c>
      <c r="D10" s="139"/>
      <c r="E10" s="169"/>
      <c r="F10" s="166"/>
      <c r="G10" s="393"/>
      <c r="H10" s="140"/>
      <c r="I10" s="141"/>
      <c r="J10" s="110"/>
      <c r="K10" s="88">
        <f>E10*10+F10</f>
        <v>0</v>
      </c>
      <c r="L10" s="88" t="b">
        <f>OR(K10=31)</f>
        <v>0</v>
      </c>
      <c r="M10" s="88" t="b">
        <f>OR(K10=21,K10=32)</f>
        <v>0</v>
      </c>
      <c r="N10" s="88" t="b">
        <f>OR(K10=22,K10=33)</f>
        <v>0</v>
      </c>
      <c r="O10" s="88" t="b">
        <f>OR(K10=11,K10=12)</f>
        <v>0</v>
      </c>
      <c r="P10" s="88" t="b">
        <f>OR(K10=23,K10=34)</f>
        <v>0</v>
      </c>
      <c r="Q10" s="88" t="b">
        <f>OR(K10=13,K10=14,K10=24)</f>
        <v>0</v>
      </c>
      <c r="R10" s="88" t="b">
        <f>OR(K10=1,K10=2,K10=3,K10=4)</f>
        <v>0</v>
      </c>
      <c r="S10" s="89" t="str">
        <f>IF(COUNTA(E10:F10)&lt;2,"",(IF(L10=TRUE,$L$5,IF(M10=TRUE,$M$5,IF(N10=TRUE,$N$5,IF(O10=TRUE,$O$5,IF(P10=TRUE,$P$5,IF(Q10=TRUE,$Q$5,IF(R10=TRUE,$R$5,0)))))))))</f>
        <v/>
      </c>
      <c r="T10" s="90" t="str">
        <f>IF(COUNTA(E10:F10)&lt;2,"",(IF(L10=TRUE,6,IF(M10=TRUE,5,IF(N10=TRUE,4,IF(O10=TRUE,3,IF(P10=TRUE,2,IF(Q10=TRUE,1,IF(R10=TRUE,0,0)))))))))</f>
        <v/>
      </c>
      <c r="U10" s="91" t="e">
        <f>T10*10+H10</f>
        <v>#VALUE!</v>
      </c>
      <c r="V10" s="150"/>
      <c r="W10" s="294"/>
      <c r="X10" s="293"/>
    </row>
    <row r="11" spans="1:24">
      <c r="V11" s="78"/>
    </row>
  </sheetData>
  <mergeCells count="7">
    <mergeCell ref="V4:X4"/>
    <mergeCell ref="B3:X3"/>
    <mergeCell ref="B2:G2"/>
    <mergeCell ref="B4:C5"/>
    <mergeCell ref="D4:E4"/>
    <mergeCell ref="F4:G4"/>
    <mergeCell ref="H4:I4"/>
  </mergeCells>
  <conditionalFormatting sqref="A4">
    <cfRule type="expression" dxfId="342" priority="497">
      <formula>FIND("Réagir",B4)</formula>
    </cfRule>
    <cfRule type="expression" dxfId="341" priority="496">
      <formula>FIND("Agir",B4)</formula>
    </cfRule>
    <cfRule type="expression" dxfId="340" priority="495" stopIfTrue="1">
      <formula>ISTEXT(A4)</formula>
    </cfRule>
    <cfRule type="expression" dxfId="339" priority="494">
      <formula>FIND("Réagir",B4)</formula>
    </cfRule>
    <cfRule type="expression" dxfId="338" priority="493">
      <formula>FIND("Agir",B4)</formula>
    </cfRule>
    <cfRule type="expression" dxfId="337" priority="492" stopIfTrue="1">
      <formula>ISTEXT(A4)</formula>
    </cfRule>
    <cfRule type="expression" dxfId="336" priority="491">
      <formula>FIND("Réagir",B4)</formula>
    </cfRule>
    <cfRule type="expression" dxfId="335" priority="490">
      <formula>FIND("Agir",B4)</formula>
    </cfRule>
    <cfRule type="expression" dxfId="334" priority="489" stopIfTrue="1">
      <formula>ISTEXT(A4)</formula>
    </cfRule>
  </conditionalFormatting>
  <conditionalFormatting sqref="D7:D10 I7:I10">
    <cfRule type="expression" dxfId="333" priority="79">
      <formula>FIND("Réagir",E7)</formula>
    </cfRule>
    <cfRule type="expression" dxfId="332" priority="78">
      <formula>FIND("Agir",E7)</formula>
    </cfRule>
  </conditionalFormatting>
  <conditionalFormatting sqref="D7:D10">
    <cfRule type="expression" dxfId="331" priority="50" stopIfTrue="1">
      <formula>ISTEXT(D7)</formula>
    </cfRule>
    <cfRule type="expression" dxfId="330" priority="51">
      <formula>FIND("Conforter",F7)</formula>
    </cfRule>
    <cfRule type="expression" dxfId="329" priority="56" stopIfTrue="1">
      <formula>ISTEXT(D7)</formula>
    </cfRule>
    <cfRule type="expression" dxfId="328" priority="57">
      <formula>FIND("Conforter",F7)</formula>
    </cfRule>
  </conditionalFormatting>
  <conditionalFormatting sqref="F7:H10">
    <cfRule type="expression" dxfId="327" priority="73">
      <formula>FIND("Conforter",I7)</formula>
    </cfRule>
  </conditionalFormatting>
  <conditionalFormatting sqref="G9:H9">
    <cfRule type="expression" dxfId="326" priority="67">
      <formula>FIND("Conforter",J9)</formula>
    </cfRule>
    <cfRule type="expression" dxfId="325" priority="66" stopIfTrue="1">
      <formula>ISTEXT(G9)</formula>
    </cfRule>
  </conditionalFormatting>
  <conditionalFormatting sqref="F7:H10">
    <cfRule type="expression" dxfId="324" priority="72" stopIfTrue="1">
      <formula>ISTEXT(F7)</formula>
    </cfRule>
  </conditionalFormatting>
  <conditionalFormatting sqref="G7:H10">
    <cfRule type="expression" dxfId="323" priority="64" stopIfTrue="1">
      <formula>ISTEXT(G7)</formula>
    </cfRule>
    <cfRule type="expression" dxfId="322" priority="65">
      <formula>FIND("Conforter",J7)</formula>
    </cfRule>
    <cfRule type="expression" dxfId="321" priority="70">
      <formula>FIND("Agir",I7)</formula>
    </cfRule>
    <cfRule type="expression" dxfId="320" priority="71">
      <formula>FIND("Réagir",I7)</formula>
    </cfRule>
  </conditionalFormatting>
  <conditionalFormatting sqref="H7:H10 G8:H10">
    <cfRule type="expression" dxfId="319" priority="69" stopIfTrue="1">
      <formula>ISTEXT(G7)</formula>
    </cfRule>
  </conditionalFormatting>
  <conditionalFormatting sqref="H7:H10">
    <cfRule type="expression" dxfId="318" priority="45" stopIfTrue="1">
      <formula>ISTEXT(H7)</formula>
    </cfRule>
    <cfRule type="expression" dxfId="317" priority="46">
      <formula>FIND("Conforter",J7)</formula>
    </cfRule>
  </conditionalFormatting>
  <conditionalFormatting sqref="I7:I10 D7:D10">
    <cfRule type="expression" dxfId="316" priority="77" stopIfTrue="1">
      <formula>ISTEXT(D7)</formula>
    </cfRule>
  </conditionalFormatting>
  <conditionalFormatting sqref="I7:J10">
    <cfRule type="containsText" dxfId="315" priority="76" stopIfTrue="1" operator="containsText" text="Terme">
      <formula>NOT(ISERROR(SEARCH("Terme",I7)))</formula>
    </cfRule>
    <cfRule type="containsText" dxfId="314" priority="75" stopIfTrue="1" operator="containsText" text="Seconde">
      <formula>NOT(ISERROR(SEARCH("Seconde",I7)))</formula>
    </cfRule>
    <cfRule type="containsText" dxfId="313" priority="74" stopIfTrue="1" operator="containsText" text="Première">
      <formula>NOT(ISERROR(SEARCH("Première",I7)))</formula>
    </cfRule>
  </conditionalFormatting>
  <conditionalFormatting sqref="J7:J10">
    <cfRule type="containsText" dxfId="312" priority="59" stopIfTrue="1" operator="containsText" text="consolidation">
      <formula>NOT(ISERROR(SEARCH("consolidation",J7)))</formula>
    </cfRule>
    <cfRule type="containsText" dxfId="311" priority="68" stopIfTrue="1" operator="containsText" text="Non">
      <formula>NOT(ISERROR(SEARCH("Non",J7)))</formula>
    </cfRule>
    <cfRule type="containsText" dxfId="310" priority="58" stopIfTrue="1" operator="containsText" text="Non pertinent">
      <formula>NOT(ISERROR(SEARCH("Non pertinent",J7)))</formula>
    </cfRule>
    <cfRule type="containsText" dxfId="309" priority="63" stopIfTrue="1" operator="containsText" text="long">
      <formula>NOT(ISERROR(SEARCH("long",J7)))</formula>
    </cfRule>
    <cfRule type="containsText" dxfId="308" priority="62" stopIfTrue="1" operator="containsText" text="moyen">
      <formula>NOT(ISERROR(SEARCH("moyen",J7)))</formula>
    </cfRule>
    <cfRule type="containsText" dxfId="307" priority="61" stopIfTrue="1" operator="containsText" text="Urgent">
      <formula>NOT(ISERROR(SEARCH("Urgent",J7)))</formula>
    </cfRule>
    <cfRule type="containsText" dxfId="306" priority="60" stopIfTrue="1" operator="containsText" text="Non Prioritaire">
      <formula>NOT(ISERROR(SEARCH("Non Prioritaire",J7)))</formula>
    </cfRule>
    <cfRule type="containsText" dxfId="305" priority="23" operator="containsText" text="Intervention prioritaire">
      <formula>NOT(ISERROR(SEARCH("Intervention prioritaire",J7)))</formula>
    </cfRule>
  </conditionalFormatting>
  <conditionalFormatting sqref="V4:V5 J5">
    <cfRule type="containsText" dxfId="304" priority="95" stopIfTrue="1" operator="containsText" text="Première">
      <formula>NOT(ISERROR(SEARCH("Première",J4)))</formula>
    </cfRule>
    <cfRule type="containsText" dxfId="303" priority="96" stopIfTrue="1" operator="containsText" text="Seconde">
      <formula>NOT(ISERROR(SEARCH("Seconde",J4)))</formula>
    </cfRule>
    <cfRule type="containsText" dxfId="302" priority="97" stopIfTrue="1" operator="containsText" text="Terme">
      <formula>NOT(ISERROR(SEARCH("Terme",J4)))</formula>
    </cfRule>
  </conditionalFormatting>
  <conditionalFormatting sqref="V7:W10">
    <cfRule type="containsText" dxfId="301" priority="22" stopIfTrue="1" operator="containsText" text="Terme">
      <formula>NOT(ISERROR(SEARCH("Terme",V7)))</formula>
    </cfRule>
    <cfRule type="containsText" dxfId="300" priority="21" stopIfTrue="1" operator="containsText" text="Seconde">
      <formula>NOT(ISERROR(SEARCH("Seconde",V7)))</formula>
    </cfRule>
    <cfRule type="containsText" dxfId="299" priority="20" stopIfTrue="1" operator="containsText" text="Première">
      <formula>NOT(ISERROR(SEARCH("Première",V7)))</formula>
    </cfRule>
    <cfRule type="expression" dxfId="298" priority="19">
      <formula>FIND("Réagir",#REF!)</formula>
    </cfRule>
    <cfRule type="expression" dxfId="297" priority="18">
      <formula>FIND("Agir",#REF!)</formula>
    </cfRule>
    <cfRule type="expression" dxfId="296" priority="17" stopIfTrue="1">
      <formula>ISTEXT(V7)</formula>
    </cfRule>
  </conditionalFormatting>
  <conditionalFormatting sqref="W5:X5">
    <cfRule type="containsText" dxfId="295" priority="4" stopIfTrue="1" operator="containsText" text="Terme">
      <formula>NOT(ISERROR(SEARCH("Terme",W5)))</formula>
    </cfRule>
    <cfRule type="containsText" dxfId="294" priority="3" stopIfTrue="1" operator="containsText" text="Seconde">
      <formula>NOT(ISERROR(SEARCH("Seconde",W5)))</formula>
    </cfRule>
    <cfRule type="containsText" dxfId="293" priority="2" stopIfTrue="1" operator="containsText" text="Première">
      <formula>NOT(ISERROR(SEARCH("Première",W5)))</formula>
    </cfRule>
  </conditionalFormatting>
  <conditionalFormatting sqref="G7">
    <cfRule type="expression" dxfId="0" priority="1" stopIfTrue="1">
      <formula>ISTEXT(G7)</formula>
    </cfRule>
  </conditionalFormatting>
  <dataValidations count="3">
    <dataValidation type="list" allowBlank="1" showInputMessage="1" showErrorMessage="1" errorTitle="Valeur invalide" error="Les valeurs permises pour l'importance sont 0, 1, 2 ou 3" promptTitle="Importance de la cible" prompt="Valeur comprise entre 0 et 3_x000a_L'atteinte de cette cible est :_x000a_0 - Non applicable_x000a_1 - Peu important_x000a_2 - Important_x000a_3 - Très important" sqref="E7:E10" xr:uid="{A0964DBD-7852-4917-A775-9DF88395F596}">
      <formula1>$L$1:$O$1</formula1>
    </dataValidation>
    <dataValidation type="list" allowBlank="1" showInputMessage="1" showErrorMessage="1" errorTitle="Valeur invalide" error="La valeur doit être contenue entre 1 et 4" promptTitle="Performance actuelle" prompt="Valeur comprise entre 1 et 4_x000a_Cette cible est :_x000a_1 - Pas du tout atteinte_x000a_2 - En partie atteinte_x000a_3 - En voie d'être atteinte_x000a_4 - Atteinte" sqref="F7:F10" xr:uid="{B412C5EB-C982-4DD4-BF6A-C8C1B82A5ABD}">
      <formula1>$M$1:$P$1</formula1>
    </dataValidation>
    <dataValidation type="list" allowBlank="1" showInputMessage="1" showErrorMessage="1" errorTitle="Valeur invalide" error="La valeur doit être contenue entre 1 et 4" promptTitle="Compétences" prompt="Valeur comprise entre 1 et 4_x000a_Les compétences pour cette cible sont : _x000a_1 - Equipe NR / RSE_x000a_2 - NR + implication DSI_x000a_3 - NR + équipe hors DSI _x000a_3 - Intervention extérieure" sqref="H7:H10" xr:uid="{F3835DF9-F076-9E49-954F-F140CB72AE8E}">
      <formula1>$M$1:$O$1</formula1>
    </dataValidation>
  </dataValidation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6">
    <tabColor rgb="FF92D050"/>
  </sheetPr>
  <dimension ref="A1:QE13"/>
  <sheetViews>
    <sheetView topLeftCell="C1" zoomScale="90" zoomScaleNormal="90" workbookViewId="0">
      <selection activeCell="G7" sqref="G7:G13"/>
    </sheetView>
  </sheetViews>
  <sheetFormatPr baseColWidth="10" defaultColWidth="10.6640625" defaultRowHeight="12"/>
  <cols>
    <col min="1" max="1" width="1.5" style="51" customWidth="1"/>
    <col min="2" max="2" width="6.83203125" style="54" customWidth="1"/>
    <col min="3" max="3" width="83" style="55" customWidth="1"/>
    <col min="4" max="4" width="108.83203125" style="56" customWidth="1"/>
    <col min="5" max="5" width="9.83203125" style="51" customWidth="1"/>
    <col min="6" max="6" width="9.83203125" style="57" customWidth="1"/>
    <col min="7" max="7" width="69" style="56" customWidth="1"/>
    <col min="8" max="8" width="8.83203125" style="56" customWidth="1"/>
    <col min="9" max="9" width="83.6640625" style="56" customWidth="1"/>
    <col min="10" max="10" width="20.6640625" style="56" customWidth="1"/>
    <col min="11" max="21" width="5.6640625" style="51" hidden="1" customWidth="1"/>
    <col min="22" max="22" width="62" style="56" customWidth="1"/>
    <col min="23" max="23" width="57.5" style="56" hidden="1" customWidth="1"/>
    <col min="24" max="24" width="52.6640625" style="51" hidden="1" customWidth="1"/>
    <col min="25" max="16384" width="10.6640625" style="51"/>
  </cols>
  <sheetData>
    <row r="1" spans="1:447" s="46" customFormat="1" ht="13" thickBot="1">
      <c r="B1" s="47"/>
      <c r="C1" s="48"/>
      <c r="D1" s="49"/>
      <c r="F1" s="50"/>
      <c r="G1" s="49"/>
      <c r="H1" s="49"/>
      <c r="I1" s="49"/>
      <c r="J1" s="49"/>
      <c r="L1" s="46">
        <v>0</v>
      </c>
      <c r="M1" s="46">
        <v>1</v>
      </c>
      <c r="N1" s="46">
        <v>2</v>
      </c>
      <c r="O1" s="46">
        <v>3</v>
      </c>
      <c r="P1" s="46">
        <v>4</v>
      </c>
      <c r="Q1" s="46">
        <v>5</v>
      </c>
      <c r="V1" s="49"/>
      <c r="W1" s="49"/>
    </row>
    <row r="2" spans="1:447" s="46" customFormat="1" ht="26" thickBot="1">
      <c r="B2" s="324" t="s">
        <v>58</v>
      </c>
      <c r="C2" s="325"/>
      <c r="D2" s="325" t="s">
        <v>0</v>
      </c>
      <c r="E2" s="325"/>
      <c r="F2" s="325"/>
      <c r="G2" s="326"/>
      <c r="H2" s="49"/>
      <c r="I2" s="49"/>
      <c r="J2" s="49"/>
      <c r="V2" s="49"/>
      <c r="W2" s="49"/>
    </row>
    <row r="3" spans="1:447" s="46" customFormat="1" ht="17" thickBot="1">
      <c r="B3" s="332"/>
      <c r="C3" s="333"/>
      <c r="D3" s="333"/>
      <c r="E3" s="333"/>
      <c r="F3" s="333"/>
      <c r="G3" s="333"/>
      <c r="H3" s="333"/>
      <c r="I3" s="333"/>
      <c r="J3" s="334"/>
      <c r="K3" s="334"/>
      <c r="L3" s="334"/>
      <c r="M3" s="334"/>
      <c r="N3" s="334"/>
      <c r="O3" s="334"/>
      <c r="P3" s="334"/>
      <c r="Q3" s="334"/>
      <c r="R3" s="334"/>
      <c r="S3" s="334"/>
      <c r="T3" s="334"/>
      <c r="U3" s="334"/>
      <c r="V3" s="334"/>
      <c r="W3" s="335"/>
    </row>
    <row r="4" spans="1:447" ht="19">
      <c r="A4" s="46"/>
      <c r="B4" s="336"/>
      <c r="C4" s="337"/>
      <c r="D4" s="340" t="s">
        <v>11</v>
      </c>
      <c r="E4" s="341"/>
      <c r="F4" s="342" t="s">
        <v>12</v>
      </c>
      <c r="G4" s="343"/>
      <c r="H4" s="344" t="s">
        <v>13</v>
      </c>
      <c r="I4" s="345"/>
      <c r="J4" s="79" t="s">
        <v>14</v>
      </c>
      <c r="K4" s="80"/>
      <c r="L4" s="80"/>
      <c r="M4" s="80"/>
      <c r="N4" s="80"/>
      <c r="O4" s="80"/>
      <c r="P4" s="80"/>
      <c r="Q4" s="80"/>
      <c r="R4" s="80"/>
      <c r="S4" s="80"/>
      <c r="T4" s="80"/>
      <c r="U4" s="80"/>
      <c r="V4" s="346" t="s">
        <v>15</v>
      </c>
      <c r="W4" s="346"/>
      <c r="X4" s="346"/>
    </row>
    <row r="5" spans="1:447" s="53" customFormat="1" ht="207" customHeight="1" thickBot="1">
      <c r="A5" s="52"/>
      <c r="B5" s="338"/>
      <c r="C5" s="339"/>
      <c r="D5" s="158" t="s">
        <v>16</v>
      </c>
      <c r="E5" s="159" t="s">
        <v>17</v>
      </c>
      <c r="F5" s="164" t="s">
        <v>18</v>
      </c>
      <c r="G5" s="165" t="s">
        <v>19</v>
      </c>
      <c r="H5" s="156" t="s">
        <v>133</v>
      </c>
      <c r="I5" s="157" t="s">
        <v>20</v>
      </c>
      <c r="J5" s="83" t="s">
        <v>21</v>
      </c>
      <c r="K5" s="84" t="s">
        <v>22</v>
      </c>
      <c r="L5" s="173" t="s">
        <v>23</v>
      </c>
      <c r="M5" s="174" t="s">
        <v>24</v>
      </c>
      <c r="N5" s="175" t="s">
        <v>25</v>
      </c>
      <c r="O5" s="176" t="s">
        <v>26</v>
      </c>
      <c r="P5" s="177" t="s">
        <v>27</v>
      </c>
      <c r="Q5" s="178" t="s">
        <v>28</v>
      </c>
      <c r="R5" s="179" t="s">
        <v>29</v>
      </c>
      <c r="S5" s="85" t="s">
        <v>30</v>
      </c>
      <c r="T5" s="85" t="s">
        <v>31</v>
      </c>
      <c r="U5" s="85" t="s">
        <v>32</v>
      </c>
      <c r="V5" s="291" t="s">
        <v>33</v>
      </c>
      <c r="W5" s="291"/>
      <c r="X5" s="291"/>
    </row>
    <row r="6" spans="1:447" s="60" customFormat="1" ht="19" thickBot="1">
      <c r="A6" s="59"/>
      <c r="B6" s="327" t="s">
        <v>35</v>
      </c>
      <c r="C6" s="328"/>
      <c r="D6" s="329"/>
      <c r="E6" s="329"/>
      <c r="F6" s="329"/>
      <c r="G6" s="329"/>
      <c r="H6" s="329"/>
      <c r="I6" s="329"/>
      <c r="J6" s="329"/>
      <c r="K6" s="329"/>
      <c r="L6" s="329"/>
      <c r="M6" s="329"/>
      <c r="N6" s="329"/>
      <c r="O6" s="329"/>
      <c r="P6" s="329"/>
      <c r="Q6" s="329"/>
      <c r="R6" s="329"/>
      <c r="S6" s="329"/>
      <c r="T6" s="329"/>
      <c r="U6" s="329"/>
      <c r="V6" s="330"/>
      <c r="W6" s="331"/>
    </row>
    <row r="7" spans="1:447" s="137" customFormat="1" ht="63">
      <c r="A7" s="136"/>
      <c r="B7" s="181" t="s">
        <v>59</v>
      </c>
      <c r="C7" s="318" t="s">
        <v>60</v>
      </c>
      <c r="D7" s="139"/>
      <c r="E7" s="169"/>
      <c r="F7" s="166"/>
      <c r="G7" s="393"/>
      <c r="H7" s="140"/>
      <c r="I7" s="141"/>
      <c r="J7" s="110" t="str">
        <f t="shared" ref="J7:J13" si="0">S7</f>
        <v/>
      </c>
      <c r="K7" s="104">
        <f>E7*10+F7</f>
        <v>0</v>
      </c>
      <c r="L7" s="104" t="b">
        <f>OR(K7=31)</f>
        <v>0</v>
      </c>
      <c r="M7" s="104" t="b">
        <f>OR(K7=21,K7=32)</f>
        <v>0</v>
      </c>
      <c r="N7" s="104" t="b">
        <f>OR(K7=22,K7=33)</f>
        <v>0</v>
      </c>
      <c r="O7" s="104" t="b">
        <f>OR(K7=11,K7=12)</f>
        <v>0</v>
      </c>
      <c r="P7" s="104" t="b">
        <f>OR(K7=23,K7=34)</f>
        <v>0</v>
      </c>
      <c r="Q7" s="104" t="b">
        <f>OR(K7=13,K7=14,K7=24)</f>
        <v>0</v>
      </c>
      <c r="R7" s="104" t="b">
        <f>OR(K7=1,K7=2,K7=3,K7=4)</f>
        <v>0</v>
      </c>
      <c r="S7" s="105" t="str">
        <f t="shared" ref="S7:S13" si="1">IF(COUNTA(E7:F7)&lt;2,"",(IF(L7=TRUE,$L$5,IF(M7=TRUE,$M$5,IF(N7=TRUE,$N$5,IF(O7=TRUE,$O$5,IF(P7=TRUE,$P$5,IF(Q7=TRUE,$Q$5,IF(R7=TRUE,$R$5,0)))))))))</f>
        <v/>
      </c>
      <c r="T7" s="106" t="str">
        <f t="shared" ref="T7:T13" si="2">IF(COUNTA(E7:F7)&lt;2,"",(IF(L7=TRUE,6,IF(M7=TRUE,5,IF(N7=TRUE,4,IF(O7=TRUE,3,IF(P7=TRUE,2,IF(Q7=TRUE,1,IF(R7=TRUE,0,0)))))))))</f>
        <v/>
      </c>
      <c r="U7" s="104" t="e">
        <f t="shared" ref="U7:U13" si="3">T7*10+H7</f>
        <v>#VALUE!</v>
      </c>
      <c r="V7" s="150"/>
      <c r="W7" s="315"/>
      <c r="X7" s="299"/>
      <c r="Y7" s="182"/>
      <c r="Z7" s="182"/>
    </row>
    <row r="8" spans="1:447" s="137" customFormat="1" ht="63">
      <c r="A8" s="136"/>
      <c r="B8" s="181" t="s">
        <v>61</v>
      </c>
      <c r="C8" s="318" t="s">
        <v>62</v>
      </c>
      <c r="D8" s="139"/>
      <c r="E8" s="169"/>
      <c r="F8" s="166"/>
      <c r="G8" s="393"/>
      <c r="H8" s="140"/>
      <c r="I8" s="141"/>
      <c r="J8" s="110" t="str">
        <f t="shared" si="0"/>
        <v/>
      </c>
      <c r="K8" s="104">
        <f t="shared" ref="K8:K13" si="4">E8*10+F8</f>
        <v>0</v>
      </c>
      <c r="L8" s="104" t="b">
        <f t="shared" ref="L8:L13" si="5">OR(K8=31)</f>
        <v>0</v>
      </c>
      <c r="M8" s="104" t="b">
        <f t="shared" ref="M8:M13" si="6">OR(K8=21,K8=32)</f>
        <v>0</v>
      </c>
      <c r="N8" s="104" t="b">
        <f t="shared" ref="N8:N13" si="7">OR(K8=22,K8=33)</f>
        <v>0</v>
      </c>
      <c r="O8" s="104" t="b">
        <f t="shared" ref="O8:O13" si="8">OR(K8=11,K8=12)</f>
        <v>0</v>
      </c>
      <c r="P8" s="104" t="b">
        <f t="shared" ref="P8:P13" si="9">OR(K8=23,K8=34)</f>
        <v>0</v>
      </c>
      <c r="Q8" s="104" t="b">
        <f t="shared" ref="Q8:Q13" si="10">OR(K8=13,K8=14,K8=24)</f>
        <v>0</v>
      </c>
      <c r="R8" s="104" t="b">
        <f t="shared" ref="R8:R13" si="11">OR(K8=1,K8=2,K8=3,K8=4)</f>
        <v>0</v>
      </c>
      <c r="S8" s="105" t="str">
        <f t="shared" si="1"/>
        <v/>
      </c>
      <c r="T8" s="106" t="str">
        <f t="shared" si="2"/>
        <v/>
      </c>
      <c r="U8" s="104" t="e">
        <f t="shared" si="3"/>
        <v>#VALUE!</v>
      </c>
      <c r="V8" s="150"/>
      <c r="W8" s="294"/>
      <c r="X8" s="293"/>
    </row>
    <row r="9" spans="1:447" s="137" customFormat="1" ht="105">
      <c r="A9" s="136"/>
      <c r="B9" s="181" t="s">
        <v>63</v>
      </c>
      <c r="C9" s="318" t="s">
        <v>64</v>
      </c>
      <c r="D9" s="139"/>
      <c r="E9" s="169"/>
      <c r="F9" s="166"/>
      <c r="G9" s="393"/>
      <c r="H9" s="140"/>
      <c r="I9" s="141"/>
      <c r="J9" s="110" t="str">
        <f t="shared" si="0"/>
        <v/>
      </c>
      <c r="K9" s="88">
        <f t="shared" si="4"/>
        <v>0</v>
      </c>
      <c r="L9" s="88" t="b">
        <f t="shared" si="5"/>
        <v>0</v>
      </c>
      <c r="M9" s="88" t="b">
        <f t="shared" si="6"/>
        <v>0</v>
      </c>
      <c r="N9" s="88" t="b">
        <f t="shared" si="7"/>
        <v>0</v>
      </c>
      <c r="O9" s="88" t="b">
        <f t="shared" si="8"/>
        <v>0</v>
      </c>
      <c r="P9" s="88" t="b">
        <f t="shared" si="9"/>
        <v>0</v>
      </c>
      <c r="Q9" s="88" t="b">
        <f t="shared" si="10"/>
        <v>0</v>
      </c>
      <c r="R9" s="88" t="b">
        <f t="shared" si="11"/>
        <v>0</v>
      </c>
      <c r="S9" s="89" t="str">
        <f t="shared" si="1"/>
        <v/>
      </c>
      <c r="T9" s="90" t="str">
        <f t="shared" si="2"/>
        <v/>
      </c>
      <c r="U9" s="91" t="e">
        <f t="shared" si="3"/>
        <v>#VALUE!</v>
      </c>
      <c r="V9" s="150"/>
      <c r="W9" s="307"/>
      <c r="X9" s="299"/>
    </row>
    <row r="10" spans="1:447" s="138" customFormat="1" ht="42">
      <c r="A10" s="136"/>
      <c r="B10" s="181" t="s">
        <v>65</v>
      </c>
      <c r="C10" s="319" t="s">
        <v>66</v>
      </c>
      <c r="D10" s="139"/>
      <c r="E10" s="169"/>
      <c r="F10" s="166"/>
      <c r="G10" s="393"/>
      <c r="H10" s="140"/>
      <c r="I10" s="141"/>
      <c r="J10" s="110" t="str">
        <f t="shared" si="0"/>
        <v/>
      </c>
      <c r="K10" s="151">
        <f t="shared" si="4"/>
        <v>0</v>
      </c>
      <c r="L10" s="151" t="b">
        <f t="shared" si="5"/>
        <v>0</v>
      </c>
      <c r="M10" s="151" t="b">
        <f t="shared" si="6"/>
        <v>0</v>
      </c>
      <c r="N10" s="151" t="b">
        <f t="shared" si="7"/>
        <v>0</v>
      </c>
      <c r="O10" s="151" t="b">
        <f t="shared" si="8"/>
        <v>0</v>
      </c>
      <c r="P10" s="151" t="b">
        <f t="shared" si="9"/>
        <v>0</v>
      </c>
      <c r="Q10" s="151" t="b">
        <f t="shared" si="10"/>
        <v>0</v>
      </c>
      <c r="R10" s="151" t="b">
        <f t="shared" si="11"/>
        <v>0</v>
      </c>
      <c r="S10" s="151" t="str">
        <f t="shared" si="1"/>
        <v/>
      </c>
      <c r="T10" s="151" t="str">
        <f t="shared" si="2"/>
        <v/>
      </c>
      <c r="U10" s="151" t="e">
        <f t="shared" si="3"/>
        <v>#VALUE!</v>
      </c>
      <c r="V10" s="150"/>
      <c r="W10" s="316"/>
      <c r="X10" s="299"/>
      <c r="Y10" s="137"/>
      <c r="Z10" s="137"/>
      <c r="AA10" s="137"/>
      <c r="AB10" s="137"/>
      <c r="AC10" s="137"/>
      <c r="AD10" s="137"/>
      <c r="AE10" s="137"/>
      <c r="AF10" s="137"/>
      <c r="AG10" s="137"/>
      <c r="AH10" s="137"/>
      <c r="AI10" s="137"/>
      <c r="AJ10" s="137"/>
      <c r="AK10" s="137"/>
      <c r="AL10" s="137"/>
      <c r="AM10" s="137"/>
      <c r="AN10" s="137"/>
      <c r="AO10" s="137"/>
      <c r="AP10" s="137"/>
      <c r="AQ10" s="137"/>
      <c r="AR10" s="137"/>
      <c r="AS10" s="137"/>
      <c r="AT10" s="137"/>
      <c r="AU10" s="137"/>
      <c r="AV10" s="137"/>
      <c r="AW10" s="137"/>
      <c r="AX10" s="137"/>
      <c r="AY10" s="137"/>
      <c r="AZ10" s="137"/>
      <c r="BA10" s="137"/>
      <c r="BB10" s="137"/>
      <c r="BC10" s="137"/>
      <c r="BD10" s="137"/>
      <c r="BE10" s="137"/>
      <c r="BF10" s="137"/>
      <c r="BG10" s="137"/>
      <c r="BH10" s="137"/>
      <c r="BI10" s="137"/>
      <c r="BJ10" s="137"/>
      <c r="BK10" s="137"/>
      <c r="BL10" s="137"/>
      <c r="BM10" s="137"/>
      <c r="BN10" s="137"/>
      <c r="BO10" s="137"/>
      <c r="BP10" s="137"/>
      <c r="BQ10" s="137"/>
      <c r="BR10" s="137"/>
      <c r="BS10" s="137"/>
      <c r="BT10" s="137"/>
      <c r="BU10" s="137"/>
      <c r="BV10" s="137"/>
      <c r="BW10" s="137"/>
      <c r="BX10" s="137"/>
      <c r="BY10" s="137"/>
      <c r="BZ10" s="137"/>
      <c r="CA10" s="137"/>
      <c r="CB10" s="137"/>
      <c r="CC10" s="137"/>
      <c r="CD10" s="137"/>
      <c r="CE10" s="137"/>
      <c r="CF10" s="137"/>
      <c r="CG10" s="137"/>
      <c r="CH10" s="137"/>
      <c r="CI10" s="137"/>
      <c r="CJ10" s="137"/>
      <c r="CK10" s="137"/>
      <c r="CL10" s="137"/>
      <c r="CM10" s="137"/>
      <c r="CN10" s="137"/>
      <c r="CO10" s="137"/>
      <c r="CP10" s="137"/>
      <c r="CQ10" s="137"/>
      <c r="CR10" s="137"/>
      <c r="CS10" s="137"/>
      <c r="CT10" s="137"/>
      <c r="CU10" s="137"/>
      <c r="CV10" s="137"/>
      <c r="CW10" s="137"/>
      <c r="CX10" s="137"/>
      <c r="CY10" s="137"/>
      <c r="CZ10" s="137"/>
      <c r="DA10" s="137"/>
      <c r="DB10" s="137"/>
      <c r="DC10" s="137"/>
      <c r="DD10" s="137"/>
      <c r="DE10" s="137"/>
      <c r="DF10" s="137"/>
      <c r="DG10" s="137"/>
      <c r="DH10" s="137"/>
      <c r="DI10" s="137"/>
      <c r="DJ10" s="137"/>
      <c r="DK10" s="137"/>
      <c r="DL10" s="137"/>
      <c r="DM10" s="137"/>
      <c r="DN10" s="137"/>
      <c r="DO10" s="137"/>
      <c r="DP10" s="137"/>
      <c r="DQ10" s="137"/>
      <c r="DR10" s="137"/>
      <c r="DS10" s="137"/>
      <c r="DT10" s="137"/>
      <c r="DU10" s="137"/>
      <c r="DV10" s="137"/>
      <c r="DW10" s="137"/>
      <c r="DX10" s="137"/>
      <c r="DY10" s="137"/>
      <c r="DZ10" s="137"/>
      <c r="EA10" s="137"/>
      <c r="EB10" s="137"/>
      <c r="EC10" s="137"/>
      <c r="ED10" s="137"/>
      <c r="EE10" s="137"/>
      <c r="EF10" s="137"/>
      <c r="EG10" s="137"/>
      <c r="EH10" s="137"/>
      <c r="EI10" s="137"/>
      <c r="EJ10" s="137"/>
      <c r="EK10" s="137"/>
      <c r="EL10" s="137"/>
      <c r="EM10" s="137"/>
      <c r="EN10" s="137"/>
      <c r="EO10" s="137"/>
      <c r="EP10" s="137"/>
      <c r="EQ10" s="137"/>
      <c r="ER10" s="137"/>
      <c r="ES10" s="137"/>
      <c r="ET10" s="137"/>
      <c r="EU10" s="137"/>
      <c r="EV10" s="137"/>
      <c r="EW10" s="137"/>
      <c r="EX10" s="137"/>
      <c r="EY10" s="137"/>
      <c r="EZ10" s="137"/>
      <c r="FA10" s="137"/>
      <c r="FB10" s="137"/>
      <c r="FC10" s="137"/>
      <c r="FD10" s="137"/>
      <c r="FE10" s="137"/>
      <c r="FF10" s="137"/>
      <c r="FG10" s="137"/>
      <c r="FH10" s="137"/>
      <c r="FI10" s="137"/>
      <c r="FJ10" s="137"/>
      <c r="FK10" s="137"/>
      <c r="FL10" s="137"/>
      <c r="FM10" s="137"/>
      <c r="FN10" s="137"/>
      <c r="FO10" s="137"/>
      <c r="FP10" s="137"/>
      <c r="FQ10" s="137"/>
      <c r="FR10" s="137"/>
      <c r="FS10" s="137"/>
      <c r="FT10" s="137"/>
      <c r="FU10" s="137"/>
      <c r="FV10" s="137"/>
      <c r="FW10" s="137"/>
      <c r="FX10" s="137"/>
      <c r="FY10" s="137"/>
      <c r="FZ10" s="137"/>
      <c r="GA10" s="137"/>
      <c r="GB10" s="137"/>
      <c r="GC10" s="137"/>
      <c r="GD10" s="137"/>
      <c r="GE10" s="137"/>
      <c r="GF10" s="137"/>
      <c r="GG10" s="137"/>
      <c r="GH10" s="137"/>
      <c r="GI10" s="137"/>
      <c r="GJ10" s="137"/>
      <c r="GK10" s="137"/>
      <c r="GL10" s="137"/>
      <c r="GM10" s="137"/>
      <c r="GN10" s="137"/>
      <c r="GO10" s="137"/>
      <c r="GP10" s="137"/>
      <c r="GQ10" s="137"/>
      <c r="GR10" s="137"/>
      <c r="GS10" s="137"/>
      <c r="GT10" s="137"/>
      <c r="GU10" s="137"/>
      <c r="GV10" s="137"/>
      <c r="GW10" s="137"/>
      <c r="GX10" s="137"/>
      <c r="GY10" s="137"/>
      <c r="GZ10" s="137"/>
      <c r="HA10" s="137"/>
      <c r="HB10" s="137"/>
      <c r="HC10" s="137"/>
      <c r="HD10" s="137"/>
      <c r="HE10" s="137"/>
      <c r="HF10" s="137"/>
      <c r="HG10" s="137"/>
      <c r="HH10" s="137"/>
      <c r="HI10" s="137"/>
      <c r="HJ10" s="137"/>
      <c r="HK10" s="137"/>
      <c r="HL10" s="137"/>
      <c r="HM10" s="137"/>
      <c r="HN10" s="137"/>
      <c r="HO10" s="137"/>
      <c r="HP10" s="137"/>
      <c r="HQ10" s="137"/>
      <c r="HR10" s="137"/>
      <c r="HS10" s="137"/>
      <c r="HT10" s="137"/>
      <c r="HU10" s="137"/>
      <c r="HV10" s="137"/>
      <c r="HW10" s="137"/>
      <c r="HX10" s="137"/>
      <c r="HY10" s="137"/>
      <c r="HZ10" s="137"/>
      <c r="IA10" s="137"/>
      <c r="IB10" s="137"/>
      <c r="IC10" s="137"/>
      <c r="ID10" s="137"/>
      <c r="IE10" s="137"/>
      <c r="IF10" s="137"/>
      <c r="IG10" s="137"/>
      <c r="IH10" s="137"/>
      <c r="II10" s="137"/>
      <c r="IJ10" s="137"/>
      <c r="IK10" s="137"/>
      <c r="IL10" s="137"/>
      <c r="IM10" s="137"/>
      <c r="IN10" s="137"/>
      <c r="IO10" s="137"/>
      <c r="IP10" s="137"/>
      <c r="IQ10" s="137"/>
      <c r="IR10" s="137"/>
      <c r="IS10" s="137"/>
      <c r="IT10" s="137"/>
      <c r="IU10" s="137"/>
      <c r="IV10" s="137"/>
      <c r="IW10" s="137"/>
      <c r="IX10" s="137"/>
      <c r="IY10" s="137"/>
      <c r="IZ10" s="137"/>
      <c r="JA10" s="137"/>
      <c r="JB10" s="137"/>
      <c r="JC10" s="137"/>
      <c r="JD10" s="137"/>
      <c r="JE10" s="137"/>
      <c r="JF10" s="137"/>
      <c r="JG10" s="137"/>
      <c r="JH10" s="137"/>
      <c r="JI10" s="137"/>
      <c r="JJ10" s="137"/>
      <c r="JK10" s="137"/>
      <c r="JL10" s="137"/>
      <c r="JM10" s="137"/>
      <c r="JN10" s="137"/>
      <c r="JO10" s="137"/>
      <c r="JP10" s="137"/>
      <c r="JQ10" s="137"/>
      <c r="JR10" s="137"/>
      <c r="JS10" s="137"/>
      <c r="JT10" s="137"/>
      <c r="JU10" s="137"/>
      <c r="JV10" s="137"/>
      <c r="JW10" s="137"/>
      <c r="JX10" s="137"/>
      <c r="JY10" s="137"/>
      <c r="JZ10" s="137"/>
      <c r="KA10" s="137"/>
      <c r="KB10" s="137"/>
      <c r="KC10" s="137"/>
      <c r="KD10" s="137"/>
      <c r="KE10" s="137"/>
      <c r="KF10" s="137"/>
      <c r="KG10" s="137"/>
      <c r="KH10" s="137"/>
      <c r="KI10" s="137"/>
      <c r="KJ10" s="137"/>
      <c r="KK10" s="137"/>
      <c r="KL10" s="137"/>
      <c r="KM10" s="137"/>
      <c r="KN10" s="137"/>
      <c r="KO10" s="137"/>
      <c r="KP10" s="137"/>
      <c r="KQ10" s="137"/>
      <c r="KR10" s="137"/>
      <c r="KS10" s="137"/>
      <c r="KT10" s="137"/>
      <c r="KU10" s="137"/>
      <c r="KV10" s="137"/>
      <c r="KW10" s="137"/>
      <c r="KX10" s="137"/>
      <c r="KY10" s="137"/>
      <c r="KZ10" s="137"/>
      <c r="LA10" s="137"/>
      <c r="LB10" s="137"/>
      <c r="LC10" s="137"/>
      <c r="LD10" s="137"/>
      <c r="LE10" s="137"/>
      <c r="LF10" s="137"/>
      <c r="LG10" s="137"/>
      <c r="LH10" s="137"/>
      <c r="LI10" s="137"/>
      <c r="LJ10" s="137"/>
      <c r="LK10" s="137"/>
      <c r="LL10" s="137"/>
      <c r="LM10" s="137"/>
      <c r="LN10" s="137"/>
      <c r="LO10" s="137"/>
      <c r="LP10" s="137"/>
      <c r="LQ10" s="137"/>
      <c r="LR10" s="137"/>
      <c r="LS10" s="137"/>
      <c r="LT10" s="137"/>
      <c r="LU10" s="137"/>
      <c r="LV10" s="137"/>
      <c r="LW10" s="137"/>
      <c r="LX10" s="137"/>
      <c r="LY10" s="137"/>
      <c r="LZ10" s="137"/>
      <c r="MA10" s="137"/>
      <c r="MB10" s="137"/>
      <c r="MC10" s="137"/>
      <c r="MD10" s="137"/>
      <c r="ME10" s="137"/>
      <c r="MF10" s="137"/>
      <c r="MG10" s="137"/>
      <c r="MH10" s="137"/>
      <c r="MI10" s="137"/>
      <c r="MJ10" s="137"/>
      <c r="MK10" s="137"/>
      <c r="ML10" s="137"/>
      <c r="MM10" s="137"/>
      <c r="MN10" s="137"/>
      <c r="MO10" s="137"/>
      <c r="MP10" s="137"/>
      <c r="MQ10" s="137"/>
      <c r="MR10" s="137"/>
      <c r="MS10" s="137"/>
      <c r="MT10" s="137"/>
      <c r="MU10" s="137"/>
      <c r="MV10" s="137"/>
      <c r="MW10" s="137"/>
      <c r="MX10" s="137"/>
      <c r="MY10" s="137"/>
      <c r="MZ10" s="137"/>
      <c r="NA10" s="137"/>
      <c r="NB10" s="137"/>
      <c r="NC10" s="137"/>
      <c r="ND10" s="137"/>
      <c r="NE10" s="137"/>
      <c r="NF10" s="137"/>
      <c r="NG10" s="137"/>
      <c r="NH10" s="137"/>
      <c r="NI10" s="137"/>
      <c r="NJ10" s="137"/>
      <c r="NK10" s="137"/>
      <c r="NL10" s="137"/>
      <c r="NM10" s="137"/>
      <c r="NN10" s="137"/>
      <c r="NO10" s="137"/>
      <c r="NP10" s="137"/>
      <c r="NQ10" s="137"/>
      <c r="NR10" s="137"/>
      <c r="NS10" s="137"/>
      <c r="NT10" s="137"/>
      <c r="NU10" s="137"/>
      <c r="NV10" s="137"/>
      <c r="NW10" s="137"/>
      <c r="NX10" s="137"/>
      <c r="NY10" s="137"/>
      <c r="NZ10" s="137"/>
      <c r="OA10" s="137"/>
      <c r="OB10" s="137"/>
      <c r="OC10" s="137"/>
      <c r="OD10" s="137"/>
      <c r="OE10" s="137"/>
      <c r="OF10" s="137"/>
      <c r="OG10" s="137"/>
      <c r="OH10" s="137"/>
      <c r="OI10" s="137"/>
      <c r="OJ10" s="137"/>
      <c r="OK10" s="137"/>
      <c r="OL10" s="137"/>
      <c r="OM10" s="137"/>
      <c r="ON10" s="137"/>
      <c r="OO10" s="137"/>
      <c r="OP10" s="137"/>
      <c r="OQ10" s="137"/>
      <c r="OR10" s="137"/>
      <c r="OS10" s="137"/>
      <c r="OT10" s="137"/>
      <c r="OU10" s="137"/>
      <c r="OV10" s="137"/>
      <c r="OW10" s="137"/>
      <c r="OX10" s="137"/>
      <c r="OY10" s="137"/>
      <c r="OZ10" s="137"/>
      <c r="PA10" s="137"/>
      <c r="PB10" s="137"/>
      <c r="PC10" s="137"/>
      <c r="PD10" s="137"/>
      <c r="PE10" s="137"/>
      <c r="PF10" s="137"/>
      <c r="PG10" s="137"/>
      <c r="PH10" s="137"/>
      <c r="PI10" s="137"/>
      <c r="PJ10" s="137"/>
      <c r="PK10" s="137"/>
      <c r="PL10" s="137"/>
      <c r="PM10" s="137"/>
      <c r="PN10" s="137"/>
      <c r="PO10" s="137"/>
      <c r="PP10" s="137"/>
      <c r="PQ10" s="137"/>
      <c r="PR10" s="137"/>
      <c r="PS10" s="137"/>
      <c r="PT10" s="137"/>
      <c r="PU10" s="137"/>
      <c r="PV10" s="137"/>
      <c r="PW10" s="137"/>
      <c r="PX10" s="137"/>
      <c r="PY10" s="137"/>
      <c r="PZ10" s="137"/>
      <c r="QA10" s="137"/>
      <c r="QB10" s="137"/>
      <c r="QC10" s="137"/>
      <c r="QD10" s="137"/>
      <c r="QE10" s="137"/>
    </row>
    <row r="11" spans="1:447" s="138" customFormat="1" ht="21">
      <c r="A11" s="136"/>
      <c r="B11" s="181" t="s">
        <v>67</v>
      </c>
      <c r="C11" s="318" t="s">
        <v>68</v>
      </c>
      <c r="D11" s="139"/>
      <c r="E11" s="169"/>
      <c r="F11" s="166"/>
      <c r="G11" s="393"/>
      <c r="H11" s="140"/>
      <c r="I11" s="141"/>
      <c r="J11" s="110" t="str">
        <f t="shared" si="0"/>
        <v/>
      </c>
      <c r="K11" s="107">
        <f t="shared" si="4"/>
        <v>0</v>
      </c>
      <c r="L11" s="107" t="b">
        <f t="shared" si="5"/>
        <v>0</v>
      </c>
      <c r="M11" s="107" t="b">
        <f t="shared" si="6"/>
        <v>0</v>
      </c>
      <c r="N11" s="107" t="b">
        <f t="shared" si="7"/>
        <v>0</v>
      </c>
      <c r="O11" s="107" t="b">
        <f t="shared" si="8"/>
        <v>0</v>
      </c>
      <c r="P11" s="107" t="b">
        <f t="shared" si="9"/>
        <v>0</v>
      </c>
      <c r="Q11" s="107" t="b">
        <f t="shared" si="10"/>
        <v>0</v>
      </c>
      <c r="R11" s="107" t="b">
        <f t="shared" si="11"/>
        <v>0</v>
      </c>
      <c r="S11" s="108" t="str">
        <f t="shared" si="1"/>
        <v/>
      </c>
      <c r="T11" s="109" t="str">
        <f t="shared" si="2"/>
        <v/>
      </c>
      <c r="U11" s="107" t="e">
        <f t="shared" si="3"/>
        <v>#VALUE!</v>
      </c>
      <c r="V11" s="150"/>
      <c r="W11" s="297"/>
      <c r="X11" s="293"/>
      <c r="Y11" s="137"/>
      <c r="Z11" s="137"/>
      <c r="AA11" s="137"/>
      <c r="AB11" s="137"/>
      <c r="AC11" s="137"/>
      <c r="AD11" s="137"/>
      <c r="AE11" s="137"/>
      <c r="AF11" s="137"/>
      <c r="AG11" s="137"/>
      <c r="AH11" s="137"/>
      <c r="AI11" s="137"/>
      <c r="AJ11" s="137"/>
      <c r="AK11" s="137"/>
      <c r="AL11" s="137"/>
      <c r="AM11" s="137"/>
      <c r="AN11" s="137"/>
      <c r="AO11" s="137"/>
      <c r="AP11" s="137"/>
      <c r="AQ11" s="137"/>
      <c r="AR11" s="137"/>
      <c r="AS11" s="137"/>
      <c r="AT11" s="137"/>
      <c r="AU11" s="137"/>
      <c r="AV11" s="137"/>
      <c r="AW11" s="137"/>
      <c r="AX11" s="137"/>
      <c r="AY11" s="137"/>
      <c r="AZ11" s="137"/>
      <c r="BA11" s="137"/>
      <c r="BB11" s="137"/>
      <c r="BC11" s="137"/>
      <c r="BD11" s="137"/>
      <c r="BE11" s="137"/>
      <c r="BF11" s="137"/>
      <c r="BG11" s="137"/>
      <c r="BH11" s="137"/>
      <c r="BI11" s="137"/>
      <c r="BJ11" s="137"/>
      <c r="BK11" s="137"/>
      <c r="BL11" s="137"/>
      <c r="BM11" s="137"/>
      <c r="BN11" s="137"/>
      <c r="BO11" s="137"/>
      <c r="BP11" s="137"/>
      <c r="BQ11" s="137"/>
      <c r="BR11" s="137"/>
      <c r="BS11" s="137"/>
      <c r="BT11" s="137"/>
      <c r="BU11" s="137"/>
      <c r="BV11" s="137"/>
      <c r="BW11" s="137"/>
      <c r="BX11" s="137"/>
      <c r="BY11" s="137"/>
      <c r="BZ11" s="137"/>
      <c r="CA11" s="137"/>
      <c r="CB11" s="137"/>
      <c r="CC11" s="137"/>
      <c r="CD11" s="137"/>
      <c r="CE11" s="137"/>
      <c r="CF11" s="137"/>
      <c r="CG11" s="137"/>
      <c r="CH11" s="137"/>
      <c r="CI11" s="137"/>
      <c r="CJ11" s="137"/>
      <c r="CK11" s="137"/>
      <c r="CL11" s="137"/>
      <c r="CM11" s="137"/>
      <c r="CN11" s="137"/>
      <c r="CO11" s="137"/>
      <c r="CP11" s="137"/>
      <c r="CQ11" s="137"/>
      <c r="CR11" s="137"/>
      <c r="CS11" s="137"/>
      <c r="CT11" s="137"/>
      <c r="CU11" s="137"/>
      <c r="CV11" s="137"/>
      <c r="CW11" s="137"/>
      <c r="CX11" s="137"/>
      <c r="CY11" s="137"/>
      <c r="CZ11" s="137"/>
      <c r="DA11" s="137"/>
      <c r="DB11" s="137"/>
      <c r="DC11" s="137"/>
      <c r="DD11" s="137"/>
      <c r="DE11" s="137"/>
      <c r="DF11" s="137"/>
      <c r="DG11" s="137"/>
      <c r="DH11" s="137"/>
      <c r="DI11" s="137"/>
      <c r="DJ11" s="137"/>
      <c r="DK11" s="137"/>
      <c r="DL11" s="137"/>
      <c r="DM11" s="137"/>
      <c r="DN11" s="137"/>
      <c r="DO11" s="137"/>
      <c r="DP11" s="137"/>
      <c r="DQ11" s="137"/>
      <c r="DR11" s="137"/>
      <c r="DS11" s="137"/>
      <c r="DT11" s="137"/>
      <c r="DU11" s="137"/>
      <c r="DV11" s="137"/>
      <c r="DW11" s="137"/>
      <c r="DX11" s="137"/>
      <c r="DY11" s="137"/>
      <c r="DZ11" s="137"/>
      <c r="EA11" s="137"/>
      <c r="EB11" s="137"/>
      <c r="EC11" s="137"/>
      <c r="ED11" s="137"/>
      <c r="EE11" s="137"/>
      <c r="EF11" s="137"/>
      <c r="EG11" s="137"/>
      <c r="EH11" s="137"/>
      <c r="EI11" s="137"/>
      <c r="EJ11" s="137"/>
      <c r="EK11" s="137"/>
      <c r="EL11" s="137"/>
      <c r="EM11" s="137"/>
      <c r="EN11" s="137"/>
      <c r="EO11" s="137"/>
      <c r="EP11" s="137"/>
      <c r="EQ11" s="137"/>
      <c r="ER11" s="137"/>
      <c r="ES11" s="137"/>
      <c r="ET11" s="137"/>
      <c r="EU11" s="137"/>
      <c r="EV11" s="137"/>
      <c r="EW11" s="137"/>
      <c r="EX11" s="137"/>
      <c r="EY11" s="137"/>
      <c r="EZ11" s="137"/>
      <c r="FA11" s="137"/>
      <c r="FB11" s="137"/>
      <c r="FC11" s="137"/>
      <c r="FD11" s="137"/>
      <c r="FE11" s="137"/>
      <c r="FF11" s="137"/>
      <c r="FG11" s="137"/>
      <c r="FH11" s="137"/>
      <c r="FI11" s="137"/>
      <c r="FJ11" s="137"/>
      <c r="FK11" s="137"/>
      <c r="FL11" s="137"/>
      <c r="FM11" s="137"/>
      <c r="FN11" s="137"/>
      <c r="FO11" s="137"/>
      <c r="FP11" s="137"/>
      <c r="FQ11" s="137"/>
      <c r="FR11" s="137"/>
      <c r="FS11" s="137"/>
      <c r="FT11" s="137"/>
      <c r="FU11" s="137"/>
      <c r="FV11" s="137"/>
      <c r="FW11" s="137"/>
      <c r="FX11" s="137"/>
      <c r="FY11" s="137"/>
      <c r="FZ11" s="137"/>
      <c r="GA11" s="137"/>
      <c r="GB11" s="137"/>
      <c r="GC11" s="137"/>
      <c r="GD11" s="137"/>
      <c r="GE11" s="137"/>
      <c r="GF11" s="137"/>
      <c r="GG11" s="137"/>
      <c r="GH11" s="137"/>
      <c r="GI11" s="137"/>
      <c r="GJ11" s="137"/>
      <c r="GK11" s="137"/>
      <c r="GL11" s="137"/>
      <c r="GM11" s="137"/>
      <c r="GN11" s="137"/>
      <c r="GO11" s="137"/>
      <c r="GP11" s="137"/>
      <c r="GQ11" s="137"/>
      <c r="GR11" s="137"/>
      <c r="GS11" s="137"/>
      <c r="GT11" s="137"/>
      <c r="GU11" s="137"/>
      <c r="GV11" s="137"/>
      <c r="GW11" s="137"/>
      <c r="GX11" s="137"/>
      <c r="GY11" s="137"/>
      <c r="GZ11" s="137"/>
      <c r="HA11" s="137"/>
      <c r="HB11" s="137"/>
      <c r="HC11" s="137"/>
      <c r="HD11" s="137"/>
      <c r="HE11" s="137"/>
      <c r="HF11" s="137"/>
      <c r="HG11" s="137"/>
      <c r="HH11" s="137"/>
      <c r="HI11" s="137"/>
      <c r="HJ11" s="137"/>
      <c r="HK11" s="137"/>
      <c r="HL11" s="137"/>
      <c r="HM11" s="137"/>
      <c r="HN11" s="137"/>
      <c r="HO11" s="137"/>
      <c r="HP11" s="137"/>
      <c r="HQ11" s="137"/>
      <c r="HR11" s="137"/>
      <c r="HS11" s="137"/>
      <c r="HT11" s="137"/>
      <c r="HU11" s="137"/>
      <c r="HV11" s="137"/>
      <c r="HW11" s="137"/>
      <c r="HX11" s="137"/>
      <c r="HY11" s="137"/>
      <c r="HZ11" s="137"/>
      <c r="IA11" s="137"/>
      <c r="IB11" s="137"/>
      <c r="IC11" s="137"/>
      <c r="ID11" s="137"/>
      <c r="IE11" s="137"/>
      <c r="IF11" s="137"/>
      <c r="IG11" s="137"/>
      <c r="IH11" s="137"/>
      <c r="II11" s="137"/>
      <c r="IJ11" s="137"/>
      <c r="IK11" s="137"/>
      <c r="IL11" s="137"/>
      <c r="IM11" s="137"/>
      <c r="IN11" s="137"/>
      <c r="IO11" s="137"/>
      <c r="IP11" s="137"/>
      <c r="IQ11" s="137"/>
      <c r="IR11" s="137"/>
      <c r="IS11" s="137"/>
      <c r="IT11" s="137"/>
      <c r="IU11" s="137"/>
      <c r="IV11" s="137"/>
      <c r="IW11" s="137"/>
      <c r="IX11" s="137"/>
      <c r="IY11" s="137"/>
      <c r="IZ11" s="137"/>
      <c r="JA11" s="137"/>
      <c r="JB11" s="137"/>
      <c r="JC11" s="137"/>
      <c r="JD11" s="137"/>
      <c r="JE11" s="137"/>
      <c r="JF11" s="137"/>
      <c r="JG11" s="137"/>
      <c r="JH11" s="137"/>
      <c r="JI11" s="137"/>
      <c r="JJ11" s="137"/>
      <c r="JK11" s="137"/>
      <c r="JL11" s="137"/>
      <c r="JM11" s="137"/>
      <c r="JN11" s="137"/>
      <c r="JO11" s="137"/>
      <c r="JP11" s="137"/>
      <c r="JQ11" s="137"/>
      <c r="JR11" s="137"/>
      <c r="JS11" s="137"/>
      <c r="JT11" s="137"/>
      <c r="JU11" s="137"/>
      <c r="JV11" s="137"/>
      <c r="JW11" s="137"/>
      <c r="JX11" s="137"/>
      <c r="JY11" s="137"/>
      <c r="JZ11" s="137"/>
      <c r="KA11" s="137"/>
      <c r="KB11" s="137"/>
      <c r="KC11" s="137"/>
      <c r="KD11" s="137"/>
      <c r="KE11" s="137"/>
      <c r="KF11" s="137"/>
      <c r="KG11" s="137"/>
      <c r="KH11" s="137"/>
      <c r="KI11" s="137"/>
      <c r="KJ11" s="137"/>
      <c r="KK11" s="137"/>
      <c r="KL11" s="137"/>
      <c r="KM11" s="137"/>
      <c r="KN11" s="137"/>
      <c r="KO11" s="137"/>
      <c r="KP11" s="137"/>
      <c r="KQ11" s="137"/>
      <c r="KR11" s="137"/>
      <c r="KS11" s="137"/>
      <c r="KT11" s="137"/>
      <c r="KU11" s="137"/>
      <c r="KV11" s="137"/>
      <c r="KW11" s="137"/>
      <c r="KX11" s="137"/>
      <c r="KY11" s="137"/>
      <c r="KZ11" s="137"/>
      <c r="LA11" s="137"/>
      <c r="LB11" s="137"/>
      <c r="LC11" s="137"/>
      <c r="LD11" s="137"/>
      <c r="LE11" s="137"/>
      <c r="LF11" s="137"/>
      <c r="LG11" s="137"/>
      <c r="LH11" s="137"/>
      <c r="LI11" s="137"/>
      <c r="LJ11" s="137"/>
      <c r="LK11" s="137"/>
      <c r="LL11" s="137"/>
      <c r="LM11" s="137"/>
      <c r="LN11" s="137"/>
      <c r="LO11" s="137"/>
      <c r="LP11" s="137"/>
      <c r="LQ11" s="137"/>
      <c r="LR11" s="137"/>
      <c r="LS11" s="137"/>
      <c r="LT11" s="137"/>
      <c r="LU11" s="137"/>
      <c r="LV11" s="137"/>
      <c r="LW11" s="137"/>
      <c r="LX11" s="137"/>
      <c r="LY11" s="137"/>
      <c r="LZ11" s="137"/>
      <c r="MA11" s="137"/>
      <c r="MB11" s="137"/>
      <c r="MC11" s="137"/>
      <c r="MD11" s="137"/>
      <c r="ME11" s="137"/>
      <c r="MF11" s="137"/>
      <c r="MG11" s="137"/>
      <c r="MH11" s="137"/>
      <c r="MI11" s="137"/>
      <c r="MJ11" s="137"/>
      <c r="MK11" s="137"/>
      <c r="ML11" s="137"/>
      <c r="MM11" s="137"/>
      <c r="MN11" s="137"/>
      <c r="MO11" s="137"/>
      <c r="MP11" s="137"/>
      <c r="MQ11" s="137"/>
      <c r="MR11" s="137"/>
      <c r="MS11" s="137"/>
      <c r="MT11" s="137"/>
      <c r="MU11" s="137"/>
      <c r="MV11" s="137"/>
      <c r="MW11" s="137"/>
      <c r="MX11" s="137"/>
      <c r="MY11" s="137"/>
      <c r="MZ11" s="137"/>
      <c r="NA11" s="137"/>
      <c r="NB11" s="137"/>
      <c r="NC11" s="137"/>
      <c r="ND11" s="137"/>
      <c r="NE11" s="137"/>
      <c r="NF11" s="137"/>
      <c r="NG11" s="137"/>
      <c r="NH11" s="137"/>
      <c r="NI11" s="137"/>
      <c r="NJ11" s="137"/>
      <c r="NK11" s="137"/>
      <c r="NL11" s="137"/>
      <c r="NM11" s="137"/>
      <c r="NN11" s="137"/>
      <c r="NO11" s="137"/>
      <c r="NP11" s="137"/>
      <c r="NQ11" s="137"/>
      <c r="NR11" s="137"/>
      <c r="NS11" s="137"/>
      <c r="NT11" s="137"/>
      <c r="NU11" s="137"/>
      <c r="NV11" s="137"/>
      <c r="NW11" s="137"/>
      <c r="NX11" s="137"/>
      <c r="NY11" s="137"/>
      <c r="NZ11" s="137"/>
      <c r="OA11" s="137"/>
      <c r="OB11" s="137"/>
      <c r="OC11" s="137"/>
      <c r="OD11" s="137"/>
      <c r="OE11" s="137"/>
      <c r="OF11" s="137"/>
      <c r="OG11" s="137"/>
      <c r="OH11" s="137"/>
      <c r="OI11" s="137"/>
      <c r="OJ11" s="137"/>
      <c r="OK11" s="137"/>
      <c r="OL11" s="137"/>
      <c r="OM11" s="137"/>
      <c r="ON11" s="137"/>
      <c r="OO11" s="137"/>
      <c r="OP11" s="137"/>
      <c r="OQ11" s="137"/>
      <c r="OR11" s="137"/>
      <c r="OS11" s="137"/>
      <c r="OT11" s="137"/>
      <c r="OU11" s="137"/>
      <c r="OV11" s="137"/>
      <c r="OW11" s="137"/>
      <c r="OX11" s="137"/>
      <c r="OY11" s="137"/>
      <c r="OZ11" s="137"/>
      <c r="PA11" s="137"/>
      <c r="PB11" s="137"/>
      <c r="PC11" s="137"/>
      <c r="PD11" s="137"/>
      <c r="PE11" s="137"/>
      <c r="PF11" s="137"/>
      <c r="PG11" s="137"/>
      <c r="PH11" s="137"/>
      <c r="PI11" s="137"/>
      <c r="PJ11" s="137"/>
      <c r="PK11" s="137"/>
      <c r="PL11" s="137"/>
      <c r="PM11" s="137"/>
      <c r="PN11" s="137"/>
      <c r="PO11" s="137"/>
      <c r="PP11" s="137"/>
      <c r="PQ11" s="137"/>
      <c r="PR11" s="137"/>
      <c r="PS11" s="137"/>
      <c r="PT11" s="137"/>
      <c r="PU11" s="137"/>
      <c r="PV11" s="137"/>
      <c r="PW11" s="137"/>
      <c r="PX11" s="137"/>
      <c r="PY11" s="137"/>
      <c r="PZ11" s="137"/>
      <c r="QA11" s="137"/>
      <c r="QB11" s="137"/>
      <c r="QC11" s="137"/>
      <c r="QD11" s="137"/>
      <c r="QE11" s="137"/>
    </row>
    <row r="12" spans="1:447" s="137" customFormat="1" ht="63">
      <c r="A12" s="136"/>
      <c r="B12" s="181" t="s">
        <v>69</v>
      </c>
      <c r="C12" s="318" t="s">
        <v>70</v>
      </c>
      <c r="D12" s="139"/>
      <c r="E12" s="171"/>
      <c r="F12" s="167"/>
      <c r="G12" s="393"/>
      <c r="H12" s="140"/>
      <c r="I12" s="141"/>
      <c r="J12" s="147" t="str">
        <f t="shared" si="0"/>
        <v/>
      </c>
      <c r="K12" s="96">
        <f t="shared" si="4"/>
        <v>0</v>
      </c>
      <c r="L12" s="96" t="b">
        <f t="shared" si="5"/>
        <v>0</v>
      </c>
      <c r="M12" s="96" t="b">
        <f t="shared" si="6"/>
        <v>0</v>
      </c>
      <c r="N12" s="96" t="b">
        <f t="shared" si="7"/>
        <v>0</v>
      </c>
      <c r="O12" s="96" t="b">
        <f t="shared" si="8"/>
        <v>0</v>
      </c>
      <c r="P12" s="96" t="b">
        <f t="shared" si="9"/>
        <v>0</v>
      </c>
      <c r="Q12" s="96" t="b">
        <f t="shared" si="10"/>
        <v>0</v>
      </c>
      <c r="R12" s="96" t="b">
        <f t="shared" si="11"/>
        <v>0</v>
      </c>
      <c r="S12" s="97" t="str">
        <f t="shared" si="1"/>
        <v/>
      </c>
      <c r="T12" s="98" t="str">
        <f t="shared" si="2"/>
        <v/>
      </c>
      <c r="U12" s="99" t="e">
        <f t="shared" si="3"/>
        <v>#VALUE!</v>
      </c>
      <c r="V12" s="150"/>
      <c r="W12" s="317"/>
      <c r="X12" s="299"/>
    </row>
    <row r="13" spans="1:447" s="137" customFormat="1" ht="21">
      <c r="A13" s="136"/>
      <c r="B13" s="181" t="s">
        <v>71</v>
      </c>
      <c r="C13" s="318" t="s">
        <v>72</v>
      </c>
      <c r="D13" s="139"/>
      <c r="E13" s="171"/>
      <c r="F13" s="167"/>
      <c r="G13" s="393"/>
      <c r="H13" s="140"/>
      <c r="I13" s="141"/>
      <c r="J13" s="147" t="str">
        <f t="shared" si="0"/>
        <v/>
      </c>
      <c r="K13" s="96">
        <f t="shared" si="4"/>
        <v>0</v>
      </c>
      <c r="L13" s="96" t="b">
        <f t="shared" si="5"/>
        <v>0</v>
      </c>
      <c r="M13" s="96" t="b">
        <f t="shared" si="6"/>
        <v>0</v>
      </c>
      <c r="N13" s="96" t="b">
        <f t="shared" si="7"/>
        <v>0</v>
      </c>
      <c r="O13" s="96" t="b">
        <f t="shared" si="8"/>
        <v>0</v>
      </c>
      <c r="P13" s="96" t="b">
        <f t="shared" si="9"/>
        <v>0</v>
      </c>
      <c r="Q13" s="96" t="b">
        <f t="shared" si="10"/>
        <v>0</v>
      </c>
      <c r="R13" s="96" t="b">
        <f t="shared" si="11"/>
        <v>0</v>
      </c>
      <c r="S13" s="97" t="str">
        <f t="shared" si="1"/>
        <v/>
      </c>
      <c r="T13" s="98" t="str">
        <f t="shared" si="2"/>
        <v/>
      </c>
      <c r="U13" s="99" t="e">
        <f t="shared" si="3"/>
        <v>#VALUE!</v>
      </c>
      <c r="V13" s="149"/>
      <c r="W13" s="296"/>
      <c r="X13" s="293"/>
    </row>
  </sheetData>
  <mergeCells count="8">
    <mergeCell ref="B2:G2"/>
    <mergeCell ref="B6:W6"/>
    <mergeCell ref="B3:W3"/>
    <mergeCell ref="B4:C5"/>
    <mergeCell ref="D4:E4"/>
    <mergeCell ref="F4:G4"/>
    <mergeCell ref="H4:I4"/>
    <mergeCell ref="V4:X4"/>
  </mergeCells>
  <conditionalFormatting sqref="A4">
    <cfRule type="expression" dxfId="292" priority="446">
      <formula>FIND("Agir",B4)</formula>
    </cfRule>
    <cfRule type="expression" dxfId="291" priority="445" stopIfTrue="1">
      <formula>ISTEXT(A4)</formula>
    </cfRule>
    <cfRule type="expression" dxfId="290" priority="448" stopIfTrue="1">
      <formula>ISTEXT(A4)</formula>
    </cfRule>
    <cfRule type="expression" dxfId="289" priority="449">
      <formula>FIND("Agir",B4)</formula>
    </cfRule>
    <cfRule type="expression" dxfId="288" priority="450">
      <formula>FIND("Réagir",B4)</formula>
    </cfRule>
    <cfRule type="expression" dxfId="287" priority="451" stopIfTrue="1">
      <formula>ISTEXT(A4)</formula>
    </cfRule>
    <cfRule type="expression" dxfId="286" priority="452">
      <formula>FIND("Agir",B4)</formula>
    </cfRule>
    <cfRule type="expression" dxfId="285" priority="453">
      <formula>FIND("Réagir",B4)</formula>
    </cfRule>
    <cfRule type="expression" dxfId="284" priority="447">
      <formula>FIND("Réagir",B4)</formula>
    </cfRule>
  </conditionalFormatting>
  <conditionalFormatting sqref="D7:D13 K10:S10">
    <cfRule type="expression" dxfId="283" priority="99">
      <formula>FIND("Conforter",F7)</formula>
    </cfRule>
    <cfRule type="expression" dxfId="282" priority="104">
      <formula>FIND("Réagir",E7)</formula>
    </cfRule>
    <cfRule type="expression" dxfId="281" priority="103">
      <formula>FIND("Agir",E7)</formula>
    </cfRule>
    <cfRule type="expression" dxfId="280" priority="101">
      <formula>FIND("Conforter",F7)</formula>
    </cfRule>
    <cfRule type="expression" dxfId="279" priority="100" stopIfTrue="1">
      <formula>ISTEXT(D7)</formula>
    </cfRule>
    <cfRule type="expression" dxfId="278" priority="88" stopIfTrue="1">
      <formula>ISTEXT(D7)</formula>
    </cfRule>
    <cfRule type="expression" dxfId="277" priority="89">
      <formula>FIND("Conforter",F7)</formula>
    </cfRule>
    <cfRule type="expression" dxfId="276" priority="98" stopIfTrue="1">
      <formula>ISTEXT(D7)</formula>
    </cfRule>
  </conditionalFormatting>
  <conditionalFormatting sqref="D7:D13 K10:T10">
    <cfRule type="expression" dxfId="275" priority="102" stopIfTrue="1">
      <formula>ISTEXT(D7)</formula>
    </cfRule>
  </conditionalFormatting>
  <conditionalFormatting sqref="F7:F13">
    <cfRule type="expression" dxfId="274" priority="147">
      <formula>FIND("Conforter",I7)</formula>
    </cfRule>
    <cfRule type="expression" dxfId="273" priority="146" stopIfTrue="1">
      <formula>ISTEXT(F7)</formula>
    </cfRule>
  </conditionalFormatting>
  <conditionalFormatting sqref="G7:G12">
    <cfRule type="expression" dxfId="272" priority="145">
      <formula>FIND("Réagir",I7)</formula>
    </cfRule>
    <cfRule type="expression" dxfId="271" priority="144">
      <formula>FIND("Agir",I7)</formula>
    </cfRule>
    <cfRule type="expression" dxfId="270" priority="143" stopIfTrue="1">
      <formula>ISTEXT(G7)</formula>
    </cfRule>
  </conditionalFormatting>
  <conditionalFormatting sqref="G13">
    <cfRule type="expression" dxfId="269" priority="23" stopIfTrue="1">
      <formula>ISTEXT(G13)</formula>
    </cfRule>
    <cfRule type="expression" dxfId="268" priority="24">
      <formula>FIND("Agir",I13)</formula>
    </cfRule>
    <cfRule type="expression" dxfId="267" priority="25">
      <formula>FIND("Réagir",I13)</formula>
    </cfRule>
    <cfRule type="expression" dxfId="266" priority="26" stopIfTrue="1">
      <formula>ISTEXT(G13)</formula>
    </cfRule>
    <cfRule type="expression" dxfId="265" priority="27">
      <formula>FIND("Conforter",J13)</formula>
    </cfRule>
  </conditionalFormatting>
  <conditionalFormatting sqref="H7:H13 G8:H9 G10:G12">
    <cfRule type="expression" dxfId="264" priority="142">
      <formula>FIND("Conforter",J7)</formula>
    </cfRule>
    <cfRule type="expression" dxfId="263" priority="141" stopIfTrue="1">
      <formula>ISTEXT(G7)</formula>
    </cfRule>
  </conditionalFormatting>
  <conditionalFormatting sqref="H7:H13 G8:H12">
    <cfRule type="expression" dxfId="262" priority="121">
      <formula>FIND("Conforter",J7)</formula>
    </cfRule>
  </conditionalFormatting>
  <conditionalFormatting sqref="H7:H13">
    <cfRule type="expression" dxfId="261" priority="87">
      <formula>FIND("Réagir",J7)</formula>
    </cfRule>
    <cfRule type="expression" dxfId="260" priority="86">
      <formula>FIND("Agir",J7)</formula>
    </cfRule>
    <cfRule type="expression" dxfId="259" priority="85" stopIfTrue="1">
      <formula>ISTEXT(H7)</formula>
    </cfRule>
    <cfRule type="expression" dxfId="258" priority="78">
      <formula>FIND("Conforter",J7)</formula>
    </cfRule>
    <cfRule type="expression" dxfId="257" priority="77" stopIfTrue="1">
      <formula>ISTEXT(H7)</formula>
    </cfRule>
  </conditionalFormatting>
  <conditionalFormatting sqref="H8:H13 V7:V9 V13 G7:I12">
    <cfRule type="expression" dxfId="256" priority="120" stopIfTrue="1">
      <formula>ISTEXT(G7)</formula>
    </cfRule>
  </conditionalFormatting>
  <conditionalFormatting sqref="H13">
    <cfRule type="expression" dxfId="255" priority="116">
      <formula>FIND("Conforter",K13)</formula>
    </cfRule>
  </conditionalFormatting>
  <conditionalFormatting sqref="H13:I13">
    <cfRule type="expression" dxfId="254" priority="115" stopIfTrue="1">
      <formula>ISTEXT(H13)</formula>
    </cfRule>
  </conditionalFormatting>
  <conditionalFormatting sqref="I7:I13">
    <cfRule type="expression" dxfId="253" priority="153">
      <formula>FIND("Réagir",J7)</formula>
    </cfRule>
    <cfRule type="expression" dxfId="252" priority="123">
      <formula>FIND("Agir",J7)</formula>
    </cfRule>
    <cfRule type="expression" dxfId="251" priority="124">
      <formula>FIND("Réagir",J7)</formula>
    </cfRule>
    <cfRule type="expression" dxfId="250" priority="152">
      <formula>FIND("Agir",J7)</formula>
    </cfRule>
    <cfRule type="expression" dxfId="249" priority="151" stopIfTrue="1">
      <formula>ISTEXT(I7)</formula>
    </cfRule>
  </conditionalFormatting>
  <conditionalFormatting sqref="I8">
    <cfRule type="expression" dxfId="248" priority="113">
      <formula>FIND("Agir",J8)</formula>
    </cfRule>
    <cfRule type="expression" dxfId="247" priority="114">
      <formula>FIND("Réagir",J8)</formula>
    </cfRule>
    <cfRule type="expression" dxfId="246" priority="112" stopIfTrue="1">
      <formula>ISTEXT(I8)</formula>
    </cfRule>
  </conditionalFormatting>
  <conditionalFormatting sqref="I13">
    <cfRule type="expression" dxfId="245" priority="10" stopIfTrue="1">
      <formula>ISTEXT(I13)</formula>
    </cfRule>
    <cfRule type="expression" dxfId="244" priority="118">
      <formula>FIND("Agir",J13)</formula>
    </cfRule>
    <cfRule type="expression" dxfId="243" priority="119">
      <formula>FIND("Réagir",J13)</formula>
    </cfRule>
  </conditionalFormatting>
  <conditionalFormatting sqref="I7:J13 V7:V13">
    <cfRule type="containsText" dxfId="242" priority="148" stopIfTrue="1" operator="containsText" text="Première">
      <formula>NOT(ISERROR(SEARCH("Première",I7)))</formula>
    </cfRule>
    <cfRule type="containsText" dxfId="241" priority="150" stopIfTrue="1" operator="containsText" text="Terme">
      <formula>NOT(ISERROR(SEARCH("Terme",I7)))</formula>
    </cfRule>
    <cfRule type="containsText" dxfId="240" priority="149" stopIfTrue="1" operator="containsText" text="Seconde">
      <formula>NOT(ISERROR(SEARCH("Seconde",I7)))</formula>
    </cfRule>
  </conditionalFormatting>
  <conditionalFormatting sqref="J7:J13">
    <cfRule type="containsText" dxfId="239" priority="108" stopIfTrue="1" operator="containsText" text="Non Prioritaire">
      <formula>NOT(ISERROR(SEARCH("Non Prioritaire",J7)))</formula>
    </cfRule>
    <cfRule type="containsText" dxfId="238" priority="105" operator="containsText" text="Intervention prioritaire">
      <formula>NOT(ISERROR(SEARCH("Intervention prioritaire",J7)))</formula>
    </cfRule>
    <cfRule type="containsText" dxfId="237" priority="106" stopIfTrue="1" operator="containsText" text="Non pertinent">
      <formula>NOT(ISERROR(SEARCH("Non pertinent",J7)))</formula>
    </cfRule>
    <cfRule type="containsText" dxfId="236" priority="140" stopIfTrue="1" operator="containsText" text="Non">
      <formula>NOT(ISERROR(SEARCH("Non",J7)))</formula>
    </cfRule>
    <cfRule type="containsText" dxfId="235" priority="107" stopIfTrue="1" operator="containsText" text="consolidation">
      <formula>NOT(ISERROR(SEARCH("consolidation",J7)))</formula>
    </cfRule>
    <cfRule type="containsText" dxfId="234" priority="111" stopIfTrue="1" operator="containsText" text="long">
      <formula>NOT(ISERROR(SEARCH("long",J7)))</formula>
    </cfRule>
    <cfRule type="containsText" dxfId="233" priority="110" stopIfTrue="1" operator="containsText" text="moyen">
      <formula>NOT(ISERROR(SEARCH("moyen",J7)))</formula>
    </cfRule>
    <cfRule type="containsText" dxfId="232" priority="109" stopIfTrue="1" operator="containsText" text="Urgent">
      <formula>NOT(ISERROR(SEARCH("Urgent",J7)))</formula>
    </cfRule>
  </conditionalFormatting>
  <conditionalFormatting sqref="J10">
    <cfRule type="containsText" dxfId="231" priority="22" stopIfTrue="1" operator="containsText" text="Terme">
      <formula>NOT(ISERROR(SEARCH("Terme",J10)))</formula>
    </cfRule>
    <cfRule type="containsText" dxfId="230" priority="21" stopIfTrue="1" operator="containsText" text="Seconde">
      <formula>NOT(ISERROR(SEARCH("Seconde",J10)))</formula>
    </cfRule>
    <cfRule type="containsText" dxfId="229" priority="20" stopIfTrue="1" operator="containsText" text="Première">
      <formula>NOT(ISERROR(SEARCH("Première",J10)))</formula>
    </cfRule>
  </conditionalFormatting>
  <conditionalFormatting sqref="T10">
    <cfRule type="expression" dxfId="228" priority="5587">
      <formula>FIND("Réagir",U10)</formula>
    </cfRule>
    <cfRule type="expression" dxfId="227" priority="5582">
      <formula>FIND("Conforter",#REF!)</formula>
    </cfRule>
    <cfRule type="expression" dxfId="226" priority="5581" stopIfTrue="1">
      <formula>ISTEXT(T10)</formula>
    </cfRule>
    <cfRule type="expression" dxfId="225" priority="5580">
      <formula>FIND("Conforter",#REF!)</formula>
    </cfRule>
    <cfRule type="expression" dxfId="224" priority="5584">
      <formula>FIND("Conforter",#REF!)</formula>
    </cfRule>
    <cfRule type="expression" dxfId="223" priority="5583" stopIfTrue="1">
      <formula>ISTEXT(T10)</formula>
    </cfRule>
    <cfRule type="expression" dxfId="222" priority="5586">
      <formula>FIND("Agir",U10)</formula>
    </cfRule>
  </conditionalFormatting>
  <conditionalFormatting sqref="T10:U10">
    <cfRule type="expression" dxfId="221" priority="5585" stopIfTrue="1">
      <formula>ISTEXT(T10)</formula>
    </cfRule>
  </conditionalFormatting>
  <conditionalFormatting sqref="U10">
    <cfRule type="expression" dxfId="220" priority="5596">
      <formula>FIND("Réagir",#REF!)</formula>
    </cfRule>
    <cfRule type="expression" dxfId="219" priority="5589">
      <formula>FIND("Conforter",#REF!)</formula>
    </cfRule>
    <cfRule type="expression" dxfId="218" priority="5590" stopIfTrue="1">
      <formula>ISTEXT(U10)</formula>
    </cfRule>
    <cfRule type="expression" dxfId="217" priority="5591">
      <formula>FIND("Conforter",#REF!)</formula>
    </cfRule>
    <cfRule type="expression" dxfId="216" priority="5592" stopIfTrue="1">
      <formula>ISTEXT(U10)</formula>
    </cfRule>
    <cfRule type="expression" dxfId="215" priority="5593">
      <formula>FIND("Conforter",#REF!)</formula>
    </cfRule>
    <cfRule type="expression" dxfId="214" priority="5594" stopIfTrue="1">
      <formula>ISTEXT(U10)</formula>
    </cfRule>
    <cfRule type="expression" dxfId="213" priority="5595">
      <formula>FIND("Agir",#REF!)</formula>
    </cfRule>
  </conditionalFormatting>
  <conditionalFormatting sqref="V4:V5 J5">
    <cfRule type="containsText" dxfId="212" priority="170" stopIfTrue="1" operator="containsText" text="Terme">
      <formula>NOT(ISERROR(SEARCH("Terme",J4)))</formula>
    </cfRule>
    <cfRule type="containsText" dxfId="211" priority="169" stopIfTrue="1" operator="containsText" text="Seconde">
      <formula>NOT(ISERROR(SEARCH("Seconde",J4)))</formula>
    </cfRule>
    <cfRule type="containsText" dxfId="210" priority="168" stopIfTrue="1" operator="containsText" text="Première">
      <formula>NOT(ISERROR(SEARCH("Première",J4)))</formula>
    </cfRule>
  </conditionalFormatting>
  <conditionalFormatting sqref="V7:V13">
    <cfRule type="expression" dxfId="209" priority="84">
      <formula>FIND("Réagir",#REF!)</formula>
    </cfRule>
    <cfRule type="expression" dxfId="208" priority="83">
      <formula>FIND("Agir",#REF!)</formula>
    </cfRule>
  </conditionalFormatting>
  <conditionalFormatting sqref="V10:V12">
    <cfRule type="expression" dxfId="207" priority="38" stopIfTrue="1">
      <formula>ISTEXT(V10)</formula>
    </cfRule>
  </conditionalFormatting>
  <conditionalFormatting sqref="W7:W13">
    <cfRule type="containsText" dxfId="206" priority="444" stopIfTrue="1" operator="containsText" text="Terme">
      <formula>NOT(ISERROR(SEARCH("Terme",W7)))</formula>
    </cfRule>
    <cfRule type="containsText" dxfId="205" priority="443" stopIfTrue="1" operator="containsText" text="Seconde">
      <formula>NOT(ISERROR(SEARCH("Seconde",W7)))</formula>
    </cfRule>
    <cfRule type="containsText" dxfId="204" priority="442" stopIfTrue="1" operator="containsText" text="Première">
      <formula>NOT(ISERROR(SEARCH("Première",W7)))</formula>
    </cfRule>
    <cfRule type="expression" dxfId="203" priority="371">
      <formula>FIND("Réagir",#REF!)</formula>
    </cfRule>
    <cfRule type="expression" dxfId="202" priority="370">
      <formula>FIND("Agir",#REF!)</formula>
    </cfRule>
    <cfRule type="expression" dxfId="201" priority="369" stopIfTrue="1">
      <formula>ISTEXT(W7)</formula>
    </cfRule>
  </conditionalFormatting>
  <conditionalFormatting sqref="W5:X5">
    <cfRule type="containsText" dxfId="200" priority="6" stopIfTrue="1" operator="containsText" text="Terme">
      <formula>NOT(ISERROR(SEARCH("Terme",W5)))</formula>
    </cfRule>
    <cfRule type="containsText" dxfId="199" priority="5" stopIfTrue="1" operator="containsText" text="Seconde">
      <formula>NOT(ISERROR(SEARCH("Seconde",W5)))</formula>
    </cfRule>
    <cfRule type="containsText" dxfId="198" priority="4" stopIfTrue="1" operator="containsText" text="Première">
      <formula>NOT(ISERROR(SEARCH("Première",W5)))</formula>
    </cfRule>
  </conditionalFormatting>
  <conditionalFormatting sqref="G7">
    <cfRule type="expression" dxfId="2" priority="2" stopIfTrue="1">
      <formula>ISTEXT(G7)</formula>
    </cfRule>
    <cfRule type="expression" dxfId="3" priority="3">
      <formula>FIND("Conforter",J7)</formula>
    </cfRule>
  </conditionalFormatting>
  <conditionalFormatting sqref="G7">
    <cfRule type="expression" dxfId="1" priority="1">
      <formula>FIND("Conforter",J7)</formula>
    </cfRule>
  </conditionalFormatting>
  <dataValidations count="3">
    <dataValidation type="list" allowBlank="1" showInputMessage="1" showErrorMessage="1" errorTitle="Valeur invalide" error="Les valeurs permises pour l'importance sont 0, 1, 2 ou 3" promptTitle="Importance de la cible" prompt="Valeur comprise entre 0 et 3_x000a_L'atteinte de cette cible est :_x000a_0 - Non applicable_x000a_1 - Peu important_x000a_2 - Important_x000a_3 - Très important" sqref="E7:E13" xr:uid="{817E8CCD-C117-47B7-B926-598B6F8A3FD3}">
      <formula1>$L$1:$O$1</formula1>
    </dataValidation>
    <dataValidation type="list" allowBlank="1" showInputMessage="1" showErrorMessage="1" errorTitle="Valeur invalide" error="La valeur doit être contenue entre 1 et 4" promptTitle="Performance actuelle" prompt="Valeur comprise entre 1 et 4_x000a_Cette cible est :_x000a_1 - Pas du tout atteinte_x000a_2 - En partie atteinte_x000a_3 - En voie d'être atteinte_x000a_4 - Atteinte" sqref="F7:F13" xr:uid="{B1DB31EF-56C4-4979-B74C-861A60E8CB99}">
      <formula1>$M$1:$P$1</formula1>
    </dataValidation>
    <dataValidation type="list" allowBlank="1" showInputMessage="1" showErrorMessage="1" errorTitle="Valeur invalide" error="La valeur doit être contenue entre 1 et 4" promptTitle="Compétences" prompt="Valeur comprise entre 1 et 4_x000a_Les compétences pour cette cible sont : _x000a_1 - Equipe NR / RSE_x000a_2 - NR + implication DSI_x000a_3 - NR + équipe hors DSI _x000a_3 - Intervention extérieure" sqref="H7:H13" xr:uid="{1ED8149F-2F3B-5A43-8EC8-9772583F443C}">
      <formula1>$M$1:$O$1</formula1>
    </dataValidation>
  </dataValidation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7">
    <tabColor rgb="FF00B0F0"/>
  </sheetPr>
  <dimension ref="A1:X10"/>
  <sheetViews>
    <sheetView topLeftCell="C1" zoomScale="60" zoomScaleNormal="60" workbookViewId="0">
      <selection activeCell="G7" sqref="G7:G10"/>
    </sheetView>
  </sheetViews>
  <sheetFormatPr baseColWidth="10" defaultColWidth="10.6640625" defaultRowHeight="12"/>
  <cols>
    <col min="1" max="1" width="1.5" style="51" customWidth="1"/>
    <col min="2" max="2" width="4.5" style="54" customWidth="1"/>
    <col min="3" max="3" width="83" style="55" customWidth="1"/>
    <col min="4" max="4" width="91.83203125" style="56" customWidth="1"/>
    <col min="5" max="5" width="9.83203125" style="51" customWidth="1"/>
    <col min="6" max="6" width="9.83203125" style="57" customWidth="1"/>
    <col min="7" max="7" width="62.33203125" style="56" customWidth="1"/>
    <col min="8" max="8" width="8.83203125" style="56" customWidth="1"/>
    <col min="9" max="9" width="60.83203125" style="56" customWidth="1"/>
    <col min="10" max="10" width="20.6640625" style="56" customWidth="1"/>
    <col min="11" max="21" width="5.6640625" style="51" hidden="1" customWidth="1"/>
    <col min="22" max="22" width="59.5" style="56" customWidth="1"/>
    <col min="23" max="23" width="54.33203125" style="56" hidden="1" customWidth="1"/>
    <col min="24" max="24" width="48.33203125" style="51" hidden="1" customWidth="1"/>
    <col min="25" max="16384" width="10.6640625" style="51"/>
  </cols>
  <sheetData>
    <row r="1" spans="1:24" s="46" customFormat="1" ht="13" thickBot="1">
      <c r="B1" s="47"/>
      <c r="C1" s="48"/>
      <c r="D1" s="49"/>
      <c r="F1" s="50"/>
      <c r="G1" s="49"/>
      <c r="H1" s="49"/>
      <c r="I1" s="49"/>
      <c r="J1" s="49"/>
      <c r="L1" s="46">
        <v>0</v>
      </c>
      <c r="M1" s="46">
        <v>1</v>
      </c>
      <c r="N1" s="46">
        <v>2</v>
      </c>
      <c r="O1" s="46">
        <v>3</v>
      </c>
      <c r="P1" s="46">
        <v>4</v>
      </c>
      <c r="Q1" s="46">
        <v>5</v>
      </c>
      <c r="V1" s="49"/>
      <c r="W1" s="49"/>
    </row>
    <row r="2" spans="1:24" s="46" customFormat="1" ht="60" customHeight="1" thickBot="1">
      <c r="B2" s="324" t="s">
        <v>73</v>
      </c>
      <c r="C2" s="325"/>
      <c r="D2" s="325"/>
      <c r="E2" s="325"/>
      <c r="F2" s="325"/>
      <c r="G2" s="326"/>
      <c r="H2" s="49"/>
      <c r="I2" s="49"/>
      <c r="J2" s="49"/>
      <c r="V2" s="49"/>
      <c r="W2" s="49"/>
    </row>
    <row r="3" spans="1:24" s="46" customFormat="1" ht="17" thickBot="1">
      <c r="B3" s="332"/>
      <c r="C3" s="333"/>
      <c r="D3" s="333"/>
      <c r="E3" s="333"/>
      <c r="F3" s="333"/>
      <c r="G3" s="333"/>
      <c r="H3" s="333"/>
      <c r="I3" s="333"/>
      <c r="J3" s="334"/>
      <c r="K3" s="334"/>
      <c r="L3" s="334"/>
      <c r="M3" s="334"/>
      <c r="N3" s="334"/>
      <c r="O3" s="334"/>
      <c r="P3" s="334"/>
      <c r="Q3" s="334"/>
      <c r="R3" s="334"/>
      <c r="S3" s="334"/>
      <c r="T3" s="334"/>
      <c r="U3" s="334"/>
      <c r="V3" s="333"/>
      <c r="W3" s="356"/>
    </row>
    <row r="4" spans="1:24" ht="21.75" customHeight="1">
      <c r="A4" s="46"/>
      <c r="B4" s="336"/>
      <c r="C4" s="337"/>
      <c r="D4" s="340" t="s">
        <v>11</v>
      </c>
      <c r="E4" s="341"/>
      <c r="F4" s="342" t="s">
        <v>12</v>
      </c>
      <c r="G4" s="343"/>
      <c r="H4" s="344" t="s">
        <v>13</v>
      </c>
      <c r="I4" s="345"/>
      <c r="J4" s="79" t="s">
        <v>14</v>
      </c>
      <c r="K4" s="80"/>
      <c r="L4" s="80"/>
      <c r="M4" s="80"/>
      <c r="N4" s="80"/>
      <c r="O4" s="80"/>
      <c r="P4" s="80"/>
      <c r="Q4" s="80"/>
      <c r="R4" s="80"/>
      <c r="S4" s="80"/>
      <c r="T4" s="80"/>
      <c r="U4" s="80"/>
      <c r="V4" s="351" t="s">
        <v>15</v>
      </c>
      <c r="W4" s="352"/>
      <c r="X4" s="352"/>
    </row>
    <row r="5" spans="1:24" s="53" customFormat="1" ht="168" customHeight="1" thickBot="1">
      <c r="A5" s="52"/>
      <c r="B5" s="338"/>
      <c r="C5" s="339"/>
      <c r="D5" s="160" t="s">
        <v>16</v>
      </c>
      <c r="E5" s="161" t="s">
        <v>17</v>
      </c>
      <c r="F5" s="162" t="s">
        <v>18</v>
      </c>
      <c r="G5" s="163" t="s">
        <v>19</v>
      </c>
      <c r="H5" s="81" t="s">
        <v>133</v>
      </c>
      <c r="I5" s="82" t="s">
        <v>20</v>
      </c>
      <c r="J5" s="83" t="s">
        <v>21</v>
      </c>
      <c r="K5" s="84" t="s">
        <v>22</v>
      </c>
      <c r="L5" s="173" t="s">
        <v>23</v>
      </c>
      <c r="M5" s="174" t="s">
        <v>24</v>
      </c>
      <c r="N5" s="175" t="s">
        <v>25</v>
      </c>
      <c r="O5" s="176" t="s">
        <v>26</v>
      </c>
      <c r="P5" s="177" t="s">
        <v>27</v>
      </c>
      <c r="Q5" s="178" t="s">
        <v>28</v>
      </c>
      <c r="R5" s="179" t="s">
        <v>29</v>
      </c>
      <c r="S5" s="85" t="s">
        <v>30</v>
      </c>
      <c r="T5" s="85" t="s">
        <v>31</v>
      </c>
      <c r="U5" s="85" t="s">
        <v>32</v>
      </c>
      <c r="V5" s="86" t="s">
        <v>33</v>
      </c>
      <c r="W5" s="87"/>
      <c r="X5" s="291"/>
    </row>
    <row r="6" spans="1:24" s="60" customFormat="1" ht="31.5" customHeight="1" thickBot="1">
      <c r="A6" s="59"/>
      <c r="B6" s="353" t="s">
        <v>35</v>
      </c>
      <c r="C6" s="354"/>
      <c r="D6" s="330"/>
      <c r="E6" s="330"/>
      <c r="F6" s="330"/>
      <c r="G6" s="330"/>
      <c r="H6" s="330"/>
      <c r="I6" s="330"/>
      <c r="J6" s="330"/>
      <c r="K6" s="330"/>
      <c r="L6" s="330"/>
      <c r="M6" s="330"/>
      <c r="N6" s="330"/>
      <c r="O6" s="330"/>
      <c r="P6" s="330"/>
      <c r="Q6" s="330"/>
      <c r="R6" s="330"/>
      <c r="S6" s="330"/>
      <c r="T6" s="330"/>
      <c r="U6" s="330"/>
      <c r="V6" s="330"/>
      <c r="W6" s="355"/>
    </row>
    <row r="7" spans="1:24" s="137" customFormat="1" ht="84">
      <c r="A7" s="136"/>
      <c r="B7" s="180" t="s">
        <v>74</v>
      </c>
      <c r="C7" s="318" t="s">
        <v>75</v>
      </c>
      <c r="D7" s="139"/>
      <c r="E7" s="169"/>
      <c r="F7" s="166"/>
      <c r="G7" s="393"/>
      <c r="H7" s="140"/>
      <c r="I7" s="141"/>
      <c r="J7" s="110" t="str">
        <f t="shared" ref="J7:J9" si="0">S7</f>
        <v/>
      </c>
      <c r="K7" s="104">
        <f>E7*10+F7</f>
        <v>0</v>
      </c>
      <c r="L7" s="104" t="b">
        <f>OR(K7=31)</f>
        <v>0</v>
      </c>
      <c r="M7" s="104" t="b">
        <f>OR(K7=21,K7=32)</f>
        <v>0</v>
      </c>
      <c r="N7" s="104" t="b">
        <f>OR(K7=22,K7=33)</f>
        <v>0</v>
      </c>
      <c r="O7" s="104" t="b">
        <f>OR(K7=11,K7=12)</f>
        <v>0</v>
      </c>
      <c r="P7" s="104" t="b">
        <f>OR(K7=23,K7=34)</f>
        <v>0</v>
      </c>
      <c r="Q7" s="104" t="b">
        <f>OR(K7=13,K7=14,K7=24)</f>
        <v>0</v>
      </c>
      <c r="R7" s="104" t="b">
        <f>OR(K7=1,K7=2,K7=3,K7=4)</f>
        <v>0</v>
      </c>
      <c r="S7" s="105" t="str">
        <f t="shared" ref="S7:S9" si="1">IF(COUNTA(E7:F7)&lt;2,"",(IF(L7=TRUE,$L$5,IF(M7=TRUE,$M$5,IF(N7=TRUE,$N$5,IF(O7=TRUE,$O$5,IF(P7=TRUE,$P$5,IF(Q7=TRUE,$Q$5,IF(R7=TRUE,$R$5,0)))))))))</f>
        <v/>
      </c>
      <c r="T7" s="106" t="str">
        <f t="shared" ref="T7:T9" si="2">IF(COUNTA(E7:F7)&lt;2,"",(IF(L7=TRUE,6,IF(M7=TRUE,5,IF(N7=TRUE,4,IF(O7=TRUE,3,IF(P7=TRUE,2,IF(Q7=TRUE,1,IF(R7=TRUE,0,0)))))))))</f>
        <v/>
      </c>
      <c r="U7" s="104" t="e">
        <f t="shared" ref="U7:U9" si="3">T7*10+H7</f>
        <v>#VALUE!</v>
      </c>
      <c r="V7" s="150"/>
      <c r="W7" s="295"/>
      <c r="X7" s="293"/>
    </row>
    <row r="8" spans="1:24" s="137" customFormat="1" ht="63">
      <c r="A8" s="136"/>
      <c r="B8" s="180" t="s">
        <v>76</v>
      </c>
      <c r="C8" s="318" t="s">
        <v>77</v>
      </c>
      <c r="D8" s="139"/>
      <c r="E8" s="169"/>
      <c r="F8" s="166"/>
      <c r="G8" s="393"/>
      <c r="H8" s="140"/>
      <c r="I8" s="141"/>
      <c r="J8" s="110" t="str">
        <f t="shared" si="0"/>
        <v/>
      </c>
      <c r="K8" s="88">
        <f t="shared" ref="K8:K9" si="4">E8*10+F8</f>
        <v>0</v>
      </c>
      <c r="L8" s="88" t="b">
        <f t="shared" ref="L8:L9" si="5">OR(K8=31)</f>
        <v>0</v>
      </c>
      <c r="M8" s="88" t="b">
        <f t="shared" ref="M8:M9" si="6">OR(K8=21,K8=32)</f>
        <v>0</v>
      </c>
      <c r="N8" s="88" t="b">
        <f t="shared" ref="N8:N9" si="7">OR(K8=22,K8=33)</f>
        <v>0</v>
      </c>
      <c r="O8" s="88" t="b">
        <f t="shared" ref="O8:O9" si="8">OR(K8=11,K8=12)</f>
        <v>0</v>
      </c>
      <c r="P8" s="88" t="b">
        <f t="shared" ref="P8:P9" si="9">OR(K8=23,K8=34)</f>
        <v>0</v>
      </c>
      <c r="Q8" s="88" t="b">
        <f t="shared" ref="Q8:Q9" si="10">OR(K8=13,K8=14,K8=24)</f>
        <v>0</v>
      </c>
      <c r="R8" s="88" t="b">
        <f t="shared" ref="R8:R9" si="11">OR(K8=1,K8=2,K8=3,K8=4)</f>
        <v>0</v>
      </c>
      <c r="S8" s="89" t="str">
        <f t="shared" si="1"/>
        <v/>
      </c>
      <c r="T8" s="90" t="str">
        <f t="shared" si="2"/>
        <v/>
      </c>
      <c r="U8" s="91" t="e">
        <f t="shared" si="3"/>
        <v>#VALUE!</v>
      </c>
      <c r="V8" s="150"/>
      <c r="W8" s="294"/>
      <c r="X8" s="293"/>
    </row>
    <row r="9" spans="1:24" s="137" customFormat="1" ht="63">
      <c r="A9" s="136"/>
      <c r="B9" s="180" t="s">
        <v>78</v>
      </c>
      <c r="C9" s="318" t="s">
        <v>79</v>
      </c>
      <c r="D9" s="139"/>
      <c r="E9" s="169"/>
      <c r="F9" s="166"/>
      <c r="G9" s="393"/>
      <c r="H9" s="140"/>
      <c r="I9" s="141"/>
      <c r="J9" s="110" t="str">
        <f t="shared" si="0"/>
        <v/>
      </c>
      <c r="K9" s="104">
        <f t="shared" si="4"/>
        <v>0</v>
      </c>
      <c r="L9" s="104" t="b">
        <f t="shared" si="5"/>
        <v>0</v>
      </c>
      <c r="M9" s="104" t="b">
        <f t="shared" si="6"/>
        <v>0</v>
      </c>
      <c r="N9" s="104" t="b">
        <f t="shared" si="7"/>
        <v>0</v>
      </c>
      <c r="O9" s="104" t="b">
        <f t="shared" si="8"/>
        <v>0</v>
      </c>
      <c r="P9" s="104" t="b">
        <f t="shared" si="9"/>
        <v>0</v>
      </c>
      <c r="Q9" s="104" t="b">
        <f t="shared" si="10"/>
        <v>0</v>
      </c>
      <c r="R9" s="104" t="b">
        <f t="shared" si="11"/>
        <v>0</v>
      </c>
      <c r="S9" s="105" t="str">
        <f t="shared" si="1"/>
        <v/>
      </c>
      <c r="T9" s="106" t="str">
        <f t="shared" si="2"/>
        <v/>
      </c>
      <c r="U9" s="104" t="e">
        <f t="shared" si="3"/>
        <v>#VALUE!</v>
      </c>
      <c r="V9" s="150"/>
      <c r="W9" s="307"/>
      <c r="X9" s="299"/>
    </row>
    <row r="10" spans="1:24" ht="42">
      <c r="B10" s="180" t="s">
        <v>80</v>
      </c>
      <c r="C10" s="318" t="s">
        <v>81</v>
      </c>
      <c r="D10" s="139"/>
      <c r="E10" s="169"/>
      <c r="F10" s="166"/>
      <c r="G10" s="393"/>
      <c r="H10" s="140"/>
      <c r="I10" s="141"/>
      <c r="J10" s="110" t="str">
        <f t="shared" ref="J10" si="12">S10</f>
        <v/>
      </c>
      <c r="K10" s="104">
        <f t="shared" ref="K10" si="13">E10*10+F10</f>
        <v>0</v>
      </c>
      <c r="L10" s="104" t="b">
        <f t="shared" ref="L10" si="14">OR(K10=31)</f>
        <v>0</v>
      </c>
      <c r="M10" s="104" t="b">
        <f t="shared" ref="M10" si="15">OR(K10=21,K10=32)</f>
        <v>0</v>
      </c>
      <c r="N10" s="104" t="b">
        <f t="shared" ref="N10" si="16">OR(K10=22,K10=33)</f>
        <v>0</v>
      </c>
      <c r="O10" s="104" t="b">
        <f t="shared" ref="O10" si="17">OR(K10=11,K10=12)</f>
        <v>0</v>
      </c>
      <c r="P10" s="104" t="b">
        <f t="shared" ref="P10" si="18">OR(K10=23,K10=34)</f>
        <v>0</v>
      </c>
      <c r="Q10" s="104" t="b">
        <f t="shared" ref="Q10" si="19">OR(K10=13,K10=14,K10=24)</f>
        <v>0</v>
      </c>
      <c r="R10" s="104" t="b">
        <f t="shared" ref="R10" si="20">OR(K10=1,K10=2,K10=3,K10=4)</f>
        <v>0</v>
      </c>
      <c r="S10" s="105" t="str">
        <f t="shared" ref="S10" si="21">IF(COUNTA(E10:F10)&lt;2,"",(IF(L10=TRUE,$L$5,IF(M10=TRUE,$M$5,IF(N10=TRUE,$N$5,IF(O10=TRUE,$O$5,IF(P10=TRUE,$P$5,IF(Q10=TRUE,$Q$5,IF(R10=TRUE,$R$5,0)))))))))</f>
        <v/>
      </c>
      <c r="T10" s="106" t="str">
        <f t="shared" ref="T10" si="22">IF(COUNTA(E10:F10)&lt;2,"",(IF(L10=TRUE,6,IF(M10=TRUE,5,IF(N10=TRUE,4,IF(O10=TRUE,3,IF(P10=TRUE,2,IF(Q10=TRUE,1,IF(R10=TRUE,0,0)))))))))</f>
        <v/>
      </c>
      <c r="U10" s="104" t="e">
        <f t="shared" ref="U10" si="23">T10*10+H10</f>
        <v>#VALUE!</v>
      </c>
      <c r="V10" s="150"/>
      <c r="W10" s="307"/>
      <c r="X10" s="299"/>
    </row>
  </sheetData>
  <mergeCells count="8">
    <mergeCell ref="B2:G2"/>
    <mergeCell ref="B6:W6"/>
    <mergeCell ref="B3:W3"/>
    <mergeCell ref="B4:C5"/>
    <mergeCell ref="D4:E4"/>
    <mergeCell ref="F4:G4"/>
    <mergeCell ref="H4:I4"/>
    <mergeCell ref="V4:X4"/>
  </mergeCells>
  <phoneticPr fontId="42" type="noConversion"/>
  <conditionalFormatting sqref="A4 D7:D10 I7:I10">
    <cfRule type="expression" dxfId="197" priority="405">
      <formula>FIND("Agir",B4)</formula>
    </cfRule>
    <cfRule type="expression" dxfId="196" priority="406">
      <formula>FIND("Réagir",B4)</formula>
    </cfRule>
  </conditionalFormatting>
  <conditionalFormatting sqref="A4">
    <cfRule type="expression" dxfId="195" priority="404" stopIfTrue="1">
      <formula>ISTEXT(A4)</formula>
    </cfRule>
    <cfRule type="expression" dxfId="194" priority="403">
      <formula>FIND("Réagir",B4)</formula>
    </cfRule>
    <cfRule type="expression" dxfId="193" priority="402">
      <formula>FIND("Agir",B4)</formula>
    </cfRule>
    <cfRule type="expression" dxfId="192" priority="401" stopIfTrue="1">
      <formula>ISTEXT(A4)</formula>
    </cfRule>
    <cfRule type="expression" dxfId="191" priority="400">
      <formula>FIND("Réagir",B4)</formula>
    </cfRule>
    <cfRule type="expression" dxfId="190" priority="399">
      <formula>FIND("Agir",B4)</formula>
    </cfRule>
    <cfRule type="expression" dxfId="189" priority="398" stopIfTrue="1">
      <formula>ISTEXT(A4)</formula>
    </cfRule>
  </conditionalFormatting>
  <conditionalFormatting sqref="D7:D10">
    <cfRule type="expression" dxfId="188" priority="340" stopIfTrue="1">
      <formula>ISTEXT(D7)</formula>
    </cfRule>
    <cfRule type="expression" dxfId="187" priority="341">
      <formula>FIND("Conforter",F7)</formula>
    </cfRule>
  </conditionalFormatting>
  <conditionalFormatting sqref="D7:I10">
    <cfRule type="expression" dxfId="186" priority="393" stopIfTrue="1">
      <formula>ISTEXT(D7)</formula>
    </cfRule>
  </conditionalFormatting>
  <conditionalFormatting sqref="F7:H10">
    <cfRule type="expression" dxfId="185" priority="394">
      <formula>FIND("Conforter",I7)</formula>
    </cfRule>
  </conditionalFormatting>
  <conditionalFormatting sqref="G9:G10">
    <cfRule type="expression" dxfId="184" priority="383">
      <formula>FIND("Conforter",J9)</formula>
    </cfRule>
  </conditionalFormatting>
  <conditionalFormatting sqref="G7:H10">
    <cfRule type="expression" dxfId="183" priority="391">
      <formula>FIND("Agir",I7)</formula>
    </cfRule>
    <cfRule type="expression" dxfId="182" priority="390" stopIfTrue="1">
      <formula>ISTEXT(G7)</formula>
    </cfRule>
    <cfRule type="expression" dxfId="181" priority="392">
      <formula>FIND("Réagir",I7)</formula>
    </cfRule>
  </conditionalFormatting>
  <conditionalFormatting sqref="H7:H10">
    <cfRule type="expression" dxfId="180" priority="318">
      <formula>FIND("Conforter",J7)</formula>
    </cfRule>
  </conditionalFormatting>
  <conditionalFormatting sqref="H7:I10">
    <cfRule type="expression" dxfId="179" priority="317" stopIfTrue="1">
      <formula>ISTEXT(H7)</formula>
    </cfRule>
  </conditionalFormatting>
  <conditionalFormatting sqref="I7:I10">
    <cfRule type="expression" dxfId="178" priority="356">
      <formula>FIND("Réagir",J7)</formula>
    </cfRule>
    <cfRule type="expression" dxfId="177" priority="355">
      <formula>FIND("Agir",J7)</formula>
    </cfRule>
  </conditionalFormatting>
  <conditionalFormatting sqref="I9:I10 G9:G10">
    <cfRule type="expression" dxfId="176" priority="382" stopIfTrue="1">
      <formula>ISTEXT(G9)</formula>
    </cfRule>
  </conditionalFormatting>
  <conditionalFormatting sqref="I9:I10">
    <cfRule type="expression" dxfId="175" priority="385">
      <formula>FIND("Agir",J9)</formula>
    </cfRule>
    <cfRule type="expression" dxfId="174" priority="386">
      <formula>FIND("Réagir",J9)</formula>
    </cfRule>
  </conditionalFormatting>
  <conditionalFormatting sqref="J7:J10">
    <cfRule type="containsText" dxfId="173" priority="97" stopIfTrue="1" operator="containsText" text="Terme">
      <formula>NOT(ISERROR(SEARCH("Terme",J7)))</formula>
    </cfRule>
    <cfRule type="containsText" dxfId="172" priority="46" stopIfTrue="1" operator="containsText" text="Non Prioritaire">
      <formula>NOT(ISERROR(SEARCH("Non Prioritaire",J7)))</formula>
    </cfRule>
    <cfRule type="containsText" dxfId="171" priority="96" stopIfTrue="1" operator="containsText" text="Seconde">
      <formula>NOT(ISERROR(SEARCH("Seconde",J7)))</formula>
    </cfRule>
    <cfRule type="containsText" dxfId="170" priority="94" stopIfTrue="1" operator="containsText" text="Non">
      <formula>NOT(ISERROR(SEARCH("Non",J7)))</formula>
    </cfRule>
    <cfRule type="containsText" dxfId="169" priority="43" operator="containsText" text="Intervention prioritaire">
      <formula>NOT(ISERROR(SEARCH("Intervention prioritaire",J7)))</formula>
    </cfRule>
    <cfRule type="containsText" dxfId="168" priority="44" stopIfTrue="1" operator="containsText" text="Non pertinent">
      <formula>NOT(ISERROR(SEARCH("Non pertinent",J7)))</formula>
    </cfRule>
    <cfRule type="containsText" dxfId="167" priority="45" stopIfTrue="1" operator="containsText" text="consolidation">
      <formula>NOT(ISERROR(SEARCH("consolidation",J7)))</formula>
    </cfRule>
    <cfRule type="containsText" dxfId="166" priority="93" stopIfTrue="1" operator="containsText" text="long">
      <formula>NOT(ISERROR(SEARCH("long",J7)))</formula>
    </cfRule>
    <cfRule type="containsText" dxfId="165" priority="92" stopIfTrue="1" operator="containsText" text="moyen">
      <formula>NOT(ISERROR(SEARCH("moyen",J7)))</formula>
    </cfRule>
    <cfRule type="containsText" dxfId="164" priority="91" stopIfTrue="1" operator="containsText" text="Urgent">
      <formula>NOT(ISERROR(SEARCH("Urgent",J7)))</formula>
    </cfRule>
    <cfRule type="containsText" dxfId="163" priority="90" stopIfTrue="1" operator="containsText" text="Non Prioritaire">
      <formula>NOT(ISERROR(SEARCH("Non Prioritaire",J7)))</formula>
    </cfRule>
    <cfRule type="containsText" dxfId="162" priority="89" stopIfTrue="1" operator="containsText" text="consolidation">
      <formula>NOT(ISERROR(SEARCH("consolidation",J7)))</formula>
    </cfRule>
    <cfRule type="containsText" dxfId="161" priority="88" stopIfTrue="1" operator="containsText" text="Non pertinent">
      <formula>NOT(ISERROR(SEARCH("Non pertinent",J7)))</formula>
    </cfRule>
    <cfRule type="containsText" dxfId="160" priority="87" operator="containsText" text="Intervention prioritaire">
      <formula>NOT(ISERROR(SEARCH("Intervention prioritaire",J7)))</formula>
    </cfRule>
    <cfRule type="containsText" dxfId="159" priority="53" stopIfTrue="1" operator="containsText" text="Terme">
      <formula>NOT(ISERROR(SEARCH("Terme",J7)))</formula>
    </cfRule>
    <cfRule type="containsText" dxfId="158" priority="52" stopIfTrue="1" operator="containsText" text="Seconde">
      <formula>NOT(ISERROR(SEARCH("Seconde",J7)))</formula>
    </cfRule>
    <cfRule type="containsText" dxfId="157" priority="51" stopIfTrue="1" operator="containsText" text="Première">
      <formula>NOT(ISERROR(SEARCH("Première",J7)))</formula>
    </cfRule>
    <cfRule type="containsText" dxfId="156" priority="50" stopIfTrue="1" operator="containsText" text="Non">
      <formula>NOT(ISERROR(SEARCH("Non",J7)))</formula>
    </cfRule>
    <cfRule type="containsText" dxfId="155" priority="49" stopIfTrue="1" operator="containsText" text="long">
      <formula>NOT(ISERROR(SEARCH("long",J7)))</formula>
    </cfRule>
    <cfRule type="containsText" dxfId="154" priority="48" stopIfTrue="1" operator="containsText" text="moyen">
      <formula>NOT(ISERROR(SEARCH("moyen",J7)))</formula>
    </cfRule>
    <cfRule type="containsText" dxfId="153" priority="47" stopIfTrue="1" operator="containsText" text="Urgent">
      <formula>NOT(ISERROR(SEARCH("Urgent",J7)))</formula>
    </cfRule>
    <cfRule type="containsText" dxfId="152" priority="95" stopIfTrue="1" operator="containsText" text="Première">
      <formula>NOT(ISERROR(SEARCH("Première",J7)))</formula>
    </cfRule>
  </conditionalFormatting>
  <conditionalFormatting sqref="V4:V5 I5:J5">
    <cfRule type="containsText" dxfId="151" priority="9" stopIfTrue="1" operator="containsText" text="Terme">
      <formula>NOT(ISERROR(SEARCH("Terme",I4)))</formula>
    </cfRule>
    <cfRule type="containsText" dxfId="150" priority="8" stopIfTrue="1" operator="containsText" text="Seconde">
      <formula>NOT(ISERROR(SEARCH("Seconde",I4)))</formula>
    </cfRule>
    <cfRule type="containsText" dxfId="149" priority="7" stopIfTrue="1" operator="containsText" text="Première">
      <formula>NOT(ISERROR(SEARCH("Première",I4)))</formula>
    </cfRule>
  </conditionalFormatting>
  <conditionalFormatting sqref="V7:W10">
    <cfRule type="expression" dxfId="148" priority="280">
      <formula>FIND("Réagir",#REF!)</formula>
    </cfRule>
    <cfRule type="expression" dxfId="147" priority="279">
      <formula>FIND("Agir",#REF!)</formula>
    </cfRule>
    <cfRule type="expression" dxfId="146" priority="278" stopIfTrue="1">
      <formula>ISTEXT(V7)</formula>
    </cfRule>
  </conditionalFormatting>
  <conditionalFormatting sqref="W5:X5">
    <cfRule type="containsText" dxfId="145" priority="3" stopIfTrue="1" operator="containsText" text="Terme">
      <formula>NOT(ISERROR(SEARCH("Terme",W5)))</formula>
    </cfRule>
    <cfRule type="containsText" dxfId="144" priority="2" stopIfTrue="1" operator="containsText" text="Seconde">
      <formula>NOT(ISERROR(SEARCH("Seconde",W5)))</formula>
    </cfRule>
    <cfRule type="containsText" dxfId="143" priority="1" stopIfTrue="1" operator="containsText" text="Première">
      <formula>NOT(ISERROR(SEARCH("Première",W5)))</formula>
    </cfRule>
  </conditionalFormatting>
  <dataValidations count="4">
    <dataValidation type="list" allowBlank="1" showInputMessage="1" showErrorMessage="1" errorTitle="Valeur invalide" error="La valeur doit être contenue entre 1 et 4" promptTitle="Performance actuelle" prompt="Valeur comprise entre 1 et 4_x000a_Cette cible est :_x000a_1 - Pas du tout atteinte_x000a_2 - En partie atteinte_x000a_3 - En voie d'être atteinte_x000a_4 - Atteinte" sqref="F7:F10" xr:uid="{00000000-0002-0000-0600-000000000000}">
      <formula1>$M$1:$P$1</formula1>
    </dataValidation>
    <dataValidation type="list" allowBlank="1" showInputMessage="1" showErrorMessage="1" errorTitle="Valeur invalide" error="Les valeurs permises pour l'importance sont 0, 1, 2 ou 3" promptTitle="Importance de la cible" prompt="Valeur comprise entre 0 et 3_x000a_L'atteinte de cette cible est :_x000a_0 - Non applicable_x000a_1 - Peu important_x000a_2 - Important_x000a_3 - Très important" sqref="E7:E10" xr:uid="{00000000-0002-0000-0600-000001000000}">
      <formula1>$L$1:$O$1</formula1>
    </dataValidation>
    <dataValidation type="list" allowBlank="1" showInputMessage="1" showErrorMessage="1" errorTitle="Valeur invalide" error="La valeur doit être contenue entre 1 et 4" promptTitle="Compétences" prompt="Valeur comprise entre 1 et 3_x000a_Les compétences pour cette cible sont : _x000a_1 - Equipe TNRC_x000a_2 - Adhérent_x000a_3 - Intervention extérieure" sqref="H11:H17" xr:uid="{7BCC40B7-A8A2-2146-8F43-803B8C9CA8B7}">
      <formula1>$M$1:$O$1</formula1>
    </dataValidation>
    <dataValidation type="list" allowBlank="1" showInputMessage="1" showErrorMessage="1" errorTitle="Valeur invalide" error="La valeur doit être contenue entre 1 et 4" promptTitle="Compétences" prompt="Valeur comprise entre 1 et 4_x000a_Les compétences pour cette cible sont : _x000a_1 - Equipe NR / RSE_x000a_2 - NR + implication DSI_x000a_3 - NR + équipe hors DSI _x000a_3 - Intervention extérieure" sqref="H7:H10" xr:uid="{6286BE62-72E4-3440-A556-4B57E15761CC}">
      <formula1>$M$1:$O$1</formula1>
    </dataValidation>
  </dataValidation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8">
    <tabColor rgb="FF7030A0"/>
  </sheetPr>
  <dimension ref="A1:X12"/>
  <sheetViews>
    <sheetView zoomScale="80" zoomScaleNormal="80" workbookViewId="0">
      <selection activeCell="I5" sqref="I5"/>
    </sheetView>
  </sheetViews>
  <sheetFormatPr baseColWidth="10" defaultColWidth="10.6640625" defaultRowHeight="12"/>
  <cols>
    <col min="1" max="1" width="1.5" style="51" customWidth="1"/>
    <col min="2" max="2" width="4.5" style="54" customWidth="1"/>
    <col min="3" max="3" width="83" style="55" customWidth="1"/>
    <col min="4" max="4" width="96.83203125" style="56" customWidth="1"/>
    <col min="5" max="5" width="9.83203125" style="51" customWidth="1"/>
    <col min="6" max="6" width="9.83203125" style="57" customWidth="1"/>
    <col min="7" max="7" width="46" style="56" customWidth="1"/>
    <col min="8" max="8" width="8.83203125" style="56" customWidth="1"/>
    <col min="9" max="9" width="77.1640625" style="56" customWidth="1"/>
    <col min="10" max="10" width="20.6640625" style="56" customWidth="1"/>
    <col min="11" max="21" width="5.6640625" style="51" hidden="1" customWidth="1"/>
    <col min="22" max="22" width="78.6640625" style="56" customWidth="1"/>
    <col min="23" max="23" width="62.33203125" style="56" hidden="1" customWidth="1"/>
    <col min="24" max="24" width="64.83203125" style="51" hidden="1" customWidth="1"/>
    <col min="25" max="16384" width="10.6640625" style="51"/>
  </cols>
  <sheetData>
    <row r="1" spans="1:24" s="46" customFormat="1" ht="13" thickBot="1">
      <c r="B1" s="47"/>
      <c r="C1" s="48"/>
      <c r="D1" s="49"/>
      <c r="F1" s="50"/>
      <c r="G1" s="49"/>
      <c r="H1" s="49"/>
      <c r="I1" s="49"/>
      <c r="J1" s="49"/>
      <c r="L1" s="46">
        <v>0</v>
      </c>
      <c r="M1" s="46">
        <v>1</v>
      </c>
      <c r="N1" s="46">
        <v>2</v>
      </c>
      <c r="O1" s="46">
        <v>3</v>
      </c>
      <c r="P1" s="46">
        <v>4</v>
      </c>
      <c r="Q1" s="46">
        <v>5</v>
      </c>
      <c r="V1" s="49"/>
      <c r="W1" s="49"/>
    </row>
    <row r="2" spans="1:24" s="46" customFormat="1" ht="26" thickBot="1">
      <c r="B2" s="324" t="s">
        <v>82</v>
      </c>
      <c r="C2" s="325"/>
      <c r="D2" s="325"/>
      <c r="E2" s="325"/>
      <c r="F2" s="325"/>
      <c r="G2" s="326"/>
      <c r="H2" s="49"/>
      <c r="I2" s="49"/>
      <c r="J2" s="49"/>
      <c r="V2" s="49"/>
      <c r="W2" s="49"/>
    </row>
    <row r="3" spans="1:24" s="46" customFormat="1" ht="17" thickBot="1">
      <c r="B3" s="349"/>
      <c r="C3" s="350"/>
      <c r="D3" s="350"/>
      <c r="E3" s="350"/>
      <c r="F3" s="350"/>
      <c r="G3" s="350"/>
      <c r="H3" s="350"/>
      <c r="I3" s="350"/>
      <c r="J3" s="350"/>
      <c r="K3" s="350"/>
      <c r="L3" s="350"/>
      <c r="M3" s="350"/>
      <c r="N3" s="350"/>
      <c r="O3" s="350"/>
      <c r="P3" s="350"/>
      <c r="Q3" s="350"/>
      <c r="R3" s="350"/>
      <c r="S3" s="350"/>
      <c r="T3" s="350"/>
      <c r="U3" s="350"/>
      <c r="V3" s="350"/>
      <c r="W3" s="350"/>
      <c r="X3" s="350"/>
    </row>
    <row r="4" spans="1:24" ht="19">
      <c r="A4" s="46"/>
      <c r="B4" s="336"/>
      <c r="C4" s="337"/>
      <c r="D4" s="340" t="s">
        <v>11</v>
      </c>
      <c r="E4" s="341"/>
      <c r="F4" s="342" t="s">
        <v>12</v>
      </c>
      <c r="G4" s="343"/>
      <c r="H4" s="344" t="s">
        <v>13</v>
      </c>
      <c r="I4" s="345"/>
      <c r="J4" s="79" t="s">
        <v>14</v>
      </c>
      <c r="K4" s="80"/>
      <c r="L4" s="80"/>
      <c r="M4" s="80"/>
      <c r="N4" s="80"/>
      <c r="O4" s="80"/>
      <c r="P4" s="80"/>
      <c r="Q4" s="80"/>
      <c r="R4" s="80"/>
      <c r="S4" s="80"/>
      <c r="T4" s="80"/>
      <c r="U4" s="80"/>
      <c r="V4" s="351" t="s">
        <v>15</v>
      </c>
      <c r="W4" s="352"/>
      <c r="X4" s="352"/>
    </row>
    <row r="5" spans="1:24" s="53" customFormat="1" ht="220" thickBot="1">
      <c r="A5" s="52"/>
      <c r="B5" s="338"/>
      <c r="C5" s="339"/>
      <c r="D5" s="160" t="s">
        <v>16</v>
      </c>
      <c r="E5" s="161" t="s">
        <v>17</v>
      </c>
      <c r="F5" s="162" t="s">
        <v>18</v>
      </c>
      <c r="G5" s="163" t="s">
        <v>19</v>
      </c>
      <c r="H5" s="81" t="s">
        <v>134</v>
      </c>
      <c r="I5" s="82" t="s">
        <v>20</v>
      </c>
      <c r="J5" s="83" t="s">
        <v>21</v>
      </c>
      <c r="K5" s="84" t="s">
        <v>22</v>
      </c>
      <c r="L5" s="173" t="s">
        <v>23</v>
      </c>
      <c r="M5" s="174" t="s">
        <v>24</v>
      </c>
      <c r="N5" s="175" t="s">
        <v>25</v>
      </c>
      <c r="O5" s="176" t="s">
        <v>26</v>
      </c>
      <c r="P5" s="177" t="s">
        <v>27</v>
      </c>
      <c r="Q5" s="178" t="s">
        <v>28</v>
      </c>
      <c r="R5" s="179" t="s">
        <v>29</v>
      </c>
      <c r="S5" s="85" t="s">
        <v>30</v>
      </c>
      <c r="T5" s="85" t="s">
        <v>31</v>
      </c>
      <c r="U5" s="85" t="s">
        <v>32</v>
      </c>
      <c r="V5" s="86" t="s">
        <v>33</v>
      </c>
      <c r="W5" s="87"/>
      <c r="X5" s="291"/>
    </row>
    <row r="6" spans="1:24" s="60" customFormat="1" ht="18">
      <c r="A6" s="59"/>
      <c r="B6" s="353" t="s">
        <v>35</v>
      </c>
      <c r="C6" s="354"/>
      <c r="D6" s="330"/>
      <c r="E6" s="330"/>
      <c r="F6" s="330"/>
      <c r="G6" s="330"/>
      <c r="H6" s="330"/>
      <c r="I6" s="330"/>
      <c r="J6" s="330"/>
      <c r="K6" s="330"/>
      <c r="L6" s="330"/>
      <c r="M6" s="330"/>
      <c r="N6" s="330"/>
      <c r="O6" s="330"/>
      <c r="P6" s="330"/>
      <c r="Q6" s="330"/>
      <c r="R6" s="330"/>
      <c r="S6" s="330"/>
      <c r="T6" s="330"/>
      <c r="U6" s="330"/>
      <c r="V6" s="330"/>
      <c r="W6" s="355"/>
    </row>
    <row r="7" spans="1:24" s="137" customFormat="1" ht="43" thickBot="1">
      <c r="A7" s="136"/>
      <c r="B7" s="180" t="s">
        <v>83</v>
      </c>
      <c r="C7" s="318" t="s">
        <v>84</v>
      </c>
      <c r="D7" s="184"/>
      <c r="E7" s="169"/>
      <c r="F7" s="166"/>
      <c r="G7" s="393"/>
      <c r="H7" s="281"/>
      <c r="I7" s="141"/>
      <c r="J7" s="110" t="str">
        <f t="shared" ref="J7" si="0">S7</f>
        <v/>
      </c>
      <c r="K7" s="88">
        <f t="shared" ref="K7" si="1">E7*10+F7</f>
        <v>0</v>
      </c>
      <c r="L7" s="88" t="b">
        <f t="shared" ref="L7" si="2">OR(K7=31)</f>
        <v>0</v>
      </c>
      <c r="M7" s="88" t="b">
        <f t="shared" ref="M7" si="3">OR(K7=21,K7=32)</f>
        <v>0</v>
      </c>
      <c r="N7" s="88" t="b">
        <f t="shared" ref="N7" si="4">OR(K7=22,K7=33)</f>
        <v>0</v>
      </c>
      <c r="O7" s="88" t="b">
        <f t="shared" ref="O7" si="5">OR(K7=11,K7=12)</f>
        <v>0</v>
      </c>
      <c r="P7" s="88" t="b">
        <f t="shared" ref="P7" si="6">OR(K7=23,K7=34)</f>
        <v>0</v>
      </c>
      <c r="Q7" s="88" t="b">
        <f t="shared" ref="Q7" si="7">OR(K7=13,K7=14,K7=24)</f>
        <v>0</v>
      </c>
      <c r="R7" s="88" t="b">
        <f t="shared" ref="R7" si="8">OR(K7=1,K7=2,K7=3,K7=4)</f>
        <v>0</v>
      </c>
      <c r="S7" s="89" t="str">
        <f t="shared" ref="S7" si="9">IF(COUNTA(E7:F7)&lt;2,"",(IF(L7=TRUE,$L$5,IF(M7=TRUE,$M$5,IF(N7=TRUE,$N$5,IF(O7=TRUE,$O$5,IF(P7=TRUE,$P$5,IF(Q7=TRUE,$Q$5,IF(R7=TRUE,$R$5,0)))))))))</f>
        <v/>
      </c>
      <c r="T7" s="90" t="str">
        <f t="shared" ref="T7" si="10">IF(COUNTA(E7:F7)&lt;2,"",(IF(L7=TRUE,6,IF(M7=TRUE,5,IF(N7=TRUE,4,IF(O7=TRUE,3,IF(P7=TRUE,2,IF(Q7=TRUE,1,IF(R7=TRUE,0,0)))))))))</f>
        <v/>
      </c>
      <c r="U7" s="91" t="e">
        <f t="shared" ref="U7" si="11">T7*10+H7</f>
        <v>#VALUE!</v>
      </c>
      <c r="V7" s="150"/>
      <c r="W7" s="235"/>
      <c r="X7" s="299"/>
    </row>
    <row r="8" spans="1:24" s="137" customFormat="1" ht="64" thickBot="1">
      <c r="A8" s="136"/>
      <c r="B8" s="180" t="s">
        <v>85</v>
      </c>
      <c r="C8" s="318" t="s">
        <v>86</v>
      </c>
      <c r="D8" s="184"/>
      <c r="E8" s="169"/>
      <c r="F8" s="166"/>
      <c r="G8" s="393"/>
      <c r="H8" s="281"/>
      <c r="I8" s="141"/>
      <c r="J8" s="110" t="str">
        <f t="shared" ref="J8:J10" si="12">S8</f>
        <v/>
      </c>
      <c r="K8" s="88">
        <f t="shared" ref="K8:K10" si="13">E8*10+F8</f>
        <v>0</v>
      </c>
      <c r="L8" s="88" t="b">
        <f t="shared" ref="L8:L10" si="14">OR(K8=31)</f>
        <v>0</v>
      </c>
      <c r="M8" s="88" t="b">
        <f t="shared" ref="M8:M10" si="15">OR(K8=21,K8=32)</f>
        <v>0</v>
      </c>
      <c r="N8" s="88" t="b">
        <f t="shared" ref="N8:N10" si="16">OR(K8=22,K8=33)</f>
        <v>0</v>
      </c>
      <c r="O8" s="88" t="b">
        <f t="shared" ref="O8:O10" si="17">OR(K8=11,K8=12)</f>
        <v>0</v>
      </c>
      <c r="P8" s="88" t="b">
        <f t="shared" ref="P8:P10" si="18">OR(K8=23,K8=34)</f>
        <v>0</v>
      </c>
      <c r="Q8" s="88" t="b">
        <f t="shared" ref="Q8:Q10" si="19">OR(K8=13,K8=14,K8=24)</f>
        <v>0</v>
      </c>
      <c r="R8" s="88" t="b">
        <f t="shared" ref="R8:R10" si="20">OR(K8=1,K8=2,K8=3,K8=4)</f>
        <v>0</v>
      </c>
      <c r="S8" s="89" t="str">
        <f t="shared" ref="S8:S10" si="21">IF(COUNTA(E8:F8)&lt;2,"",(IF(L8=TRUE,$L$5,IF(M8=TRUE,$M$5,IF(N8=TRUE,$N$5,IF(O8=TRUE,$O$5,IF(P8=TRUE,$P$5,IF(Q8=TRUE,$Q$5,IF(R8=TRUE,$R$5,0)))))))))</f>
        <v/>
      </c>
      <c r="T8" s="90" t="str">
        <f t="shared" ref="T8:T10" si="22">IF(COUNTA(E8:F8)&lt;2,"",(IF(L8=TRUE,6,IF(M8=TRUE,5,IF(N8=TRUE,4,IF(O8=TRUE,3,IF(P8=TRUE,2,IF(Q8=TRUE,1,IF(R8=TRUE,0,0)))))))))</f>
        <v/>
      </c>
      <c r="U8" s="91" t="e">
        <f t="shared" ref="U8:U10" si="23">T8*10+H8</f>
        <v>#VALUE!</v>
      </c>
      <c r="V8" s="150"/>
      <c r="W8" s="235"/>
      <c r="X8" s="299"/>
    </row>
    <row r="9" spans="1:24" s="137" customFormat="1" ht="64" thickBot="1">
      <c r="A9" s="136"/>
      <c r="B9" s="180" t="s">
        <v>87</v>
      </c>
      <c r="C9" s="318" t="s">
        <v>88</v>
      </c>
      <c r="D9" s="184"/>
      <c r="E9" s="169"/>
      <c r="F9" s="166"/>
      <c r="G9" s="393"/>
      <c r="H9" s="281"/>
      <c r="I9" s="141"/>
      <c r="J9" s="110" t="str">
        <f t="shared" si="12"/>
        <v/>
      </c>
      <c r="K9" s="88">
        <f t="shared" si="13"/>
        <v>0</v>
      </c>
      <c r="L9" s="88" t="b">
        <f t="shared" si="14"/>
        <v>0</v>
      </c>
      <c r="M9" s="88" t="b">
        <f t="shared" si="15"/>
        <v>0</v>
      </c>
      <c r="N9" s="88" t="b">
        <f t="shared" si="16"/>
        <v>0</v>
      </c>
      <c r="O9" s="88" t="b">
        <f t="shared" si="17"/>
        <v>0</v>
      </c>
      <c r="P9" s="88" t="b">
        <f t="shared" si="18"/>
        <v>0</v>
      </c>
      <c r="Q9" s="88" t="b">
        <f t="shared" si="19"/>
        <v>0</v>
      </c>
      <c r="R9" s="88" t="b">
        <f t="shared" si="20"/>
        <v>0</v>
      </c>
      <c r="S9" s="89" t="str">
        <f t="shared" si="21"/>
        <v/>
      </c>
      <c r="T9" s="90" t="str">
        <f t="shared" si="22"/>
        <v/>
      </c>
      <c r="U9" s="91" t="e">
        <f t="shared" si="23"/>
        <v>#VALUE!</v>
      </c>
      <c r="V9" s="150"/>
      <c r="W9" s="235"/>
      <c r="X9" s="299"/>
    </row>
    <row r="10" spans="1:24" s="137" customFormat="1" ht="64" thickBot="1">
      <c r="A10" s="136"/>
      <c r="B10" s="180" t="s">
        <v>89</v>
      </c>
      <c r="C10" s="318" t="s">
        <v>90</v>
      </c>
      <c r="D10" s="184"/>
      <c r="E10" s="169"/>
      <c r="F10" s="166"/>
      <c r="G10" s="393"/>
      <c r="H10" s="281"/>
      <c r="I10" s="141"/>
      <c r="J10" s="110" t="str">
        <f t="shared" si="12"/>
        <v/>
      </c>
      <c r="K10" s="88">
        <f t="shared" si="13"/>
        <v>0</v>
      </c>
      <c r="L10" s="88" t="b">
        <f t="shared" si="14"/>
        <v>0</v>
      </c>
      <c r="M10" s="88" t="b">
        <f t="shared" si="15"/>
        <v>0</v>
      </c>
      <c r="N10" s="88" t="b">
        <f t="shared" si="16"/>
        <v>0</v>
      </c>
      <c r="O10" s="88" t="b">
        <f t="shared" si="17"/>
        <v>0</v>
      </c>
      <c r="P10" s="88" t="b">
        <f t="shared" si="18"/>
        <v>0</v>
      </c>
      <c r="Q10" s="88" t="b">
        <f t="shared" si="19"/>
        <v>0</v>
      </c>
      <c r="R10" s="88" t="b">
        <f t="shared" si="20"/>
        <v>0</v>
      </c>
      <c r="S10" s="89" t="str">
        <f t="shared" si="21"/>
        <v/>
      </c>
      <c r="T10" s="90" t="str">
        <f t="shared" si="22"/>
        <v/>
      </c>
      <c r="U10" s="91" t="e">
        <f t="shared" si="23"/>
        <v>#VALUE!</v>
      </c>
      <c r="V10" s="150"/>
      <c r="W10" s="235"/>
      <c r="X10" s="299"/>
    </row>
    <row r="11" spans="1:24" s="137" customFormat="1" ht="22" thickBot="1">
      <c r="A11" s="136"/>
      <c r="B11" s="180" t="s">
        <v>91</v>
      </c>
      <c r="C11" s="318" t="s">
        <v>92</v>
      </c>
      <c r="D11" s="184"/>
      <c r="E11" s="169"/>
      <c r="F11" s="166"/>
      <c r="G11" s="393"/>
      <c r="H11" s="281"/>
      <c r="I11" s="141"/>
      <c r="J11" s="110" t="str">
        <f t="shared" ref="J11:J12" si="24">S11</f>
        <v/>
      </c>
      <c r="K11" s="88">
        <f t="shared" ref="K11:K12" si="25">E11*10+F11</f>
        <v>0</v>
      </c>
      <c r="L11" s="88" t="b">
        <f t="shared" ref="L11:L12" si="26">OR(K11=31)</f>
        <v>0</v>
      </c>
      <c r="M11" s="88" t="b">
        <f t="shared" ref="M11:M12" si="27">OR(K11=21,K11=32)</f>
        <v>0</v>
      </c>
      <c r="N11" s="88" t="b">
        <f t="shared" ref="N11:N12" si="28">OR(K11=22,K11=33)</f>
        <v>0</v>
      </c>
      <c r="O11" s="88" t="b">
        <f t="shared" ref="O11:O12" si="29">OR(K11=11,K11=12)</f>
        <v>0</v>
      </c>
      <c r="P11" s="88" t="b">
        <f t="shared" ref="P11:P12" si="30">OR(K11=23,K11=34)</f>
        <v>0</v>
      </c>
      <c r="Q11" s="88" t="b">
        <f t="shared" ref="Q11:Q12" si="31">OR(K11=13,K11=14,K11=24)</f>
        <v>0</v>
      </c>
      <c r="R11" s="88" t="b">
        <f t="shared" ref="R11:R12" si="32">OR(K11=1,K11=2,K11=3,K11=4)</f>
        <v>0</v>
      </c>
      <c r="S11" s="89" t="str">
        <f t="shared" ref="S11:S12" si="33">IF(COUNTA(E11:F11)&lt;2,"",(IF(L11=TRUE,$L$5,IF(M11=TRUE,$M$5,IF(N11=TRUE,$N$5,IF(O11=TRUE,$O$5,IF(P11=TRUE,$P$5,IF(Q11=TRUE,$Q$5,IF(R11=TRUE,$R$5,0)))))))))</f>
        <v/>
      </c>
      <c r="T11" s="90" t="str">
        <f t="shared" ref="T11:T12" si="34">IF(COUNTA(E11:F11)&lt;2,"",(IF(L11=TRUE,6,IF(M11=TRUE,5,IF(N11=TRUE,4,IF(O11=TRUE,3,IF(P11=TRUE,2,IF(Q11=TRUE,1,IF(R11=TRUE,0,0)))))))))</f>
        <v/>
      </c>
      <c r="U11" s="91" t="e">
        <f t="shared" ref="U11:U12" si="35">T11*10+H11</f>
        <v>#VALUE!</v>
      </c>
      <c r="V11" s="150"/>
      <c r="W11" s="235"/>
      <c r="X11" s="299"/>
    </row>
    <row r="12" spans="1:24" s="138" customFormat="1" ht="43" thickBot="1">
      <c r="A12" s="136"/>
      <c r="B12" s="180" t="s">
        <v>93</v>
      </c>
      <c r="C12" s="318" t="s">
        <v>94</v>
      </c>
      <c r="D12" s="184"/>
      <c r="E12" s="169"/>
      <c r="F12" s="166"/>
      <c r="G12" s="393"/>
      <c r="H12" s="281"/>
      <c r="I12" s="141"/>
      <c r="J12" s="110" t="str">
        <f t="shared" si="24"/>
        <v/>
      </c>
      <c r="K12" s="88">
        <f t="shared" si="25"/>
        <v>0</v>
      </c>
      <c r="L12" s="88" t="b">
        <f t="shared" si="26"/>
        <v>0</v>
      </c>
      <c r="M12" s="88" t="b">
        <f t="shared" si="27"/>
        <v>0</v>
      </c>
      <c r="N12" s="88" t="b">
        <f t="shared" si="28"/>
        <v>0</v>
      </c>
      <c r="O12" s="88" t="b">
        <f t="shared" si="29"/>
        <v>0</v>
      </c>
      <c r="P12" s="88" t="b">
        <f t="shared" si="30"/>
        <v>0</v>
      </c>
      <c r="Q12" s="88" t="b">
        <f t="shared" si="31"/>
        <v>0</v>
      </c>
      <c r="R12" s="88" t="b">
        <f t="shared" si="32"/>
        <v>0</v>
      </c>
      <c r="S12" s="89" t="str">
        <f t="shared" si="33"/>
        <v/>
      </c>
      <c r="T12" s="90" t="str">
        <f t="shared" si="34"/>
        <v/>
      </c>
      <c r="U12" s="91" t="e">
        <f t="shared" si="35"/>
        <v>#VALUE!</v>
      </c>
      <c r="V12" s="150"/>
      <c r="W12" s="252"/>
      <c r="X12" s="300"/>
    </row>
  </sheetData>
  <dataConsolidate/>
  <mergeCells count="8">
    <mergeCell ref="B2:G2"/>
    <mergeCell ref="B6:W6"/>
    <mergeCell ref="B4:C5"/>
    <mergeCell ref="D4:E4"/>
    <mergeCell ref="F4:G4"/>
    <mergeCell ref="H4:I4"/>
    <mergeCell ref="V4:X4"/>
    <mergeCell ref="B3:X3"/>
  </mergeCells>
  <phoneticPr fontId="42" type="noConversion"/>
  <conditionalFormatting sqref="A4 D7:D12 I7:I12">
    <cfRule type="expression" dxfId="142" priority="313">
      <formula>FIND("Réagir",B4)</formula>
    </cfRule>
    <cfRule type="expression" dxfId="141" priority="312">
      <formula>FIND("Agir",B4)</formula>
    </cfRule>
  </conditionalFormatting>
  <conditionalFormatting sqref="A4 I7:I12">
    <cfRule type="expression" dxfId="140" priority="311" stopIfTrue="1">
      <formula>ISTEXT(A4)</formula>
    </cfRule>
  </conditionalFormatting>
  <conditionalFormatting sqref="A4">
    <cfRule type="expression" dxfId="139" priority="310">
      <formula>FIND("Réagir",B4)</formula>
    </cfRule>
    <cfRule type="expression" dxfId="138" priority="309">
      <formula>FIND("Agir",B4)</formula>
    </cfRule>
    <cfRule type="expression" dxfId="137" priority="308" stopIfTrue="1">
      <formula>ISTEXT(A4)</formula>
    </cfRule>
    <cfRule type="expression" dxfId="136" priority="307">
      <formula>FIND("Réagir",B4)</formula>
    </cfRule>
    <cfRule type="expression" dxfId="135" priority="306">
      <formula>FIND("Agir",B4)</formula>
    </cfRule>
    <cfRule type="expression" dxfId="134" priority="305" stopIfTrue="1">
      <formula>ISTEXT(A4)</formula>
    </cfRule>
  </conditionalFormatting>
  <conditionalFormatting sqref="D7:D12">
    <cfRule type="expression" dxfId="133" priority="247" stopIfTrue="1">
      <formula>ISTEXT(D7)</formula>
    </cfRule>
    <cfRule type="expression" dxfId="132" priority="248">
      <formula>FIND("Conforter",F7)</formula>
    </cfRule>
  </conditionalFormatting>
  <conditionalFormatting sqref="D7:G12">
    <cfRule type="expression" dxfId="131" priority="300" stopIfTrue="1">
      <formula>ISTEXT(D7)</formula>
    </cfRule>
  </conditionalFormatting>
  <conditionalFormatting sqref="F7:G12">
    <cfRule type="expression" dxfId="130" priority="301">
      <formula>FIND("Conforter",I7)</formula>
    </cfRule>
  </conditionalFormatting>
  <conditionalFormatting sqref="G7:G12">
    <cfRule type="expression" dxfId="129" priority="7" stopIfTrue="1">
      <formula>ISTEXT(G7)</formula>
    </cfRule>
    <cfRule type="expression" dxfId="128" priority="299">
      <formula>FIND("Réagir",I7)</formula>
    </cfRule>
    <cfRule type="expression" dxfId="127" priority="298">
      <formula>FIND("Agir",I7)</formula>
    </cfRule>
  </conditionalFormatting>
  <conditionalFormatting sqref="I7:I10">
    <cfRule type="expression" dxfId="126" priority="262">
      <formula>FIND("Agir",J7)</formula>
    </cfRule>
    <cfRule type="expression" dxfId="125" priority="261" stopIfTrue="1">
      <formula>ISTEXT(I7)</formula>
    </cfRule>
    <cfRule type="expression" dxfId="124" priority="263">
      <formula>FIND("Réagir",J7)</formula>
    </cfRule>
  </conditionalFormatting>
  <conditionalFormatting sqref="I11:I12">
    <cfRule type="expression" dxfId="123" priority="269" stopIfTrue="1">
      <formula>ISTEXT(I11)</formula>
    </cfRule>
  </conditionalFormatting>
  <conditionalFormatting sqref="I7:J7 J8:J10 I11:J12 V7:W12">
    <cfRule type="containsText" dxfId="122" priority="302" stopIfTrue="1" operator="containsText" text="Première">
      <formula>NOT(ISERROR(SEARCH("Première",I7)))</formula>
    </cfRule>
  </conditionalFormatting>
  <conditionalFormatting sqref="I7:J7 V7:W12 J8:J10 I11:J12">
    <cfRule type="containsText" dxfId="121" priority="303" stopIfTrue="1" operator="containsText" text="Seconde">
      <formula>NOT(ISERROR(SEARCH("Seconde",I7)))</formula>
    </cfRule>
    <cfRule type="containsText" dxfId="120" priority="304" stopIfTrue="1" operator="containsText" text="Terme">
      <formula>NOT(ISERROR(SEARCH("Terme",I7)))</formula>
    </cfRule>
  </conditionalFormatting>
  <conditionalFormatting sqref="J7:J12">
    <cfRule type="containsText" dxfId="119" priority="259" stopIfTrue="1" operator="containsText" text="moyen">
      <formula>NOT(ISERROR(SEARCH("moyen",J7)))</formula>
    </cfRule>
    <cfRule type="containsText" dxfId="118" priority="260" stopIfTrue="1" operator="containsText" text="long">
      <formula>NOT(ISERROR(SEARCH("long",J7)))</formula>
    </cfRule>
    <cfRule type="containsText" dxfId="117" priority="258" stopIfTrue="1" operator="containsText" text="Urgent">
      <formula>NOT(ISERROR(SEARCH("Urgent",J7)))</formula>
    </cfRule>
    <cfRule type="containsText" dxfId="116" priority="294" stopIfTrue="1" operator="containsText" text="Non">
      <formula>NOT(ISERROR(SEARCH("Non",J7)))</formula>
    </cfRule>
    <cfRule type="containsText" dxfId="115" priority="257" stopIfTrue="1" operator="containsText" text="Non Prioritaire">
      <formula>NOT(ISERROR(SEARCH("Non Prioritaire",J7)))</formula>
    </cfRule>
    <cfRule type="containsText" dxfId="114" priority="256" stopIfTrue="1" operator="containsText" text="consolidation">
      <formula>NOT(ISERROR(SEARCH("consolidation",J7)))</formula>
    </cfRule>
    <cfRule type="containsText" dxfId="113" priority="255" stopIfTrue="1" operator="containsText" text="Non pertinent">
      <formula>NOT(ISERROR(SEARCH("Non pertinent",J7)))</formula>
    </cfRule>
    <cfRule type="containsText" dxfId="112" priority="254" operator="containsText" text="Intervention prioritaire">
      <formula>NOT(ISERROR(SEARCH("Intervention prioritaire",J7)))</formula>
    </cfRule>
  </conditionalFormatting>
  <conditionalFormatting sqref="V4 I5:J5">
    <cfRule type="containsText" dxfId="111" priority="20" stopIfTrue="1" operator="containsText" text="Terme">
      <formula>NOT(ISERROR(SEARCH("Terme",I4)))</formula>
    </cfRule>
    <cfRule type="containsText" dxfId="110" priority="19" stopIfTrue="1" operator="containsText" text="Seconde">
      <formula>NOT(ISERROR(SEARCH("Seconde",I4)))</formula>
    </cfRule>
    <cfRule type="containsText" dxfId="109" priority="18" stopIfTrue="1" operator="containsText" text="Première">
      <formula>NOT(ISERROR(SEARCH("Première",I4)))</formula>
    </cfRule>
  </conditionalFormatting>
  <conditionalFormatting sqref="V7:W12">
    <cfRule type="expression" dxfId="108" priority="187">
      <formula>FIND("Réagir",#REF!)</formula>
    </cfRule>
    <cfRule type="expression" dxfId="107" priority="186">
      <formula>FIND("Agir",#REF!)</formula>
    </cfRule>
    <cfRule type="expression" dxfId="106" priority="185" stopIfTrue="1">
      <formula>ISTEXT(V7)</formula>
    </cfRule>
  </conditionalFormatting>
  <conditionalFormatting sqref="V5:X5">
    <cfRule type="containsText" dxfId="105" priority="6" stopIfTrue="1" operator="containsText" text="Terme">
      <formula>NOT(ISERROR(SEARCH("Terme",V5)))</formula>
    </cfRule>
    <cfRule type="containsText" dxfId="104" priority="5" stopIfTrue="1" operator="containsText" text="Seconde">
      <formula>NOT(ISERROR(SEARCH("Seconde",V5)))</formula>
    </cfRule>
    <cfRule type="containsText" dxfId="103" priority="4" stopIfTrue="1" operator="containsText" text="Première">
      <formula>NOT(ISERROR(SEARCH("Première",V5)))</formula>
    </cfRule>
  </conditionalFormatting>
  <conditionalFormatting sqref="I8:I10">
    <cfRule type="containsText" dxfId="6" priority="1" stopIfTrue="1" operator="containsText" text="Première">
      <formula>NOT(ISERROR(SEARCH("Première",I8)))</formula>
    </cfRule>
  </conditionalFormatting>
  <conditionalFormatting sqref="I8:I10">
    <cfRule type="containsText" dxfId="5" priority="2" stopIfTrue="1" operator="containsText" text="Seconde">
      <formula>NOT(ISERROR(SEARCH("Seconde",I8)))</formula>
    </cfRule>
    <cfRule type="containsText" dxfId="4" priority="3" stopIfTrue="1" operator="containsText" text="Terme">
      <formula>NOT(ISERROR(SEARCH("Terme",I8)))</formula>
    </cfRule>
  </conditionalFormatting>
  <dataValidations count="3">
    <dataValidation type="list" allowBlank="1" showInputMessage="1" showErrorMessage="1" errorTitle="Valeur invalide" error="La valeur doit être contenue entre 1 et 4" promptTitle="Performance actuelle" prompt="Valeur comprise entre 1 et 4_x000a_Cette cible est :_x000a_1 - Pas du tout atteinte_x000a_2 - En partie atteinte_x000a_3 - En voie d'être atteinte_x000a_4 - Atteinte" sqref="F7:F12" xr:uid="{00000000-0002-0000-0700-000000000000}">
      <formula1>$M$1:$P$1</formula1>
    </dataValidation>
    <dataValidation type="list" allowBlank="1" showInputMessage="1" showErrorMessage="1" errorTitle="Valeur invalide" error="Les valeurs permises pour l'importance sont 0, 1, 2 ou 3" promptTitle="Importance de la cible" prompt="Valeur comprise entre 0 et 3_x000a_L'atteinte de cette cible est :_x000a_0 - Non applicable_x000a_1 - Peu important_x000a_2 - Important_x000a_3 - Très important" sqref="E7:E12" xr:uid="{00000000-0002-0000-0700-000001000000}">
      <formula1>$L$1:$O$1</formula1>
    </dataValidation>
    <dataValidation type="list" allowBlank="1" showInputMessage="1" showErrorMessage="1" errorTitle="Valeur invalide" error="La valeur doit être contenue entre 1 et 4" promptTitle="Compétences TNRC" prompt="Valeur comprise entre 1 et 4_x000a_Les compétences pour cette cible sont : _x000a_1 - Equipe NR / RSE_x000a_2 - NR + implication DSI_x000a_3 - NR + équipe hors DSI _x000a_3 - Intervention extérieure" sqref="H7:H12" xr:uid="{502B5581-3061-DF4F-8F38-86706775CF63}">
      <formula1>$M$1:$O$1</formula1>
    </dataValidation>
  </dataValidations>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Feuil9"/>
  <dimension ref="A1:K14"/>
  <sheetViews>
    <sheetView workbookViewId="0">
      <selection activeCell="D5" sqref="D5"/>
    </sheetView>
  </sheetViews>
  <sheetFormatPr baseColWidth="10" defaultColWidth="11.5" defaultRowHeight="21"/>
  <cols>
    <col min="1" max="1" width="6.5" customWidth="1"/>
    <col min="2" max="2" width="12.33203125" style="23" customWidth="1"/>
    <col min="3" max="6" width="12.33203125" customWidth="1"/>
    <col min="7" max="7" width="5.33203125" customWidth="1"/>
    <col min="8" max="9" width="17.5" customWidth="1"/>
  </cols>
  <sheetData>
    <row r="1" spans="1:11">
      <c r="A1" s="1"/>
      <c r="B1" s="2"/>
      <c r="C1" s="1"/>
      <c r="D1" s="1"/>
      <c r="E1" s="1"/>
      <c r="F1" s="1"/>
      <c r="G1" s="1"/>
      <c r="H1" s="1"/>
      <c r="I1" s="1"/>
      <c r="J1" s="1"/>
      <c r="K1" s="1"/>
    </row>
    <row r="2" spans="1:11" ht="26">
      <c r="A2" s="1"/>
      <c r="B2" s="357" t="s">
        <v>95</v>
      </c>
      <c r="C2" s="357"/>
      <c r="D2" s="357"/>
      <c r="E2" s="357"/>
      <c r="F2" s="357"/>
      <c r="G2" s="1"/>
      <c r="H2" s="1"/>
      <c r="I2" s="1"/>
      <c r="J2" s="1"/>
      <c r="K2" s="1"/>
    </row>
    <row r="3" spans="1:11" ht="22" thickBot="1">
      <c r="A3" s="1"/>
      <c r="B3" s="2"/>
      <c r="C3" s="1"/>
      <c r="D3" s="1"/>
      <c r="E3" s="1"/>
      <c r="F3" s="1"/>
      <c r="G3" s="1"/>
      <c r="H3" s="1"/>
      <c r="I3" s="1"/>
      <c r="J3" s="1"/>
      <c r="K3" s="1"/>
    </row>
    <row r="4" spans="1:11" ht="59.25" customHeight="1">
      <c r="A4" s="358" t="s">
        <v>11</v>
      </c>
      <c r="B4" s="3">
        <v>3</v>
      </c>
      <c r="C4" s="4"/>
      <c r="D4" s="26"/>
      <c r="E4" s="5"/>
      <c r="F4" s="6"/>
      <c r="G4" s="7"/>
      <c r="H4" s="8" t="s">
        <v>23</v>
      </c>
      <c r="I4" s="9" t="s">
        <v>27</v>
      </c>
      <c r="J4" s="1"/>
      <c r="K4" s="1"/>
    </row>
    <row r="5" spans="1:11" ht="59.25" customHeight="1">
      <c r="A5" s="358"/>
      <c r="B5" s="10">
        <v>2</v>
      </c>
      <c r="C5" s="28"/>
      <c r="D5" s="11"/>
      <c r="E5" s="30"/>
      <c r="F5" s="13"/>
      <c r="G5" s="7"/>
      <c r="H5" s="27" t="s">
        <v>24</v>
      </c>
      <c r="I5" s="15" t="s">
        <v>28</v>
      </c>
      <c r="J5" s="1"/>
      <c r="K5" s="1"/>
    </row>
    <row r="6" spans="1:11" ht="59.25" customHeight="1">
      <c r="A6" s="358"/>
      <c r="B6" s="10">
        <v>1</v>
      </c>
      <c r="C6" s="29"/>
      <c r="D6" s="12"/>
      <c r="E6" s="16"/>
      <c r="F6" s="13"/>
      <c r="G6" s="7"/>
      <c r="H6" s="14" t="s">
        <v>25</v>
      </c>
      <c r="I6" s="18" t="s">
        <v>29</v>
      </c>
      <c r="J6" s="1"/>
      <c r="K6" s="1"/>
    </row>
    <row r="7" spans="1:11" ht="59.25" customHeight="1">
      <c r="A7" s="358"/>
      <c r="B7" s="19">
        <v>0</v>
      </c>
      <c r="C7" s="20"/>
      <c r="D7" s="21"/>
      <c r="E7" s="21"/>
      <c r="F7" s="22"/>
      <c r="G7" s="7"/>
      <c r="H7" s="17" t="s">
        <v>26</v>
      </c>
      <c r="J7" s="1"/>
      <c r="K7" s="1"/>
    </row>
    <row r="8" spans="1:11" ht="25.5" customHeight="1" thickBot="1">
      <c r="A8" s="1"/>
      <c r="C8" s="24">
        <v>1</v>
      </c>
      <c r="D8" s="24">
        <v>2</v>
      </c>
      <c r="E8" s="24">
        <v>3</v>
      </c>
      <c r="F8" s="25">
        <v>4</v>
      </c>
      <c r="G8" s="1"/>
      <c r="H8" s="1"/>
      <c r="I8" s="1"/>
      <c r="J8" s="1"/>
      <c r="K8" s="1"/>
    </row>
    <row r="9" spans="1:11" ht="25.5" customHeight="1">
      <c r="A9" s="1"/>
      <c r="B9" s="2"/>
      <c r="C9" s="359" t="s">
        <v>96</v>
      </c>
      <c r="D9" s="359"/>
      <c r="E9" s="359"/>
      <c r="F9" s="359"/>
      <c r="G9" s="1"/>
      <c r="H9" s="1"/>
      <c r="I9" s="1"/>
      <c r="J9" s="1"/>
      <c r="K9" s="1"/>
    </row>
    <row r="10" spans="1:11">
      <c r="A10" s="1"/>
      <c r="B10" s="2"/>
      <c r="C10" s="1"/>
      <c r="D10" s="1"/>
      <c r="E10" s="1"/>
      <c r="F10" s="1"/>
      <c r="G10" s="1"/>
      <c r="H10" s="1"/>
      <c r="I10" s="1"/>
      <c r="J10" s="1"/>
    </row>
    <row r="11" spans="1:11">
      <c r="A11" s="1"/>
      <c r="B11" s="2"/>
      <c r="F11" s="1"/>
      <c r="G11" s="1"/>
      <c r="H11" s="1"/>
      <c r="I11" s="1"/>
      <c r="J11" s="1"/>
    </row>
    <row r="12" spans="1:11">
      <c r="A12" s="1"/>
      <c r="B12" s="2"/>
      <c r="C12" s="1"/>
      <c r="D12" s="1"/>
      <c r="E12" s="1"/>
      <c r="F12" s="1"/>
      <c r="G12" s="1"/>
      <c r="H12" s="1"/>
      <c r="I12" s="1"/>
      <c r="J12" s="1"/>
    </row>
    <row r="13" spans="1:11">
      <c r="A13" s="1"/>
      <c r="B13" s="2"/>
      <c r="C13" s="1"/>
      <c r="D13" s="1"/>
      <c r="E13" s="1"/>
      <c r="F13" s="1"/>
      <c r="G13" s="1"/>
      <c r="H13" s="1"/>
      <c r="I13" s="1"/>
      <c r="J13" s="1"/>
    </row>
    <row r="14" spans="1:11">
      <c r="A14" s="1"/>
      <c r="B14" s="2"/>
      <c r="C14" s="1"/>
      <c r="D14" s="1"/>
      <c r="E14" s="1"/>
      <c r="G14" s="1"/>
      <c r="I14" s="1"/>
      <c r="J14" s="1"/>
    </row>
  </sheetData>
  <mergeCells count="3">
    <mergeCell ref="B2:F2"/>
    <mergeCell ref="A4:A7"/>
    <mergeCell ref="C9:F9"/>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Feuil10">
    <pageSetUpPr fitToPage="1"/>
  </sheetPr>
  <dimension ref="A1:AL36"/>
  <sheetViews>
    <sheetView zoomScale="50" zoomScaleNormal="50" workbookViewId="0">
      <selection activeCell="W61" sqref="W61"/>
    </sheetView>
  </sheetViews>
  <sheetFormatPr baseColWidth="10" defaultColWidth="10.6640625" defaultRowHeight="12"/>
  <cols>
    <col min="1" max="1" width="1.5" style="57" customWidth="1"/>
    <col min="2" max="2" width="8.5" style="54" customWidth="1"/>
    <col min="3" max="3" width="83" style="222" customWidth="1"/>
    <col min="4" max="4" width="99.1640625" style="57" bestFit="1" customWidth="1"/>
    <col min="5" max="6" width="9.83203125" style="57" customWidth="1"/>
    <col min="7" max="7" width="46" style="57" hidden="1" customWidth="1"/>
    <col min="8" max="8" width="8.83203125" style="57" customWidth="1"/>
    <col min="9" max="9" width="45.6640625" style="57" bestFit="1" customWidth="1"/>
    <col min="10" max="10" width="20.6640625" style="57" customWidth="1"/>
    <col min="11" max="11" width="5.6640625" style="57" customWidth="1"/>
    <col min="12" max="15" width="7.6640625" style="57" bestFit="1" customWidth="1"/>
    <col min="16" max="16" width="7.83203125" style="57" bestFit="1" customWidth="1"/>
    <col min="17" max="18" width="7.6640625" style="57" bestFit="1" customWidth="1"/>
    <col min="19" max="21" width="5.6640625" style="57" customWidth="1"/>
    <col min="22" max="22" width="69.83203125" style="57" customWidth="1"/>
    <col min="23" max="24" width="45.6640625" style="57" customWidth="1"/>
    <col min="25" max="25" width="58.1640625" style="57" customWidth="1"/>
    <col min="26" max="26" width="99.1640625" style="57" bestFit="1" customWidth="1"/>
    <col min="27" max="27" width="10.6640625" style="57"/>
    <col min="28" max="39" width="10.6640625" style="57" customWidth="1"/>
    <col min="40" max="16384" width="10.6640625" style="57"/>
  </cols>
  <sheetData>
    <row r="1" spans="1:38" s="50" customFormat="1" ht="13" thickBot="1">
      <c r="B1" s="47"/>
      <c r="C1" s="217"/>
      <c r="L1" s="50">
        <v>0</v>
      </c>
      <c r="M1" s="50">
        <v>1</v>
      </c>
      <c r="N1" s="50">
        <v>2</v>
      </c>
      <c r="O1" s="50">
        <v>3</v>
      </c>
      <c r="P1" s="50">
        <v>4</v>
      </c>
      <c r="Q1" s="50">
        <v>5</v>
      </c>
    </row>
    <row r="2" spans="1:38" ht="16">
      <c r="A2" s="50"/>
      <c r="B2" s="365" t="s">
        <v>97</v>
      </c>
      <c r="C2" s="366"/>
      <c r="D2" s="369"/>
      <c r="E2" s="370"/>
      <c r="F2" s="371"/>
      <c r="G2" s="372"/>
      <c r="H2" s="373"/>
      <c r="I2" s="374"/>
      <c r="J2" s="111"/>
      <c r="K2" s="112"/>
      <c r="L2" s="112"/>
      <c r="M2" s="112"/>
      <c r="N2" s="112"/>
      <c r="O2" s="112"/>
      <c r="P2" s="112"/>
      <c r="Q2" s="112"/>
      <c r="R2" s="112"/>
      <c r="S2" s="112"/>
      <c r="T2" s="112"/>
      <c r="U2" s="112"/>
      <c r="V2" s="375" t="s">
        <v>98</v>
      </c>
      <c r="W2" s="376"/>
      <c r="X2" s="377"/>
      <c r="Y2" s="363" t="s">
        <v>99</v>
      </c>
      <c r="Z2" s="364"/>
    </row>
    <row r="3" spans="1:38" s="114" customFormat="1" ht="218" thickBot="1">
      <c r="A3" s="113"/>
      <c r="B3" s="367"/>
      <c r="C3" s="368"/>
      <c r="D3" s="265" t="s">
        <v>100</v>
      </c>
      <c r="E3" s="266" t="str">
        <f>'ONR 1'!E5</f>
        <v>Importance de la cible (Objectifs de TNRC)</v>
      </c>
      <c r="F3" s="273" t="str">
        <f>'ONR 1'!F5</f>
        <v>Performance actuelle évaluée (Expérimentations)</v>
      </c>
      <c r="G3" s="120" t="str">
        <f>'ONR 1'!G5</f>
        <v>Documentation de la performance actuelle et description des mesures déjà en place ( Analyse des expérimentations à date )</v>
      </c>
      <c r="H3" s="121" t="str">
        <f>'ONR 1'!H5</f>
        <v xml:space="preserve">Compétences </v>
      </c>
      <c r="I3" s="122" t="str">
        <f>'ONR 1'!I5</f>
        <v>Forces et faiblesses</v>
      </c>
      <c r="J3" s="123" t="str">
        <f>'ONR 1'!J5</f>
        <v xml:space="preserve">Niveau de priorité </v>
      </c>
      <c r="K3" s="118" t="s">
        <v>22</v>
      </c>
      <c r="L3" s="185" t="s">
        <v>23</v>
      </c>
      <c r="M3" s="186" t="s">
        <v>24</v>
      </c>
      <c r="N3" s="187" t="s">
        <v>25</v>
      </c>
      <c r="O3" s="188" t="s">
        <v>26</v>
      </c>
      <c r="P3" s="189" t="s">
        <v>27</v>
      </c>
      <c r="Q3" s="190" t="s">
        <v>28</v>
      </c>
      <c r="R3" s="191" t="s">
        <v>29</v>
      </c>
      <c r="S3" s="119" t="s">
        <v>30</v>
      </c>
      <c r="T3" s="119" t="s">
        <v>31</v>
      </c>
      <c r="U3" s="119" t="s">
        <v>32</v>
      </c>
      <c r="V3" s="124" t="s">
        <v>101</v>
      </c>
      <c r="W3" s="125" t="s">
        <v>102</v>
      </c>
      <c r="X3" s="126" t="s">
        <v>34</v>
      </c>
      <c r="Y3" s="127" t="s">
        <v>103</v>
      </c>
      <c r="Z3" s="128" t="s">
        <v>104</v>
      </c>
      <c r="AB3" s="114" t="s">
        <v>105</v>
      </c>
      <c r="AC3" s="192" t="s">
        <v>106</v>
      </c>
      <c r="AD3" s="192" t="s">
        <v>107</v>
      </c>
      <c r="AE3" s="192" t="s">
        <v>108</v>
      </c>
      <c r="AF3" s="193" t="s">
        <v>109</v>
      </c>
      <c r="AG3" s="194" t="s">
        <v>110</v>
      </c>
      <c r="AH3" s="195" t="s">
        <v>111</v>
      </c>
      <c r="AI3" s="196" t="s">
        <v>112</v>
      </c>
      <c r="AJ3" s="197" t="s">
        <v>113</v>
      </c>
      <c r="AK3" s="198" t="s">
        <v>114</v>
      </c>
      <c r="AL3" s="192" t="s">
        <v>115</v>
      </c>
    </row>
    <row r="4" spans="1:38" s="116" customFormat="1" ht="23" thickBot="1">
      <c r="A4" s="115"/>
      <c r="B4" s="380" t="str">
        <f>'ONR 1'!B2</f>
        <v xml:space="preserve">ONR 1  -   SOBRIÉTÉ : S'engager à optimiser les outils numériques pour limiter leurs impacts et consommation					</v>
      </c>
      <c r="C4" s="381"/>
      <c r="D4" s="381"/>
      <c r="E4" s="381"/>
      <c r="F4" s="381"/>
      <c r="G4" s="381"/>
      <c r="H4" s="381"/>
      <c r="I4" s="381"/>
      <c r="J4" s="381"/>
      <c r="K4" s="381"/>
      <c r="L4" s="381"/>
      <c r="M4" s="381"/>
      <c r="N4" s="381"/>
      <c r="O4" s="381"/>
      <c r="P4" s="381"/>
      <c r="Q4" s="381"/>
      <c r="R4" s="381"/>
      <c r="S4" s="381"/>
      <c r="T4" s="381"/>
      <c r="U4" s="381"/>
      <c r="V4" s="381"/>
      <c r="W4" s="381"/>
      <c r="X4" s="381"/>
      <c r="Y4" s="381"/>
      <c r="Z4" s="382"/>
      <c r="AB4" s="116" t="str">
        <f>B4</f>
        <v xml:space="preserve">ONR 1  -   SOBRIÉTÉ : S'engager à optimiser les outils numériques pour limiter leurs impacts et consommation					</v>
      </c>
      <c r="AC4" s="116">
        <v>6</v>
      </c>
      <c r="AD4" s="116">
        <f>AC4-AE4</f>
        <v>-1</v>
      </c>
      <c r="AE4" s="117">
        <f t="shared" ref="AE4:AL4" si="0">SUM(AE5:AE11)</f>
        <v>7</v>
      </c>
      <c r="AF4" s="117">
        <f t="shared" si="0"/>
        <v>0</v>
      </c>
      <c r="AG4" s="117">
        <f t="shared" si="0"/>
        <v>0</v>
      </c>
      <c r="AH4" s="117">
        <f t="shared" si="0"/>
        <v>0</v>
      </c>
      <c r="AI4" s="117">
        <f t="shared" si="0"/>
        <v>0</v>
      </c>
      <c r="AJ4" s="117">
        <f t="shared" si="0"/>
        <v>0</v>
      </c>
      <c r="AK4" s="117">
        <f t="shared" si="0"/>
        <v>0</v>
      </c>
      <c r="AL4" s="117">
        <f t="shared" si="0"/>
        <v>0</v>
      </c>
    </row>
    <row r="5" spans="1:38" s="205" customFormat="1" ht="409.6">
      <c r="A5" s="199"/>
      <c r="B5" s="218" t="str">
        <f>'ONR 1'!B7</f>
        <v>1.1</v>
      </c>
      <c r="C5" s="218" t="str">
        <f>'ONR 1'!C7</f>
        <v>En intégrant le Cycle de Vie complet des équipements et logiciels pour le mettre au service de la transition énergétique</v>
      </c>
      <c r="D5" s="223">
        <f>'ONR 1'!D7</f>
        <v>0</v>
      </c>
      <c r="E5" s="267">
        <f>'ONR 1'!E7</f>
        <v>0</v>
      </c>
      <c r="F5" s="274">
        <f>'ONR 1'!F7</f>
        <v>0</v>
      </c>
      <c r="G5" s="200">
        <f>'ONR 1'!G7</f>
        <v>0</v>
      </c>
      <c r="H5" s="201">
        <f>'ONR 1'!H7</f>
        <v>0</v>
      </c>
      <c r="I5" s="225">
        <f>'ONR 1'!I7</f>
        <v>0</v>
      </c>
      <c r="J5" s="226">
        <f>S5</f>
        <v>0</v>
      </c>
      <c r="K5" s="227">
        <f t="shared" ref="K5:K9" si="1">E5*10+F5</f>
        <v>0</v>
      </c>
      <c r="L5" s="227" t="b">
        <f>OR(K5=31)</f>
        <v>0</v>
      </c>
      <c r="M5" s="227" t="b">
        <f>OR(K5=21,K5=32)</f>
        <v>0</v>
      </c>
      <c r="N5" s="227" t="b">
        <f>OR(K5=22,K5=33)</f>
        <v>0</v>
      </c>
      <c r="O5" s="227" t="b">
        <f>OR(K5=11,K5=12)</f>
        <v>0</v>
      </c>
      <c r="P5" s="227" t="b">
        <f>OR(K5=23,K5=34)</f>
        <v>0</v>
      </c>
      <c r="Q5" s="227" t="b">
        <f>OR(K5=13,K5=14,K5=24)</f>
        <v>0</v>
      </c>
      <c r="R5" s="227" t="b">
        <f>OR(K5=1,K5=2,K5=3,K5=4)</f>
        <v>0</v>
      </c>
      <c r="S5" s="228">
        <f t="shared" ref="S5:S9" si="2">IF(COUNTA(E5:F5)&lt;2,"",(IF(L5=TRUE,$L$3,IF(M5=TRUE,$M$3,IF(N5=TRUE,$N$3,IF(O5=TRUE,$O$3,IF(P5=TRUE,$P$3,IF(Q5=TRUE,$Q$3,IF(R5=TRUE,$R$3,0)))))))))</f>
        <v>0</v>
      </c>
      <c r="T5" s="226">
        <f t="shared" ref="T5:T9" si="3">IF(COUNTA(E5:F5)&lt;2,"",(IF(L5=TRUE,6,IF(M5=TRUE,5,IF(N5=TRUE,4,IF(O5=TRUE,3,IF(P5=TRUE,2,IF(Q5=TRUE,1,IF(R5=TRUE,0,0)))))))))</f>
        <v>0</v>
      </c>
      <c r="U5" s="227">
        <f t="shared" ref="U5:U9" si="4">T5*10+H5</f>
        <v>0</v>
      </c>
      <c r="V5" s="229">
        <f t="shared" ref="V5:V11" si="5">G5</f>
        <v>0</v>
      </c>
      <c r="W5" s="203">
        <f>'ONR 1'!V7</f>
        <v>0</v>
      </c>
      <c r="X5" s="204">
        <f>'ONR 1'!W7</f>
        <v>0</v>
      </c>
      <c r="Y5" s="230">
        <f t="shared" ref="Y5:Y11" si="6">I5</f>
        <v>0</v>
      </c>
      <c r="Z5" s="230">
        <f t="shared" ref="Z5:Z11" si="7">D5</f>
        <v>0</v>
      </c>
      <c r="AE5" s="206">
        <f t="shared" ref="AE5:AE11" si="8">IF(K5=0,1,0)</f>
        <v>1</v>
      </c>
      <c r="AF5" s="206">
        <f t="shared" ref="AF5:AL11" si="9">IF(L5=TRUE,1,0)</f>
        <v>0</v>
      </c>
      <c r="AG5" s="206">
        <f t="shared" si="9"/>
        <v>0</v>
      </c>
      <c r="AH5" s="206">
        <f t="shared" si="9"/>
        <v>0</v>
      </c>
      <c r="AI5" s="206">
        <f t="shared" si="9"/>
        <v>0</v>
      </c>
      <c r="AJ5" s="206">
        <f t="shared" si="9"/>
        <v>0</v>
      </c>
      <c r="AK5" s="206">
        <f t="shared" si="9"/>
        <v>0</v>
      </c>
      <c r="AL5" s="206">
        <f t="shared" si="9"/>
        <v>0</v>
      </c>
    </row>
    <row r="6" spans="1:38" s="205" customFormat="1" ht="409.6">
      <c r="A6" s="199"/>
      <c r="B6" s="219" t="str">
        <f>'ONR 1'!B8</f>
        <v>1.2</v>
      </c>
      <c r="C6" s="219" t="str">
        <f>'ONR 1'!C8</f>
        <v>En permettant la durée de vie des équipements, même au-delà de leur amortissement comptable et en valorisant les gains et roi pour chacune des partie prenantes</v>
      </c>
      <c r="D6" s="231">
        <f>'ONR 1'!D8</f>
        <v>0</v>
      </c>
      <c r="E6" s="268">
        <f>'ONR 1'!E8</f>
        <v>0</v>
      </c>
      <c r="F6" s="275">
        <f>'ONR 1'!F8</f>
        <v>0</v>
      </c>
      <c r="G6" s="207">
        <f>'ONR 1'!G8</f>
        <v>0</v>
      </c>
      <c r="H6" s="201">
        <f>'ONR 1'!H8</f>
        <v>0</v>
      </c>
      <c r="I6" s="225">
        <f>'ONR 1'!I8</f>
        <v>0</v>
      </c>
      <c r="J6" s="232">
        <f t="shared" ref="J6:J9" si="10">S6</f>
        <v>0</v>
      </c>
      <c r="K6" s="233">
        <f t="shared" si="1"/>
        <v>0</v>
      </c>
      <c r="L6" s="233" t="b">
        <f t="shared" ref="L6:L9" si="11">OR(K6=31)</f>
        <v>0</v>
      </c>
      <c r="M6" s="233" t="b">
        <f t="shared" ref="M6:M9" si="12">OR(K6=21,K6=32)</f>
        <v>0</v>
      </c>
      <c r="N6" s="233" t="b">
        <f t="shared" ref="N6:N9" si="13">OR(K6=22,K6=33)</f>
        <v>0</v>
      </c>
      <c r="O6" s="233" t="b">
        <f t="shared" ref="O6:O9" si="14">OR(K6=11,K6=12)</f>
        <v>0</v>
      </c>
      <c r="P6" s="233" t="b">
        <f t="shared" ref="P6:P9" si="15">OR(K6=23,K6=34)</f>
        <v>0</v>
      </c>
      <c r="Q6" s="233" t="b">
        <f t="shared" ref="Q6:Q9" si="16">OR(K6=13,K6=14,K6=24)</f>
        <v>0</v>
      </c>
      <c r="R6" s="233" t="b">
        <f t="shared" ref="R6:R9" si="17">OR(K6=1,K6=2,K6=3,K6=4)</f>
        <v>0</v>
      </c>
      <c r="S6" s="234">
        <f t="shared" si="2"/>
        <v>0</v>
      </c>
      <c r="T6" s="232">
        <f t="shared" si="3"/>
        <v>0</v>
      </c>
      <c r="U6" s="233">
        <f t="shared" si="4"/>
        <v>0</v>
      </c>
      <c r="V6" s="235">
        <f t="shared" si="5"/>
        <v>0</v>
      </c>
      <c r="W6" s="235">
        <f>'ONR 1'!V8</f>
        <v>0</v>
      </c>
      <c r="X6" s="204">
        <f>'ONR 1'!W8</f>
        <v>0</v>
      </c>
      <c r="Y6" s="236">
        <f t="shared" si="6"/>
        <v>0</v>
      </c>
      <c r="Z6" s="236">
        <f t="shared" si="7"/>
        <v>0</v>
      </c>
      <c r="AE6" s="206">
        <f t="shared" si="8"/>
        <v>1</v>
      </c>
      <c r="AF6" s="206">
        <f t="shared" si="9"/>
        <v>0</v>
      </c>
      <c r="AG6" s="206">
        <f t="shared" si="9"/>
        <v>0</v>
      </c>
      <c r="AH6" s="206">
        <f t="shared" si="9"/>
        <v>0</v>
      </c>
      <c r="AI6" s="206">
        <f t="shared" si="9"/>
        <v>0</v>
      </c>
      <c r="AJ6" s="206">
        <f t="shared" si="9"/>
        <v>0</v>
      </c>
      <c r="AK6" s="206">
        <f t="shared" si="9"/>
        <v>0</v>
      </c>
      <c r="AL6" s="206">
        <f t="shared" si="9"/>
        <v>0</v>
      </c>
    </row>
    <row r="7" spans="1:38" s="205" customFormat="1" ht="409.6">
      <c r="A7" s="199"/>
      <c r="B7" s="219" t="str">
        <f>'ONR 1'!B9</f>
        <v>1.3</v>
      </c>
      <c r="C7" s="219" t="str">
        <f>'ONR 1'!C9</f>
        <v>En permettant de concevoir de manière responsable les services numériques et en intégrant des technologies ou des dispositifs proactifs vis-àvis des ODD.</v>
      </c>
      <c r="D7" s="231">
        <f>'ONR 1'!D9</f>
        <v>0</v>
      </c>
      <c r="E7" s="268">
        <f>'ONR 1'!E9</f>
        <v>0</v>
      </c>
      <c r="F7" s="275">
        <f>'ONR 1'!F9</f>
        <v>0</v>
      </c>
      <c r="G7" s="207">
        <f>'ONR 1'!G9</f>
        <v>0</v>
      </c>
      <c r="H7" s="201">
        <f>'ONR 1'!H9</f>
        <v>0</v>
      </c>
      <c r="I7" s="225">
        <f>'ONR 1'!I9</f>
        <v>0</v>
      </c>
      <c r="J7" s="232">
        <f t="shared" si="10"/>
        <v>0</v>
      </c>
      <c r="K7" s="233">
        <f t="shared" si="1"/>
        <v>0</v>
      </c>
      <c r="L7" s="233" t="b">
        <f t="shared" si="11"/>
        <v>0</v>
      </c>
      <c r="M7" s="233" t="b">
        <f t="shared" si="12"/>
        <v>0</v>
      </c>
      <c r="N7" s="233" t="b">
        <f t="shared" si="13"/>
        <v>0</v>
      </c>
      <c r="O7" s="233" t="b">
        <f t="shared" si="14"/>
        <v>0</v>
      </c>
      <c r="P7" s="233" t="b">
        <f t="shared" si="15"/>
        <v>0</v>
      </c>
      <c r="Q7" s="233" t="b">
        <f t="shared" si="16"/>
        <v>0</v>
      </c>
      <c r="R7" s="233" t="b">
        <f t="shared" si="17"/>
        <v>0</v>
      </c>
      <c r="S7" s="234">
        <f t="shared" si="2"/>
        <v>0</v>
      </c>
      <c r="T7" s="232">
        <f t="shared" si="3"/>
        <v>0</v>
      </c>
      <c r="U7" s="233">
        <f t="shared" si="4"/>
        <v>0</v>
      </c>
      <c r="V7" s="235">
        <f t="shared" si="5"/>
        <v>0</v>
      </c>
      <c r="W7" s="142">
        <f>'ONR 1'!V9</f>
        <v>0</v>
      </c>
      <c r="X7" s="204">
        <f>'ONR 1'!W9</f>
        <v>0</v>
      </c>
      <c r="Y7" s="236">
        <f t="shared" si="6"/>
        <v>0</v>
      </c>
      <c r="Z7" s="236">
        <f t="shared" si="7"/>
        <v>0</v>
      </c>
      <c r="AE7" s="206">
        <f t="shared" si="8"/>
        <v>1</v>
      </c>
      <c r="AF7" s="206">
        <f t="shared" si="9"/>
        <v>0</v>
      </c>
      <c r="AG7" s="206">
        <f t="shared" si="9"/>
        <v>0</v>
      </c>
      <c r="AH7" s="206">
        <f t="shared" si="9"/>
        <v>0</v>
      </c>
      <c r="AI7" s="206">
        <f t="shared" si="9"/>
        <v>0</v>
      </c>
      <c r="AJ7" s="206">
        <f t="shared" si="9"/>
        <v>0</v>
      </c>
      <c r="AK7" s="206">
        <f t="shared" si="9"/>
        <v>0</v>
      </c>
      <c r="AL7" s="206">
        <f t="shared" si="9"/>
        <v>0</v>
      </c>
    </row>
    <row r="8" spans="1:38" s="205" customFormat="1" ht="409.6">
      <c r="A8" s="199"/>
      <c r="B8" s="219" t="str">
        <f>'ONR 1'!B10</f>
        <v>1.4</v>
      </c>
      <c r="C8" s="219" t="str">
        <f>'ONR 1'!C10</f>
        <v>En favorisant des usages et des pratiques limitant les consommations de matériels, de ressources, d’énergies et de consommables</v>
      </c>
      <c r="D8" s="237">
        <f>'ONR 1'!D10</f>
        <v>0</v>
      </c>
      <c r="E8" s="269">
        <f>'ONR 1'!E10</f>
        <v>0</v>
      </c>
      <c r="F8" s="276">
        <f>'ONR 1'!F10</f>
        <v>0</v>
      </c>
      <c r="G8" s="208">
        <f>'ONR 1'!G10</f>
        <v>0</v>
      </c>
      <c r="H8" s="209">
        <f>'ONR 1'!H10</f>
        <v>0</v>
      </c>
      <c r="I8" s="225">
        <f>'ONR 1'!I10</f>
        <v>0</v>
      </c>
      <c r="J8" s="232">
        <f t="shared" si="10"/>
        <v>0</v>
      </c>
      <c r="K8" s="233">
        <f t="shared" si="1"/>
        <v>0</v>
      </c>
      <c r="L8" s="233" t="b">
        <f t="shared" si="11"/>
        <v>0</v>
      </c>
      <c r="M8" s="233" t="b">
        <f t="shared" si="12"/>
        <v>0</v>
      </c>
      <c r="N8" s="233" t="b">
        <f t="shared" si="13"/>
        <v>0</v>
      </c>
      <c r="O8" s="233" t="b">
        <f t="shared" si="14"/>
        <v>0</v>
      </c>
      <c r="P8" s="233" t="b">
        <f t="shared" si="15"/>
        <v>0</v>
      </c>
      <c r="Q8" s="233" t="b">
        <f t="shared" si="16"/>
        <v>0</v>
      </c>
      <c r="R8" s="233" t="b">
        <f t="shared" si="17"/>
        <v>0</v>
      </c>
      <c r="S8" s="234">
        <f t="shared" si="2"/>
        <v>0</v>
      </c>
      <c r="T8" s="232">
        <f t="shared" si="3"/>
        <v>0</v>
      </c>
      <c r="U8" s="233">
        <f t="shared" si="4"/>
        <v>0</v>
      </c>
      <c r="V8" s="239">
        <f t="shared" si="5"/>
        <v>0</v>
      </c>
      <c r="W8" s="210">
        <f>'ONR 1'!V10</f>
        <v>0</v>
      </c>
      <c r="X8" s="204">
        <f>'ONR 1'!W10</f>
        <v>0</v>
      </c>
      <c r="Y8" s="236">
        <f t="shared" si="6"/>
        <v>0</v>
      </c>
      <c r="Z8" s="236">
        <f t="shared" si="7"/>
        <v>0</v>
      </c>
      <c r="AE8" s="206">
        <f t="shared" si="8"/>
        <v>1</v>
      </c>
      <c r="AF8" s="206">
        <f t="shared" si="9"/>
        <v>0</v>
      </c>
      <c r="AG8" s="206">
        <f t="shared" si="9"/>
        <v>0</v>
      </c>
      <c r="AH8" s="206">
        <f t="shared" si="9"/>
        <v>0</v>
      </c>
      <c r="AI8" s="206">
        <f t="shared" si="9"/>
        <v>0</v>
      </c>
      <c r="AJ8" s="206">
        <f t="shared" si="9"/>
        <v>0</v>
      </c>
      <c r="AK8" s="206">
        <f t="shared" si="9"/>
        <v>0</v>
      </c>
      <c r="AL8" s="206">
        <f t="shared" si="9"/>
        <v>0</v>
      </c>
    </row>
    <row r="9" spans="1:38" s="205" customFormat="1" ht="409.6">
      <c r="A9" s="199"/>
      <c r="B9" s="219" t="str">
        <f>'ONR 1'!B11</f>
        <v>1.5</v>
      </c>
      <c r="C9" s="219" t="str">
        <f>'ONR 1'!C11</f>
        <v>En considérant nos déchets comme une ressource et leur traitement comme une source d’emplois participant au développement de l’économie circulaire.</v>
      </c>
      <c r="D9" s="240">
        <f>'ONR 1'!D11</f>
        <v>0</v>
      </c>
      <c r="E9" s="270">
        <f>'ONR 1'!E11</f>
        <v>0</v>
      </c>
      <c r="F9" s="277">
        <f>'ONR 1'!F11</f>
        <v>0</v>
      </c>
      <c r="G9" s="211">
        <f>'ONR 1'!G11</f>
        <v>0</v>
      </c>
      <c r="H9" s="212">
        <f>'ONR 1'!H11</f>
        <v>0</v>
      </c>
      <c r="I9" s="225">
        <f>'ONR 1'!I11</f>
        <v>0</v>
      </c>
      <c r="J9" s="232">
        <f t="shared" si="10"/>
        <v>0</v>
      </c>
      <c r="K9" s="233">
        <f t="shared" si="1"/>
        <v>0</v>
      </c>
      <c r="L9" s="233" t="b">
        <f t="shared" si="11"/>
        <v>0</v>
      </c>
      <c r="M9" s="233" t="b">
        <f t="shared" si="12"/>
        <v>0</v>
      </c>
      <c r="N9" s="233" t="b">
        <f t="shared" si="13"/>
        <v>0</v>
      </c>
      <c r="O9" s="233" t="b">
        <f t="shared" si="14"/>
        <v>0</v>
      </c>
      <c r="P9" s="233" t="b">
        <f t="shared" si="15"/>
        <v>0</v>
      </c>
      <c r="Q9" s="233" t="b">
        <f t="shared" si="16"/>
        <v>0</v>
      </c>
      <c r="R9" s="233" t="b">
        <f t="shared" si="17"/>
        <v>0</v>
      </c>
      <c r="S9" s="234">
        <f t="shared" si="2"/>
        <v>0</v>
      </c>
      <c r="T9" s="232">
        <f t="shared" si="3"/>
        <v>0</v>
      </c>
      <c r="U9" s="233">
        <f t="shared" si="4"/>
        <v>0</v>
      </c>
      <c r="V9" s="241">
        <f t="shared" si="5"/>
        <v>0</v>
      </c>
      <c r="W9" s="241">
        <f>'ONR 1'!V11</f>
        <v>0</v>
      </c>
      <c r="X9" s="204">
        <f>'ONR 1'!W11</f>
        <v>0</v>
      </c>
      <c r="Y9" s="236">
        <f t="shared" si="6"/>
        <v>0</v>
      </c>
      <c r="Z9" s="236">
        <f t="shared" si="7"/>
        <v>0</v>
      </c>
      <c r="AE9" s="206">
        <f t="shared" si="8"/>
        <v>1</v>
      </c>
      <c r="AF9" s="206">
        <f t="shared" si="9"/>
        <v>0</v>
      </c>
      <c r="AG9" s="206">
        <f t="shared" si="9"/>
        <v>0</v>
      </c>
      <c r="AH9" s="206">
        <f t="shared" si="9"/>
        <v>0</v>
      </c>
      <c r="AI9" s="206">
        <f t="shared" si="9"/>
        <v>0</v>
      </c>
      <c r="AJ9" s="206">
        <f t="shared" si="9"/>
        <v>0</v>
      </c>
      <c r="AK9" s="206">
        <f t="shared" si="9"/>
        <v>0</v>
      </c>
      <c r="AL9" s="206">
        <f t="shared" si="9"/>
        <v>0</v>
      </c>
    </row>
    <row r="10" spans="1:38" s="205" customFormat="1" ht="409.6">
      <c r="A10" s="199"/>
      <c r="B10" s="219" t="str">
        <f>'ONR 1'!B12</f>
        <v>1.6</v>
      </c>
      <c r="C10" s="219" t="str">
        <f>'ONR 1'!C12</f>
        <v>En privilégiant et en favorisant l’utilisation de sources d’énergies renouvelables.</v>
      </c>
      <c r="D10" s="240">
        <f>'ONR 1'!D12</f>
        <v>0</v>
      </c>
      <c r="E10" s="270">
        <f>'ONR 1'!E12</f>
        <v>0</v>
      </c>
      <c r="F10" s="277">
        <f>'ONR 1'!F12</f>
        <v>0</v>
      </c>
      <c r="G10" s="211">
        <f>'ONR 1'!G12</f>
        <v>0</v>
      </c>
      <c r="H10" s="212">
        <f>'ONR 1'!H12</f>
        <v>0</v>
      </c>
      <c r="I10" s="225">
        <f>'ONR 1'!I12</f>
        <v>0</v>
      </c>
      <c r="J10" s="232">
        <f t="shared" ref="J10:J11" si="18">S10</f>
        <v>0</v>
      </c>
      <c r="K10" s="233">
        <f t="shared" ref="K10:K11" si="19">E10*10+F10</f>
        <v>0</v>
      </c>
      <c r="L10" s="233" t="b">
        <f t="shared" ref="L10:L11" si="20">OR(K10=31)</f>
        <v>0</v>
      </c>
      <c r="M10" s="233" t="b">
        <f t="shared" ref="M10:M11" si="21">OR(K10=21,K10=32)</f>
        <v>0</v>
      </c>
      <c r="N10" s="233" t="b">
        <f t="shared" ref="N10:N11" si="22">OR(K10=22,K10=33)</f>
        <v>0</v>
      </c>
      <c r="O10" s="233" t="b">
        <f t="shared" ref="O10:O11" si="23">OR(K10=11,K10=12)</f>
        <v>0</v>
      </c>
      <c r="P10" s="233" t="b">
        <f t="shared" ref="P10:P11" si="24">OR(K10=23,K10=34)</f>
        <v>0</v>
      </c>
      <c r="Q10" s="233" t="b">
        <f t="shared" ref="Q10:Q11" si="25">OR(K10=13,K10=14,K10=24)</f>
        <v>0</v>
      </c>
      <c r="R10" s="233" t="b">
        <f t="shared" ref="R10:R11" si="26">OR(K10=1,K10=2,K10=3,K10=4)</f>
        <v>0</v>
      </c>
      <c r="S10" s="234">
        <f t="shared" ref="S10:S11" si="27">IF(COUNTA(E10:F10)&lt;2,"",(IF(L10=TRUE,$L$3,IF(M10=TRUE,$M$3,IF(N10=TRUE,$N$3,IF(O10=TRUE,$O$3,IF(P10=TRUE,$P$3,IF(Q10=TRUE,$Q$3,IF(R10=TRUE,$R$3,0)))))))))</f>
        <v>0</v>
      </c>
      <c r="T10" s="232">
        <f t="shared" ref="T10:T11" si="28">IF(COUNTA(E10:F10)&lt;2,"",(IF(L10=TRUE,6,IF(M10=TRUE,5,IF(N10=TRUE,4,IF(O10=TRUE,3,IF(P10=TRUE,2,IF(Q10=TRUE,1,IF(R10=TRUE,0,0)))))))))</f>
        <v>0</v>
      </c>
      <c r="U10" s="233">
        <f t="shared" ref="U10:U11" si="29">T10*10+H10</f>
        <v>0</v>
      </c>
      <c r="V10" s="241">
        <f t="shared" si="5"/>
        <v>0</v>
      </c>
      <c r="W10" s="241">
        <f>'ONR 1'!V12</f>
        <v>0</v>
      </c>
      <c r="X10" s="204">
        <f>'ONR 1'!W12</f>
        <v>0</v>
      </c>
      <c r="Y10" s="236">
        <f t="shared" si="6"/>
        <v>0</v>
      </c>
      <c r="Z10" s="236">
        <f t="shared" si="7"/>
        <v>0</v>
      </c>
      <c r="AE10" s="206">
        <f t="shared" si="8"/>
        <v>1</v>
      </c>
      <c r="AF10" s="206">
        <f t="shared" si="9"/>
        <v>0</v>
      </c>
      <c r="AG10" s="206">
        <f t="shared" si="9"/>
        <v>0</v>
      </c>
      <c r="AH10" s="206">
        <f t="shared" si="9"/>
        <v>0</v>
      </c>
      <c r="AI10" s="206">
        <f t="shared" si="9"/>
        <v>0</v>
      </c>
      <c r="AJ10" s="206">
        <f t="shared" si="9"/>
        <v>0</v>
      </c>
      <c r="AK10" s="206">
        <f t="shared" si="9"/>
        <v>0</v>
      </c>
      <c r="AL10" s="206">
        <f t="shared" si="9"/>
        <v>0</v>
      </c>
    </row>
    <row r="11" spans="1:38" s="205" customFormat="1" ht="409.6" thickBot="1">
      <c r="A11" s="199"/>
      <c r="B11" s="219" t="str">
        <f>'ONR 1'!B13</f>
        <v>1.7</v>
      </c>
      <c r="C11" s="219" t="str">
        <f>'ONR 1'!C13</f>
        <v>En favorisant l'utilisation d'IA lorsque nécessaire uniquement et en privilégiant des IA frugales</v>
      </c>
      <c r="D11" s="240">
        <f>'ONR 1'!D13</f>
        <v>0</v>
      </c>
      <c r="E11" s="270">
        <f>'ONR 1'!E13</f>
        <v>0</v>
      </c>
      <c r="F11" s="277">
        <f>'ONR 1'!F13</f>
        <v>0</v>
      </c>
      <c r="G11" s="211">
        <f>'ONR 1'!G13</f>
        <v>0</v>
      </c>
      <c r="H11" s="212">
        <f>'ONR 1'!H13</f>
        <v>0</v>
      </c>
      <c r="I11" s="225">
        <f>'ONR 1'!I13</f>
        <v>0</v>
      </c>
      <c r="J11" s="232">
        <f t="shared" si="18"/>
        <v>0</v>
      </c>
      <c r="K11" s="233">
        <f t="shared" si="19"/>
        <v>0</v>
      </c>
      <c r="L11" s="233" t="b">
        <f t="shared" si="20"/>
        <v>0</v>
      </c>
      <c r="M11" s="233" t="b">
        <f t="shared" si="21"/>
        <v>0</v>
      </c>
      <c r="N11" s="233" t="b">
        <f t="shared" si="22"/>
        <v>0</v>
      </c>
      <c r="O11" s="233" t="b">
        <f t="shared" si="23"/>
        <v>0</v>
      </c>
      <c r="P11" s="233" t="b">
        <f t="shared" si="24"/>
        <v>0</v>
      </c>
      <c r="Q11" s="233" t="b">
        <f t="shared" si="25"/>
        <v>0</v>
      </c>
      <c r="R11" s="233" t="b">
        <f t="shared" si="26"/>
        <v>0</v>
      </c>
      <c r="S11" s="234">
        <f t="shared" si="27"/>
        <v>0</v>
      </c>
      <c r="T11" s="232">
        <f t="shared" si="28"/>
        <v>0</v>
      </c>
      <c r="U11" s="233">
        <f t="shared" si="29"/>
        <v>0</v>
      </c>
      <c r="V11" s="241">
        <f t="shared" si="5"/>
        <v>0</v>
      </c>
      <c r="W11" s="241">
        <f>'ONR 1'!V13</f>
        <v>0</v>
      </c>
      <c r="X11" s="204">
        <f>'ONR 1'!W13</f>
        <v>0</v>
      </c>
      <c r="Y11" s="236">
        <f t="shared" si="6"/>
        <v>0</v>
      </c>
      <c r="Z11" s="236">
        <f t="shared" si="7"/>
        <v>0</v>
      </c>
      <c r="AE11" s="206">
        <f t="shared" si="8"/>
        <v>1</v>
      </c>
      <c r="AF11" s="206">
        <f t="shared" si="9"/>
        <v>0</v>
      </c>
      <c r="AG11" s="206">
        <f t="shared" si="9"/>
        <v>0</v>
      </c>
      <c r="AH11" s="206">
        <f t="shared" si="9"/>
        <v>0</v>
      </c>
      <c r="AI11" s="206">
        <f t="shared" si="9"/>
        <v>0</v>
      </c>
      <c r="AJ11" s="206">
        <f t="shared" si="9"/>
        <v>0</v>
      </c>
      <c r="AK11" s="206">
        <f t="shared" si="9"/>
        <v>0</v>
      </c>
      <c r="AL11" s="206">
        <f t="shared" si="9"/>
        <v>0</v>
      </c>
    </row>
    <row r="12" spans="1:38" s="116" customFormat="1" ht="23" thickBot="1">
      <c r="A12" s="115"/>
      <c r="B12" s="360" t="str">
        <f>'ONR 2'!B2</f>
        <v>ONR 2  -   INCLUSION : S'engager à développer des services numériques accessibles à toutes et tous, inclusifs et durables</v>
      </c>
      <c r="C12" s="361"/>
      <c r="D12" s="361"/>
      <c r="E12" s="361"/>
      <c r="F12" s="361"/>
      <c r="G12" s="361"/>
      <c r="H12" s="361"/>
      <c r="I12" s="361"/>
      <c r="J12" s="361"/>
      <c r="K12" s="361"/>
      <c r="L12" s="361"/>
      <c r="M12" s="361"/>
      <c r="N12" s="361"/>
      <c r="O12" s="361"/>
      <c r="P12" s="361"/>
      <c r="Q12" s="361"/>
      <c r="R12" s="361"/>
      <c r="S12" s="361"/>
      <c r="T12" s="361"/>
      <c r="U12" s="361"/>
      <c r="V12" s="361"/>
      <c r="W12" s="361"/>
      <c r="X12" s="361"/>
      <c r="Y12" s="361"/>
      <c r="Z12" s="378"/>
      <c r="AB12" s="116" t="str">
        <f>B12</f>
        <v>ONR 2  -   INCLUSION : S'engager à développer des services numériques accessibles à toutes et tous, inclusifs et durables</v>
      </c>
      <c r="AC12" s="116">
        <v>4</v>
      </c>
      <c r="AD12" s="116">
        <f>AC12-AE12</f>
        <v>0</v>
      </c>
      <c r="AE12" s="117">
        <f t="shared" ref="AE12:AL12" si="30">SUM(AE13:AE16)</f>
        <v>4</v>
      </c>
      <c r="AF12" s="117">
        <f t="shared" si="30"/>
        <v>0</v>
      </c>
      <c r="AG12" s="117">
        <f t="shared" si="30"/>
        <v>0</v>
      </c>
      <c r="AH12" s="117">
        <f t="shared" si="30"/>
        <v>0</v>
      </c>
      <c r="AI12" s="117">
        <f t="shared" si="30"/>
        <v>0</v>
      </c>
      <c r="AJ12" s="117">
        <f t="shared" si="30"/>
        <v>0</v>
      </c>
      <c r="AK12" s="117">
        <f t="shared" si="30"/>
        <v>0</v>
      </c>
      <c r="AL12" s="117">
        <f t="shared" si="30"/>
        <v>0</v>
      </c>
    </row>
    <row r="13" spans="1:38" s="205" customFormat="1" ht="409.6">
      <c r="A13" s="199"/>
      <c r="B13" s="218" t="str">
        <f>'ONR 2'!B7</f>
        <v>2.1</v>
      </c>
      <c r="C13" s="221" t="str">
        <f>'ONR 2'!C7</f>
        <v>En généralisant une démarche d’achats responsables avec l’adoption de clauses sociétales et environnementales.</v>
      </c>
      <c r="D13" s="223">
        <f>'ONR 2'!D7</f>
        <v>0</v>
      </c>
      <c r="E13" s="267">
        <f>'ONR 2'!E7</f>
        <v>0</v>
      </c>
      <c r="F13" s="274">
        <f>'ONR 2'!F7</f>
        <v>0</v>
      </c>
      <c r="G13" s="200">
        <f>'ONR 2'!G7</f>
        <v>0</v>
      </c>
      <c r="H13" s="202">
        <f>'ONR 2'!H7</f>
        <v>0</v>
      </c>
      <c r="I13" s="225">
        <f>'ONR 2'!I7</f>
        <v>0</v>
      </c>
      <c r="J13" s="218">
        <f>S13</f>
        <v>0</v>
      </c>
      <c r="K13" s="227">
        <f t="shared" ref="K13" si="31">E13*10+F13</f>
        <v>0</v>
      </c>
      <c r="L13" s="227" t="b">
        <f>OR(K13=31)</f>
        <v>0</v>
      </c>
      <c r="M13" s="227" t="b">
        <f>OR(K13=21,K13=32)</f>
        <v>0</v>
      </c>
      <c r="N13" s="227" t="b">
        <f>OR(K13=22,K13=33)</f>
        <v>0</v>
      </c>
      <c r="O13" s="227" t="b">
        <f>OR(K13=11,K13=12)</f>
        <v>0</v>
      </c>
      <c r="P13" s="227" t="b">
        <f>OR(K13=23,K13=34)</f>
        <v>0</v>
      </c>
      <c r="Q13" s="227" t="b">
        <f>OR(K13=13,K13=14,K13=24)</f>
        <v>0</v>
      </c>
      <c r="R13" s="227" t="b">
        <f>OR(K13=1,K13=2,K13=3,K13=4)</f>
        <v>0</v>
      </c>
      <c r="S13" s="228">
        <f t="shared" ref="S13" si="32">IF(COUNTA(E13:F13)&lt;2,"",(IF(L13=TRUE,$L$3,IF(M13=TRUE,$M$3,IF(N13=TRUE,$N$3,IF(O13=TRUE,$O$3,IF(P13=TRUE,$P$3,IF(Q13=TRUE,$Q$3,IF(R13=TRUE,$R$3,0)))))))))</f>
        <v>0</v>
      </c>
      <c r="T13" s="226">
        <f t="shared" ref="T13" si="33">IF(COUNTA(E13:F13)&lt;2,"",(IF(L13=TRUE,6,IF(M13=TRUE,5,IF(N13=TRUE,4,IF(O13=TRUE,3,IF(P13=TRUE,2,IF(Q13=TRUE,1,IF(R13=TRUE,0,0)))))))))</f>
        <v>0</v>
      </c>
      <c r="U13" s="242">
        <f t="shared" ref="U13" si="34">T13*10+H13</f>
        <v>0</v>
      </c>
      <c r="V13" s="229">
        <f>G13</f>
        <v>0</v>
      </c>
      <c r="W13" s="229">
        <f>'ONR 2'!V7</f>
        <v>0</v>
      </c>
      <c r="X13" s="204">
        <f>'ONR 2'!W7</f>
        <v>0</v>
      </c>
      <c r="Y13" s="230">
        <f>I13</f>
        <v>0</v>
      </c>
      <c r="Z13" s="230">
        <f>D13</f>
        <v>0</v>
      </c>
      <c r="AE13" s="206">
        <f>IF(K13=0,1,0)</f>
        <v>1</v>
      </c>
      <c r="AF13" s="206">
        <f t="shared" ref="AF13:AL16" si="35">IF(L13=TRUE,1,0)</f>
        <v>0</v>
      </c>
      <c r="AG13" s="206">
        <f t="shared" si="35"/>
        <v>0</v>
      </c>
      <c r="AH13" s="206">
        <f t="shared" si="35"/>
        <v>0</v>
      </c>
      <c r="AI13" s="206">
        <f t="shared" si="35"/>
        <v>0</v>
      </c>
      <c r="AJ13" s="206">
        <f t="shared" si="35"/>
        <v>0</v>
      </c>
      <c r="AK13" s="206">
        <f t="shared" si="35"/>
        <v>0</v>
      </c>
      <c r="AL13" s="206">
        <f t="shared" si="35"/>
        <v>0</v>
      </c>
    </row>
    <row r="14" spans="1:38" s="205" customFormat="1" ht="342">
      <c r="A14" s="199"/>
      <c r="B14" s="218" t="str">
        <f>'ONR 2'!B8</f>
        <v>2.2</v>
      </c>
      <c r="C14" s="221" t="str">
        <f>'ONR 2'!C8</f>
        <v>En permettant des applications accessibles à tous - en mesurant le niveau de conformité RGAA et en accompagnat les entreprises du territoire à se conformer à la règlementation</v>
      </c>
      <c r="D14" s="223">
        <f>'ONR 2'!D8</f>
        <v>0</v>
      </c>
      <c r="E14" s="267">
        <f>'ONR 2'!E8</f>
        <v>0</v>
      </c>
      <c r="F14" s="274">
        <f>'ONR 2'!F8</f>
        <v>0</v>
      </c>
      <c r="G14" s="200">
        <f>'ONR 2'!G8</f>
        <v>0</v>
      </c>
      <c r="H14" s="202">
        <f>'ONR 2'!H8</f>
        <v>0</v>
      </c>
      <c r="I14" s="225">
        <f>'ONR 2'!I8</f>
        <v>0</v>
      </c>
      <c r="J14" s="218">
        <f t="shared" ref="J14:J16" si="36">S14</f>
        <v>0</v>
      </c>
      <c r="K14" s="227">
        <f t="shared" ref="K14:K16" si="37">E14*10+F14</f>
        <v>0</v>
      </c>
      <c r="L14" s="227" t="b">
        <f t="shared" ref="L14:L16" si="38">OR(K14=31)</f>
        <v>0</v>
      </c>
      <c r="M14" s="227" t="b">
        <f t="shared" ref="M14:M16" si="39">OR(K14=21,K14=32)</f>
        <v>0</v>
      </c>
      <c r="N14" s="227" t="b">
        <f t="shared" ref="N14:N16" si="40">OR(K14=22,K14=33)</f>
        <v>0</v>
      </c>
      <c r="O14" s="227" t="b">
        <f t="shared" ref="O14:O16" si="41">OR(K14=11,K14=12)</f>
        <v>0</v>
      </c>
      <c r="P14" s="227" t="b">
        <f t="shared" ref="P14:P16" si="42">OR(K14=23,K14=34)</f>
        <v>0</v>
      </c>
      <c r="Q14" s="227" t="b">
        <f t="shared" ref="Q14:Q16" si="43">OR(K14=13,K14=14,K14=24)</f>
        <v>0</v>
      </c>
      <c r="R14" s="227" t="b">
        <f t="shared" ref="R14:R16" si="44">OR(K14=1,K14=2,K14=3,K14=4)</f>
        <v>0</v>
      </c>
      <c r="S14" s="228">
        <f t="shared" ref="S14:S16" si="45">IF(COUNTA(E14:F14)&lt;2,"",(IF(L14=TRUE,$L$3,IF(M14=TRUE,$M$3,IF(N14=TRUE,$N$3,IF(O14=TRUE,$O$3,IF(P14=TRUE,$P$3,IF(Q14=TRUE,$Q$3,IF(R14=TRUE,$R$3,0)))))))))</f>
        <v>0</v>
      </c>
      <c r="T14" s="226">
        <f t="shared" ref="T14:T16" si="46">IF(COUNTA(E14:F14)&lt;2,"",(IF(L14=TRUE,6,IF(M14=TRUE,5,IF(N14=TRUE,4,IF(O14=TRUE,3,IF(P14=TRUE,2,IF(Q14=TRUE,1,IF(R14=TRUE,0,0)))))))))</f>
        <v>0</v>
      </c>
      <c r="U14" s="242">
        <f t="shared" ref="U14:U16" si="47">T14*10+H14</f>
        <v>0</v>
      </c>
      <c r="V14" s="229">
        <f>G14</f>
        <v>0</v>
      </c>
      <c r="W14" s="229">
        <f>'ONR 2'!V8</f>
        <v>0</v>
      </c>
      <c r="X14" s="204">
        <f>'ONR 2'!W8</f>
        <v>0</v>
      </c>
      <c r="Y14" s="230">
        <f>I14</f>
        <v>0</v>
      </c>
      <c r="Z14" s="230">
        <f>D14</f>
        <v>0</v>
      </c>
      <c r="AE14" s="206">
        <f>IF(K14=0,1,0)</f>
        <v>1</v>
      </c>
      <c r="AF14" s="206">
        <f t="shared" si="35"/>
        <v>0</v>
      </c>
      <c r="AG14" s="206">
        <f t="shared" si="35"/>
        <v>0</v>
      </c>
      <c r="AH14" s="206">
        <f t="shared" si="35"/>
        <v>0</v>
      </c>
      <c r="AI14" s="206">
        <f t="shared" si="35"/>
        <v>0</v>
      </c>
      <c r="AJ14" s="206">
        <f t="shared" si="35"/>
        <v>0</v>
      </c>
      <c r="AK14" s="206">
        <f t="shared" si="35"/>
        <v>0</v>
      </c>
      <c r="AL14" s="206">
        <f t="shared" si="35"/>
        <v>0</v>
      </c>
    </row>
    <row r="15" spans="1:38" s="205" customFormat="1" ht="409.6">
      <c r="A15" s="199"/>
      <c r="B15" s="218" t="str">
        <f>'ONR 2'!B9</f>
        <v>2.3</v>
      </c>
      <c r="C15" s="221" t="str">
        <f>'ONR 2'!C9</f>
        <v>En déployant les applications autour des 3 U : Utiles, Utilisables, Utilisées pour en simplifier l’usage en intégrant l’accessibilité universelle pour réussir l’e-inclusion de tous</v>
      </c>
      <c r="D15" s="223">
        <f>'ONR 2'!D9</f>
        <v>0</v>
      </c>
      <c r="E15" s="267">
        <f>'ONR 2'!E9</f>
        <v>0</v>
      </c>
      <c r="F15" s="274">
        <f>'ONR 2'!F9</f>
        <v>0</v>
      </c>
      <c r="G15" s="200">
        <f>'ONR 2'!G9</f>
        <v>0</v>
      </c>
      <c r="H15" s="202">
        <f>'ONR 2'!H9</f>
        <v>0</v>
      </c>
      <c r="I15" s="225">
        <f>'ONR 2'!I9</f>
        <v>0</v>
      </c>
      <c r="J15" s="218">
        <f t="shared" si="36"/>
        <v>0</v>
      </c>
      <c r="K15" s="227">
        <f t="shared" si="37"/>
        <v>0</v>
      </c>
      <c r="L15" s="227" t="b">
        <f t="shared" si="38"/>
        <v>0</v>
      </c>
      <c r="M15" s="227" t="b">
        <f t="shared" si="39"/>
        <v>0</v>
      </c>
      <c r="N15" s="227" t="b">
        <f t="shared" si="40"/>
        <v>0</v>
      </c>
      <c r="O15" s="227" t="b">
        <f t="shared" si="41"/>
        <v>0</v>
      </c>
      <c r="P15" s="227" t="b">
        <f t="shared" si="42"/>
        <v>0</v>
      </c>
      <c r="Q15" s="227" t="b">
        <f t="shared" si="43"/>
        <v>0</v>
      </c>
      <c r="R15" s="227" t="b">
        <f t="shared" si="44"/>
        <v>0</v>
      </c>
      <c r="S15" s="228">
        <f t="shared" si="45"/>
        <v>0</v>
      </c>
      <c r="T15" s="226">
        <f t="shared" si="46"/>
        <v>0</v>
      </c>
      <c r="U15" s="242">
        <f t="shared" si="47"/>
        <v>0</v>
      </c>
      <c r="V15" s="229">
        <f>G15</f>
        <v>0</v>
      </c>
      <c r="W15" s="229">
        <f>'ONR 2'!V9</f>
        <v>0</v>
      </c>
      <c r="X15" s="204">
        <f>'ONR 2'!W9</f>
        <v>0</v>
      </c>
      <c r="Y15" s="230">
        <f>I15</f>
        <v>0</v>
      </c>
      <c r="Z15" s="230">
        <f>D15</f>
        <v>0</v>
      </c>
      <c r="AE15" s="206">
        <f>IF(K15=0,1,0)</f>
        <v>1</v>
      </c>
      <c r="AF15" s="206">
        <f t="shared" si="35"/>
        <v>0</v>
      </c>
      <c r="AG15" s="206">
        <f t="shared" si="35"/>
        <v>0</v>
      </c>
      <c r="AH15" s="206">
        <f t="shared" si="35"/>
        <v>0</v>
      </c>
      <c r="AI15" s="206">
        <f t="shared" si="35"/>
        <v>0</v>
      </c>
      <c r="AJ15" s="206">
        <f t="shared" si="35"/>
        <v>0</v>
      </c>
      <c r="AK15" s="206">
        <f t="shared" si="35"/>
        <v>0</v>
      </c>
      <c r="AL15" s="206">
        <f t="shared" si="35"/>
        <v>0</v>
      </c>
    </row>
    <row r="16" spans="1:38" s="205" customFormat="1" ht="380">
      <c r="A16" s="199"/>
      <c r="B16" s="218" t="str">
        <f>'ONR 2'!B10</f>
        <v>2.4</v>
      </c>
      <c r="C16" s="221" t="str">
        <f>'ONR 2'!C10</f>
        <v>En associant l’utilisateur à la conception pour éviter des outils surdimensionnés et améliorer progressivement le niveau de conformité des services en ligne.</v>
      </c>
      <c r="D16" s="223">
        <f>'ONR 2'!D10</f>
        <v>0</v>
      </c>
      <c r="E16" s="267">
        <f>'ONR 2'!E10</f>
        <v>0</v>
      </c>
      <c r="F16" s="274">
        <f>'ONR 2'!F10</f>
        <v>0</v>
      </c>
      <c r="G16" s="200">
        <f>'ONR 2'!G10</f>
        <v>0</v>
      </c>
      <c r="H16" s="202">
        <f>'ONR 2'!H10</f>
        <v>0</v>
      </c>
      <c r="I16" s="225">
        <f>'ONR 2'!I10</f>
        <v>0</v>
      </c>
      <c r="J16" s="218">
        <f t="shared" si="36"/>
        <v>0</v>
      </c>
      <c r="K16" s="227">
        <f t="shared" si="37"/>
        <v>0</v>
      </c>
      <c r="L16" s="227" t="b">
        <f t="shared" si="38"/>
        <v>0</v>
      </c>
      <c r="M16" s="227" t="b">
        <f t="shared" si="39"/>
        <v>0</v>
      </c>
      <c r="N16" s="227" t="b">
        <f t="shared" si="40"/>
        <v>0</v>
      </c>
      <c r="O16" s="227" t="b">
        <f t="shared" si="41"/>
        <v>0</v>
      </c>
      <c r="P16" s="227" t="b">
        <f t="shared" si="42"/>
        <v>0</v>
      </c>
      <c r="Q16" s="227" t="b">
        <f t="shared" si="43"/>
        <v>0</v>
      </c>
      <c r="R16" s="227" t="b">
        <f t="shared" si="44"/>
        <v>0</v>
      </c>
      <c r="S16" s="228">
        <f t="shared" si="45"/>
        <v>0</v>
      </c>
      <c r="T16" s="226">
        <f t="shared" si="46"/>
        <v>0</v>
      </c>
      <c r="U16" s="242">
        <f t="shared" si="47"/>
        <v>0</v>
      </c>
      <c r="V16" s="229">
        <f>G16</f>
        <v>0</v>
      </c>
      <c r="W16" s="229">
        <f>'ONR 2'!V10</f>
        <v>0</v>
      </c>
      <c r="X16" s="204">
        <f>'ONR 2'!W10</f>
        <v>0</v>
      </c>
      <c r="Y16" s="230">
        <f>I16</f>
        <v>0</v>
      </c>
      <c r="Z16" s="230">
        <f>D16</f>
        <v>0</v>
      </c>
      <c r="AE16" s="206">
        <f>IF(K16=0,1,0)</f>
        <v>1</v>
      </c>
      <c r="AF16" s="206">
        <f t="shared" si="35"/>
        <v>0</v>
      </c>
      <c r="AG16" s="206">
        <f t="shared" si="35"/>
        <v>0</v>
      </c>
      <c r="AH16" s="206">
        <f t="shared" si="35"/>
        <v>0</v>
      </c>
      <c r="AI16" s="206">
        <f t="shared" si="35"/>
        <v>0</v>
      </c>
      <c r="AJ16" s="206">
        <f t="shared" si="35"/>
        <v>0</v>
      </c>
      <c r="AK16" s="206">
        <f t="shared" si="35"/>
        <v>0</v>
      </c>
      <c r="AL16" s="206">
        <f t="shared" si="35"/>
        <v>0</v>
      </c>
    </row>
    <row r="17" spans="1:38" s="116" customFormat="1" ht="22">
      <c r="A17" s="115"/>
      <c r="B17" s="379" t="str">
        <f>'ONR 3'!B2:C2</f>
        <v xml:space="preserve">ONR 3  -  RSE : S'engager pour des pratiques numériques éthiques et responsables </v>
      </c>
      <c r="C17" s="379"/>
      <c r="D17" s="379"/>
      <c r="E17" s="379"/>
      <c r="F17" s="379"/>
      <c r="G17" s="379"/>
      <c r="H17" s="379"/>
      <c r="I17" s="379"/>
      <c r="J17" s="379"/>
      <c r="K17" s="379"/>
      <c r="L17" s="379"/>
      <c r="M17" s="379"/>
      <c r="N17" s="379"/>
      <c r="O17" s="379"/>
      <c r="P17" s="379"/>
      <c r="Q17" s="379"/>
      <c r="R17" s="379"/>
      <c r="S17" s="379"/>
      <c r="T17" s="379"/>
      <c r="U17" s="379"/>
      <c r="V17" s="379"/>
      <c r="W17" s="379"/>
      <c r="X17" s="379"/>
      <c r="Y17" s="379"/>
      <c r="Z17" s="379"/>
      <c r="AB17" s="116" t="str">
        <f>B17</f>
        <v xml:space="preserve">ONR 3  -  RSE : S'engager pour des pratiques numériques éthiques et responsables </v>
      </c>
      <c r="AC17" s="116">
        <v>7</v>
      </c>
      <c r="AD17" s="116">
        <f>AC17-AE17</f>
        <v>0</v>
      </c>
      <c r="AE17" s="117">
        <f t="shared" ref="AE17:AL17" si="48">SUM(AE18:AE24)</f>
        <v>7</v>
      </c>
      <c r="AF17" s="117">
        <f t="shared" si="48"/>
        <v>0</v>
      </c>
      <c r="AG17" s="117">
        <f t="shared" si="48"/>
        <v>0</v>
      </c>
      <c r="AH17" s="117">
        <f t="shared" si="48"/>
        <v>0</v>
      </c>
      <c r="AI17" s="117">
        <f t="shared" si="48"/>
        <v>0</v>
      </c>
      <c r="AJ17" s="117">
        <f t="shared" si="48"/>
        <v>0</v>
      </c>
      <c r="AK17" s="117">
        <f t="shared" si="48"/>
        <v>0</v>
      </c>
      <c r="AL17" s="117">
        <f t="shared" si="48"/>
        <v>0</v>
      </c>
    </row>
    <row r="18" spans="1:38" s="205" customFormat="1" ht="409.6">
      <c r="A18" s="199"/>
      <c r="B18" s="219" t="str">
        <f>'ONR 3'!B7</f>
        <v>3.1</v>
      </c>
      <c r="C18" s="219" t="str">
        <f>'ONR 3'!C7</f>
        <v>En développant des usages raisonnés des données et services dans une démarche éthique vis-à-vis des impacts sur l’environnement et les populations.</v>
      </c>
      <c r="D18" s="244">
        <f>'ONR 3'!D7</f>
        <v>0</v>
      </c>
      <c r="E18" s="271">
        <f>'ONR 3'!E7</f>
        <v>0</v>
      </c>
      <c r="F18" s="278">
        <f>'ONR 3'!F7</f>
        <v>0</v>
      </c>
      <c r="G18" s="213">
        <f>'ONR 3'!G7</f>
        <v>0</v>
      </c>
      <c r="H18" s="214">
        <f>'ONR 3'!H7</f>
        <v>0</v>
      </c>
      <c r="I18" s="245">
        <f>'ONR 3'!I7</f>
        <v>0</v>
      </c>
      <c r="J18" s="246">
        <f t="shared" ref="J18:J23" si="49">S18</f>
        <v>0</v>
      </c>
      <c r="K18" s="247">
        <f t="shared" ref="K18:K23" si="50">E18*10+F18</f>
        <v>0</v>
      </c>
      <c r="L18" s="247" t="b">
        <f t="shared" ref="L18:L23" si="51">OR(K18=31)</f>
        <v>0</v>
      </c>
      <c r="M18" s="247" t="b">
        <f t="shared" ref="M18:M23" si="52">OR(K18=21,K18=32)</f>
        <v>0</v>
      </c>
      <c r="N18" s="247" t="b">
        <f t="shared" ref="N18:N23" si="53">OR(K18=22,K18=33)</f>
        <v>0</v>
      </c>
      <c r="O18" s="247" t="b">
        <f t="shared" ref="O18:O23" si="54">OR(K18=11,K18=12)</f>
        <v>0</v>
      </c>
      <c r="P18" s="247" t="b">
        <f t="shared" ref="P18:P23" si="55">OR(K18=23,K18=34)</f>
        <v>0</v>
      </c>
      <c r="Q18" s="247" t="b">
        <f t="shared" ref="Q18:Q23" si="56">OR(K18=13,K18=14,K18=24)</f>
        <v>0</v>
      </c>
      <c r="R18" s="247" t="b">
        <f t="shared" ref="R18:R23" si="57">OR(K18=1,K18=2,K18=3,K18=4)</f>
        <v>0</v>
      </c>
      <c r="S18" s="248">
        <f t="shared" ref="S18:S23" si="58">IF(COUNTA(E18:F18)&lt;2,"",(IF(L18=TRUE,$L$3,IF(M18=TRUE,$M$3,IF(N18=TRUE,$N$3,IF(O18=TRUE,$O$3,IF(P18=TRUE,$P$3,IF(Q18=TRUE,$Q$3,IF(R18=TRUE,$R$3,0)))))))))</f>
        <v>0</v>
      </c>
      <c r="T18" s="249">
        <f t="shared" ref="T18:T23" si="59">IF(COUNTA(E18:F18)&lt;2,"",(IF(L18=TRUE,6,IF(M18=TRUE,5,IF(N18=TRUE,4,IF(O18=TRUE,3,IF(P18=TRUE,2,IF(Q18=TRUE,1,IF(R18=TRUE,0,0)))))))))</f>
        <v>0</v>
      </c>
      <c r="U18" s="250">
        <f t="shared" ref="U18:U23" si="60">T18*10+H18</f>
        <v>0</v>
      </c>
      <c r="V18" s="235">
        <f t="shared" ref="V18:V24" si="61">G18</f>
        <v>0</v>
      </c>
      <c r="W18" s="235">
        <f>'ONR 3'!V7</f>
        <v>0</v>
      </c>
      <c r="X18" s="183">
        <f>'ONR 3'!W7</f>
        <v>0</v>
      </c>
      <c r="Y18" s="236">
        <f t="shared" ref="Y18:Y24" si="62">I18</f>
        <v>0</v>
      </c>
      <c r="Z18" s="236">
        <f t="shared" ref="Z18:Z24" si="63">D18</f>
        <v>0</v>
      </c>
      <c r="AE18" s="206">
        <f t="shared" ref="AE18:AE24" si="64">IF(K18=0,1,0)</f>
        <v>1</v>
      </c>
      <c r="AF18" s="206">
        <f t="shared" ref="AF18:AL24" si="65">IF(L18=TRUE,1,0)</f>
        <v>0</v>
      </c>
      <c r="AG18" s="206">
        <f t="shared" si="65"/>
        <v>0</v>
      </c>
      <c r="AH18" s="206">
        <f t="shared" si="65"/>
        <v>0</v>
      </c>
      <c r="AI18" s="206">
        <f t="shared" si="65"/>
        <v>0</v>
      </c>
      <c r="AJ18" s="206">
        <f t="shared" si="65"/>
        <v>0</v>
      </c>
      <c r="AK18" s="206">
        <f t="shared" si="65"/>
        <v>0</v>
      </c>
      <c r="AL18" s="206">
        <f t="shared" si="65"/>
        <v>0</v>
      </c>
    </row>
    <row r="19" spans="1:38" s="205" customFormat="1" ht="342">
      <c r="A19" s="199"/>
      <c r="B19" s="219" t="s">
        <v>61</v>
      </c>
      <c r="C19" s="219" t="str">
        <f>'ONR 3'!C8</f>
        <v>En luttant contre les pratiques trompeuses et présence de dark pattern dans les sites internet et en permettant de se conformer à la réglementation</v>
      </c>
      <c r="D19" s="244">
        <f>'ONR 3'!D8</f>
        <v>0</v>
      </c>
      <c r="E19" s="271">
        <f>'ONR 3'!E8</f>
        <v>0</v>
      </c>
      <c r="F19" s="278">
        <f>'ONR 3'!F8</f>
        <v>0</v>
      </c>
      <c r="G19" s="213">
        <f>'ONR 3'!G8</f>
        <v>0</v>
      </c>
      <c r="H19" s="214">
        <f>'ONR 3'!H8</f>
        <v>0</v>
      </c>
      <c r="I19" s="245">
        <f>'ONR 3'!I8</f>
        <v>0</v>
      </c>
      <c r="J19" s="246">
        <f t="shared" si="49"/>
        <v>0</v>
      </c>
      <c r="K19" s="247">
        <f t="shared" si="50"/>
        <v>0</v>
      </c>
      <c r="L19" s="247" t="b">
        <f t="shared" si="51"/>
        <v>0</v>
      </c>
      <c r="M19" s="247" t="b">
        <f t="shared" si="52"/>
        <v>0</v>
      </c>
      <c r="N19" s="247" t="b">
        <f t="shared" si="53"/>
        <v>0</v>
      </c>
      <c r="O19" s="247" t="b">
        <f t="shared" si="54"/>
        <v>0</v>
      </c>
      <c r="P19" s="247" t="b">
        <f t="shared" si="55"/>
        <v>0</v>
      </c>
      <c r="Q19" s="247" t="b">
        <f t="shared" si="56"/>
        <v>0</v>
      </c>
      <c r="R19" s="247" t="b">
        <f t="shared" si="57"/>
        <v>0</v>
      </c>
      <c r="S19" s="248">
        <f t="shared" si="58"/>
        <v>0</v>
      </c>
      <c r="T19" s="249">
        <f t="shared" si="59"/>
        <v>0</v>
      </c>
      <c r="U19" s="250">
        <f t="shared" si="60"/>
        <v>0</v>
      </c>
      <c r="V19" s="235">
        <f t="shared" si="61"/>
        <v>0</v>
      </c>
      <c r="W19" s="235">
        <f>'ONR 3'!V8</f>
        <v>0</v>
      </c>
      <c r="X19" s="183">
        <f>'ONR 3'!W8</f>
        <v>0</v>
      </c>
      <c r="Y19" s="236">
        <f t="shared" si="62"/>
        <v>0</v>
      </c>
      <c r="Z19" s="251">
        <f t="shared" si="63"/>
        <v>0</v>
      </c>
      <c r="AE19" s="206">
        <f t="shared" si="64"/>
        <v>1</v>
      </c>
      <c r="AF19" s="206">
        <f t="shared" si="65"/>
        <v>0</v>
      </c>
      <c r="AG19" s="206">
        <f t="shared" si="65"/>
        <v>0</v>
      </c>
      <c r="AH19" s="206">
        <f t="shared" si="65"/>
        <v>0</v>
      </c>
      <c r="AI19" s="206">
        <f t="shared" si="65"/>
        <v>0</v>
      </c>
      <c r="AJ19" s="206">
        <f t="shared" si="65"/>
        <v>0</v>
      </c>
      <c r="AK19" s="206">
        <f t="shared" si="65"/>
        <v>0</v>
      </c>
      <c r="AL19" s="206">
        <f t="shared" si="65"/>
        <v>0</v>
      </c>
    </row>
    <row r="20" spans="1:38" s="205" customFormat="1" ht="409.6">
      <c r="A20" s="199"/>
      <c r="B20" s="219" t="s">
        <v>63</v>
      </c>
      <c r="C20" s="219" t="str">
        <f>'ONR 3'!C9</f>
        <v>En ne collectant que les données utiles et nécessaires au service des utilisateurs, afin de limiter les risques en matière de vie privée et impacts environnementaux en conformité avec le Règlement Général sur la Protection des Données (RGPD).</v>
      </c>
      <c r="D20" s="244">
        <f>'ONR 3'!D9</f>
        <v>0</v>
      </c>
      <c r="E20" s="271">
        <f>'ONR 3'!E9</f>
        <v>0</v>
      </c>
      <c r="F20" s="278">
        <f>'ONR 3'!F9</f>
        <v>0</v>
      </c>
      <c r="G20" s="213">
        <f>'ONR 3'!G9</f>
        <v>0</v>
      </c>
      <c r="H20" s="214">
        <f>'ONR 3'!H9</f>
        <v>0</v>
      </c>
      <c r="I20" s="245">
        <f>'ONR 3'!I9</f>
        <v>0</v>
      </c>
      <c r="J20" s="246">
        <f t="shared" si="49"/>
        <v>0</v>
      </c>
      <c r="K20" s="247">
        <f t="shared" si="50"/>
        <v>0</v>
      </c>
      <c r="L20" s="247" t="b">
        <f t="shared" si="51"/>
        <v>0</v>
      </c>
      <c r="M20" s="247" t="b">
        <f t="shared" si="52"/>
        <v>0</v>
      </c>
      <c r="N20" s="247" t="b">
        <f t="shared" si="53"/>
        <v>0</v>
      </c>
      <c r="O20" s="247" t="b">
        <f t="shared" si="54"/>
        <v>0</v>
      </c>
      <c r="P20" s="247" t="b">
        <f t="shared" si="55"/>
        <v>0</v>
      </c>
      <c r="Q20" s="247" t="b">
        <f t="shared" si="56"/>
        <v>0</v>
      </c>
      <c r="R20" s="247" t="b">
        <f t="shared" si="57"/>
        <v>0</v>
      </c>
      <c r="S20" s="248">
        <f t="shared" si="58"/>
        <v>0</v>
      </c>
      <c r="T20" s="249">
        <f t="shared" si="59"/>
        <v>0</v>
      </c>
      <c r="U20" s="250">
        <f t="shared" si="60"/>
        <v>0</v>
      </c>
      <c r="V20" s="235">
        <f t="shared" si="61"/>
        <v>0</v>
      </c>
      <c r="W20" s="235">
        <f>'ONR 3'!V9</f>
        <v>0</v>
      </c>
      <c r="X20" s="183">
        <f>'ONR 3'!W9</f>
        <v>0</v>
      </c>
      <c r="Y20" s="236">
        <f t="shared" si="62"/>
        <v>0</v>
      </c>
      <c r="Z20" s="251">
        <f t="shared" si="63"/>
        <v>0</v>
      </c>
      <c r="AE20" s="206">
        <f t="shared" si="64"/>
        <v>1</v>
      </c>
      <c r="AF20" s="206">
        <f t="shared" si="65"/>
        <v>0</v>
      </c>
      <c r="AG20" s="206">
        <f t="shared" si="65"/>
        <v>0</v>
      </c>
      <c r="AH20" s="206">
        <f t="shared" si="65"/>
        <v>0</v>
      </c>
      <c r="AI20" s="206">
        <f t="shared" si="65"/>
        <v>0</v>
      </c>
      <c r="AJ20" s="206">
        <f t="shared" si="65"/>
        <v>0</v>
      </c>
      <c r="AK20" s="206">
        <f t="shared" si="65"/>
        <v>0</v>
      </c>
      <c r="AL20" s="206">
        <f t="shared" si="65"/>
        <v>0</v>
      </c>
    </row>
    <row r="21" spans="1:38" s="205" customFormat="1" ht="409.6">
      <c r="A21" s="199"/>
      <c r="B21" s="238" t="s">
        <v>65</v>
      </c>
      <c r="C21" s="219" t="str">
        <f>'ONR 3'!C10</f>
        <v>En favorisant la diversité des recrutements des métiers du numérique</v>
      </c>
      <c r="D21" s="244">
        <f>'ONR 3'!D10</f>
        <v>0</v>
      </c>
      <c r="E21" s="271">
        <f>'ONR 3'!E10</f>
        <v>0</v>
      </c>
      <c r="F21" s="278">
        <f>'ONR 3'!F10</f>
        <v>0</v>
      </c>
      <c r="G21" s="213">
        <f>'ONR 3'!G10</f>
        <v>0</v>
      </c>
      <c r="H21" s="214">
        <f>'ONR 3'!H10</f>
        <v>0</v>
      </c>
      <c r="I21" s="245">
        <f>'ONR 3'!I10</f>
        <v>0</v>
      </c>
      <c r="J21" s="246">
        <f t="shared" si="49"/>
        <v>0</v>
      </c>
      <c r="K21" s="247">
        <f t="shared" si="50"/>
        <v>0</v>
      </c>
      <c r="L21" s="247" t="b">
        <f t="shared" si="51"/>
        <v>0</v>
      </c>
      <c r="M21" s="247" t="b">
        <f t="shared" si="52"/>
        <v>0</v>
      </c>
      <c r="N21" s="247" t="b">
        <f t="shared" si="53"/>
        <v>0</v>
      </c>
      <c r="O21" s="247" t="b">
        <f t="shared" si="54"/>
        <v>0</v>
      </c>
      <c r="P21" s="247" t="b">
        <f t="shared" si="55"/>
        <v>0</v>
      </c>
      <c r="Q21" s="247" t="b">
        <f t="shared" si="56"/>
        <v>0</v>
      </c>
      <c r="R21" s="247" t="b">
        <f t="shared" si="57"/>
        <v>0</v>
      </c>
      <c r="S21" s="248">
        <f t="shared" si="58"/>
        <v>0</v>
      </c>
      <c r="T21" s="249">
        <f t="shared" si="59"/>
        <v>0</v>
      </c>
      <c r="U21" s="250">
        <f t="shared" si="60"/>
        <v>0</v>
      </c>
      <c r="V21" s="252">
        <f t="shared" si="61"/>
        <v>0</v>
      </c>
      <c r="W21" s="252">
        <f>'ONR 3'!V10</f>
        <v>0</v>
      </c>
      <c r="X21" s="183">
        <f>'ONR 3'!W10</f>
        <v>0</v>
      </c>
      <c r="Y21" s="253">
        <f t="shared" si="62"/>
        <v>0</v>
      </c>
      <c r="Z21" s="251">
        <f t="shared" si="63"/>
        <v>0</v>
      </c>
      <c r="AE21" s="206">
        <f t="shared" si="64"/>
        <v>1</v>
      </c>
      <c r="AF21" s="206">
        <f t="shared" si="65"/>
        <v>0</v>
      </c>
      <c r="AG21" s="206">
        <f t="shared" si="65"/>
        <v>0</v>
      </c>
      <c r="AH21" s="206">
        <f t="shared" si="65"/>
        <v>0</v>
      </c>
      <c r="AI21" s="206">
        <f t="shared" si="65"/>
        <v>0</v>
      </c>
      <c r="AJ21" s="206">
        <f t="shared" si="65"/>
        <v>0</v>
      </c>
      <c r="AK21" s="206">
        <f t="shared" si="65"/>
        <v>0</v>
      </c>
      <c r="AL21" s="206">
        <f t="shared" si="65"/>
        <v>0</v>
      </c>
    </row>
    <row r="22" spans="1:38" s="205" customFormat="1" ht="342">
      <c r="A22" s="199"/>
      <c r="B22" s="238" t="s">
        <v>67</v>
      </c>
      <c r="C22" s="219" t="str">
        <f>'ONR 3'!C11</f>
        <v>En améliorant les conditions des travailleurs du numérique</v>
      </c>
      <c r="D22" s="244">
        <f>'ONR 3'!D11</f>
        <v>0</v>
      </c>
      <c r="E22" s="271">
        <f>'ONR 3'!E11</f>
        <v>0</v>
      </c>
      <c r="F22" s="278">
        <f>'ONR 3'!F11</f>
        <v>0</v>
      </c>
      <c r="G22" s="213">
        <f>'ONR 3'!G11</f>
        <v>0</v>
      </c>
      <c r="H22" s="214">
        <f>'ONR 3'!H11</f>
        <v>0</v>
      </c>
      <c r="I22" s="245">
        <f>'ONR 3'!I11</f>
        <v>0</v>
      </c>
      <c r="J22" s="246">
        <f t="shared" si="49"/>
        <v>0</v>
      </c>
      <c r="K22" s="247">
        <f t="shared" si="50"/>
        <v>0</v>
      </c>
      <c r="L22" s="247" t="b">
        <f t="shared" si="51"/>
        <v>0</v>
      </c>
      <c r="M22" s="247" t="b">
        <f t="shared" si="52"/>
        <v>0</v>
      </c>
      <c r="N22" s="247" t="b">
        <f t="shared" si="53"/>
        <v>0</v>
      </c>
      <c r="O22" s="247" t="b">
        <f t="shared" si="54"/>
        <v>0</v>
      </c>
      <c r="P22" s="247" t="b">
        <f t="shared" si="55"/>
        <v>0</v>
      </c>
      <c r="Q22" s="247" t="b">
        <f t="shared" si="56"/>
        <v>0</v>
      </c>
      <c r="R22" s="247" t="b">
        <f t="shared" si="57"/>
        <v>0</v>
      </c>
      <c r="S22" s="248">
        <f t="shared" si="58"/>
        <v>0</v>
      </c>
      <c r="T22" s="249">
        <f t="shared" si="59"/>
        <v>0</v>
      </c>
      <c r="U22" s="250">
        <f t="shared" si="60"/>
        <v>0</v>
      </c>
      <c r="V22" s="252">
        <f t="shared" si="61"/>
        <v>0</v>
      </c>
      <c r="W22" s="145">
        <f>'ONR 3'!V11</f>
        <v>0</v>
      </c>
      <c r="X22" s="183">
        <f>'ONR 3'!W11</f>
        <v>0</v>
      </c>
      <c r="Y22" s="253">
        <f t="shared" si="62"/>
        <v>0</v>
      </c>
      <c r="Z22" s="251">
        <f t="shared" si="63"/>
        <v>0</v>
      </c>
      <c r="AE22" s="206">
        <f t="shared" si="64"/>
        <v>1</v>
      </c>
      <c r="AF22" s="206">
        <f t="shared" si="65"/>
        <v>0</v>
      </c>
      <c r="AG22" s="206">
        <f t="shared" si="65"/>
        <v>0</v>
      </c>
      <c r="AH22" s="206">
        <f t="shared" si="65"/>
        <v>0</v>
      </c>
      <c r="AI22" s="206">
        <f t="shared" si="65"/>
        <v>0</v>
      </c>
      <c r="AJ22" s="206">
        <f t="shared" si="65"/>
        <v>0</v>
      </c>
      <c r="AK22" s="206">
        <f t="shared" si="65"/>
        <v>0</v>
      </c>
      <c r="AL22" s="206">
        <f t="shared" si="65"/>
        <v>0</v>
      </c>
    </row>
    <row r="23" spans="1:38" s="205" customFormat="1" ht="409.6">
      <c r="A23" s="199"/>
      <c r="B23" s="219" t="s">
        <v>69</v>
      </c>
      <c r="C23" s="219" t="str">
        <f>'ONR 3'!C12</f>
        <v>En s’inscrivant résolument dans des dispositifs d’éthique algorithmique sur l’utilisation et la protection des données, notamment au regard de l’intelligence artificielle</v>
      </c>
      <c r="D23" s="244">
        <f>'ONR 3'!D12</f>
        <v>0</v>
      </c>
      <c r="E23" s="271">
        <f>'ONR 3'!E12</f>
        <v>0</v>
      </c>
      <c r="F23" s="278">
        <f>'ONR 3'!F12</f>
        <v>0</v>
      </c>
      <c r="G23" s="213">
        <f>'ONR 3'!G12</f>
        <v>0</v>
      </c>
      <c r="H23" s="214">
        <f>'ONR 3'!H12</f>
        <v>0</v>
      </c>
      <c r="I23" s="245">
        <f>'ONR 3'!I12</f>
        <v>0</v>
      </c>
      <c r="J23" s="246">
        <f t="shared" si="49"/>
        <v>0</v>
      </c>
      <c r="K23" s="247">
        <f t="shared" si="50"/>
        <v>0</v>
      </c>
      <c r="L23" s="247" t="b">
        <f t="shared" si="51"/>
        <v>0</v>
      </c>
      <c r="M23" s="247" t="b">
        <f t="shared" si="52"/>
        <v>0</v>
      </c>
      <c r="N23" s="247" t="b">
        <f t="shared" si="53"/>
        <v>0</v>
      </c>
      <c r="O23" s="247" t="b">
        <f t="shared" si="54"/>
        <v>0</v>
      </c>
      <c r="P23" s="247" t="b">
        <f t="shared" si="55"/>
        <v>0</v>
      </c>
      <c r="Q23" s="247" t="b">
        <f t="shared" si="56"/>
        <v>0</v>
      </c>
      <c r="R23" s="247" t="b">
        <f t="shared" si="57"/>
        <v>0</v>
      </c>
      <c r="S23" s="248">
        <f t="shared" si="58"/>
        <v>0</v>
      </c>
      <c r="T23" s="249">
        <f t="shared" si="59"/>
        <v>0</v>
      </c>
      <c r="U23" s="250">
        <f t="shared" si="60"/>
        <v>0</v>
      </c>
      <c r="V23" s="241">
        <f t="shared" si="61"/>
        <v>0</v>
      </c>
      <c r="W23" s="148">
        <f>'ONR 3'!V12</f>
        <v>0</v>
      </c>
      <c r="X23" s="183">
        <f>'ONR 3'!W12</f>
        <v>0</v>
      </c>
      <c r="Y23" s="254">
        <f t="shared" si="62"/>
        <v>0</v>
      </c>
      <c r="Z23" s="251">
        <f t="shared" si="63"/>
        <v>0</v>
      </c>
      <c r="AE23" s="206">
        <f t="shared" si="64"/>
        <v>1</v>
      </c>
      <c r="AF23" s="206">
        <f t="shared" si="65"/>
        <v>0</v>
      </c>
      <c r="AG23" s="206">
        <f t="shared" si="65"/>
        <v>0</v>
      </c>
      <c r="AH23" s="206">
        <f t="shared" si="65"/>
        <v>0</v>
      </c>
      <c r="AI23" s="206">
        <f t="shared" si="65"/>
        <v>0</v>
      </c>
      <c r="AJ23" s="206">
        <f t="shared" si="65"/>
        <v>0</v>
      </c>
      <c r="AK23" s="206">
        <f t="shared" si="65"/>
        <v>0</v>
      </c>
      <c r="AL23" s="206">
        <f t="shared" si="65"/>
        <v>0</v>
      </c>
    </row>
    <row r="24" spans="1:38" s="205" customFormat="1" ht="343" thickBot="1">
      <c r="A24" s="199"/>
      <c r="B24" s="220" t="s">
        <v>71</v>
      </c>
      <c r="C24" s="220" t="str">
        <f>'ONR 3'!C13</f>
        <v>En déployant et valorisant la démarche RSE</v>
      </c>
      <c r="D24" s="244">
        <f>'ONR 3'!D13</f>
        <v>0</v>
      </c>
      <c r="E24" s="271">
        <f>'ONR 3'!E13</f>
        <v>0</v>
      </c>
      <c r="F24" s="278">
        <f>'ONR 3'!F13</f>
        <v>0</v>
      </c>
      <c r="G24" s="213">
        <f>'ONR 3'!G13</f>
        <v>0</v>
      </c>
      <c r="H24" s="214">
        <f>'ONR 3'!H13</f>
        <v>0</v>
      </c>
      <c r="I24" s="245">
        <f>'ONR 3'!I13</f>
        <v>0</v>
      </c>
      <c r="J24" s="246">
        <f t="shared" ref="J24" si="66">S24</f>
        <v>0</v>
      </c>
      <c r="K24" s="247">
        <f t="shared" ref="K24" si="67">E24*10+F24</f>
        <v>0</v>
      </c>
      <c r="L24" s="247" t="b">
        <f t="shared" ref="L24" si="68">OR(K24=31)</f>
        <v>0</v>
      </c>
      <c r="M24" s="247" t="b">
        <f t="shared" ref="M24" si="69">OR(K24=21,K24=32)</f>
        <v>0</v>
      </c>
      <c r="N24" s="247" t="b">
        <f t="shared" ref="N24" si="70">OR(K24=22,K24=33)</f>
        <v>0</v>
      </c>
      <c r="O24" s="247" t="b">
        <f t="shared" ref="O24" si="71">OR(K24=11,K24=12)</f>
        <v>0</v>
      </c>
      <c r="P24" s="247" t="b">
        <f t="shared" ref="P24" si="72">OR(K24=23,K24=34)</f>
        <v>0</v>
      </c>
      <c r="Q24" s="247" t="b">
        <f t="shared" ref="Q24" si="73">OR(K24=13,K24=14,K24=24)</f>
        <v>0</v>
      </c>
      <c r="R24" s="247" t="b">
        <f t="shared" ref="R24" si="74">OR(K24=1,K24=2,K24=3,K24=4)</f>
        <v>0</v>
      </c>
      <c r="S24" s="248">
        <f t="shared" ref="S24" si="75">IF(COUNTA(E24:F24)&lt;2,"",(IF(L24=TRUE,$L$3,IF(M24=TRUE,$M$3,IF(N24=TRUE,$N$3,IF(O24=TRUE,$O$3,IF(P24=TRUE,$P$3,IF(Q24=TRUE,$Q$3,IF(R24=TRUE,$R$3,0)))))))))</f>
        <v>0</v>
      </c>
      <c r="T24" s="249">
        <f t="shared" ref="T24" si="76">IF(COUNTA(E24:F24)&lt;2,"",(IF(L24=TRUE,6,IF(M24=TRUE,5,IF(N24=TRUE,4,IF(O24=TRUE,3,IF(P24=TRUE,2,IF(Q24=TRUE,1,IF(R24=TRUE,0,0)))))))))</f>
        <v>0</v>
      </c>
      <c r="U24" s="250">
        <f t="shared" ref="U24" si="77">T24*10+H24</f>
        <v>0</v>
      </c>
      <c r="V24" s="255">
        <f t="shared" si="61"/>
        <v>0</v>
      </c>
      <c r="W24" s="215">
        <f>'ONR 3'!V13</f>
        <v>0</v>
      </c>
      <c r="X24" s="183">
        <f>'ONR 3'!W13</f>
        <v>0</v>
      </c>
      <c r="Y24" s="251">
        <f t="shared" si="62"/>
        <v>0</v>
      </c>
      <c r="Z24" s="251">
        <f t="shared" si="63"/>
        <v>0</v>
      </c>
      <c r="AE24" s="206">
        <f t="shared" si="64"/>
        <v>1</v>
      </c>
      <c r="AF24" s="206">
        <f t="shared" si="65"/>
        <v>0</v>
      </c>
      <c r="AG24" s="206">
        <f t="shared" si="65"/>
        <v>0</v>
      </c>
      <c r="AH24" s="206">
        <f t="shared" si="65"/>
        <v>0</v>
      </c>
      <c r="AI24" s="206">
        <f t="shared" si="65"/>
        <v>0</v>
      </c>
      <c r="AJ24" s="206">
        <f t="shared" si="65"/>
        <v>0</v>
      </c>
      <c r="AK24" s="206">
        <f t="shared" si="65"/>
        <v>0</v>
      </c>
      <c r="AL24" s="206">
        <f t="shared" si="65"/>
        <v>0</v>
      </c>
    </row>
    <row r="25" spans="1:38" s="116" customFormat="1" ht="23" thickBot="1">
      <c r="A25" s="115"/>
      <c r="B25" s="360" t="str">
        <f>'ONR 4'!B2:C2</f>
        <v>ONR 4  -  RESILIENCE ET STRATEGIE :  S'engager vers un numérique responsable, indispensable pour assurer la résilience des organisations</v>
      </c>
      <c r="C25" s="361"/>
      <c r="D25" s="361"/>
      <c r="E25" s="361"/>
      <c r="F25" s="361"/>
      <c r="G25" s="361"/>
      <c r="H25" s="361"/>
      <c r="I25" s="361"/>
      <c r="J25" s="361"/>
      <c r="K25" s="361"/>
      <c r="L25" s="361"/>
      <c r="M25" s="361"/>
      <c r="N25" s="361"/>
      <c r="O25" s="361"/>
      <c r="P25" s="361"/>
      <c r="Q25" s="361"/>
      <c r="R25" s="361"/>
      <c r="S25" s="361"/>
      <c r="T25" s="361"/>
      <c r="U25" s="361"/>
      <c r="V25" s="361"/>
      <c r="W25" s="361"/>
      <c r="X25" s="361"/>
      <c r="Y25" s="361"/>
      <c r="Z25" s="378"/>
      <c r="AB25" s="116" t="str">
        <f>B25</f>
        <v>ONR 4  -  RESILIENCE ET STRATEGIE :  S'engager vers un numérique responsable, indispensable pour assurer la résilience des organisations</v>
      </c>
      <c r="AC25" s="116">
        <v>3</v>
      </c>
      <c r="AD25" s="116">
        <f>AC25-AE25</f>
        <v>-1</v>
      </c>
      <c r="AE25" s="117">
        <f t="shared" ref="AE25:AL25" si="78">SUM(AE26:AE29)</f>
        <v>4</v>
      </c>
      <c r="AF25" s="117">
        <f t="shared" si="78"/>
        <v>0</v>
      </c>
      <c r="AG25" s="117">
        <f t="shared" si="78"/>
        <v>0</v>
      </c>
      <c r="AH25" s="117">
        <f t="shared" si="78"/>
        <v>0</v>
      </c>
      <c r="AI25" s="117">
        <f t="shared" si="78"/>
        <v>0</v>
      </c>
      <c r="AJ25" s="117">
        <f t="shared" si="78"/>
        <v>0</v>
      </c>
      <c r="AK25" s="117">
        <f t="shared" si="78"/>
        <v>0</v>
      </c>
      <c r="AL25" s="117">
        <f t="shared" si="78"/>
        <v>0</v>
      </c>
    </row>
    <row r="26" spans="1:38" s="205" customFormat="1" ht="380">
      <c r="A26" s="199"/>
      <c r="B26" s="218" t="str">
        <f>'ONR 4'!B7</f>
        <v>4.1</v>
      </c>
      <c r="C26" s="218" t="str">
        <f>'ONR 4'!C7</f>
        <v>En respectant l'application des normes communes pour collecter, rassembler, analyser et partager les données sur les impacts des Technologie de l’Information et de la Communication (TIC) .</v>
      </c>
      <c r="D26" s="223">
        <f>'ONR 4'!D7</f>
        <v>0</v>
      </c>
      <c r="E26" s="267">
        <f>'ONR 4'!E7</f>
        <v>0</v>
      </c>
      <c r="F26" s="274">
        <f>'ONR 4'!F7</f>
        <v>0</v>
      </c>
      <c r="G26" s="200">
        <f>'ONR 4'!G7</f>
        <v>0</v>
      </c>
      <c r="H26" s="202">
        <f>'ONR 4'!H7</f>
        <v>0</v>
      </c>
      <c r="I26" s="225">
        <f>'ONR 4'!I7</f>
        <v>0</v>
      </c>
      <c r="J26" s="218">
        <f>S26</f>
        <v>0</v>
      </c>
      <c r="K26" s="227">
        <f t="shared" ref="K26:K27" si="79">E26*10+F26</f>
        <v>0</v>
      </c>
      <c r="L26" s="227" t="b">
        <f>OR(K26=31)</f>
        <v>0</v>
      </c>
      <c r="M26" s="227" t="b">
        <f>OR(K26=21,K26=32)</f>
        <v>0</v>
      </c>
      <c r="N26" s="227" t="b">
        <f>OR(K26=22,K26=33)</f>
        <v>0</v>
      </c>
      <c r="O26" s="227" t="b">
        <f>OR(K26=11,K26=12)</f>
        <v>0</v>
      </c>
      <c r="P26" s="227" t="b">
        <f>OR(K26=23,K26=34)</f>
        <v>0</v>
      </c>
      <c r="Q26" s="227" t="b">
        <f>OR(K26=13,K26=14,K26=24)</f>
        <v>0</v>
      </c>
      <c r="R26" s="227" t="b">
        <f>OR(K26=1,K26=2,K26=3,K26=4)</f>
        <v>0</v>
      </c>
      <c r="S26" s="228">
        <f t="shared" ref="S26:S27" si="80">IF(COUNTA(E26:F26)&lt;2,"",(IF(L26=TRUE,$L$3,IF(M26=TRUE,$M$3,IF(N26=TRUE,$N$3,IF(O26=TRUE,$O$3,IF(P26=TRUE,$P$3,IF(Q26=TRUE,$Q$3,IF(R26=TRUE,$R$3,0)))))))))</f>
        <v>0</v>
      </c>
      <c r="T26" s="226">
        <f t="shared" ref="T26:T27" si="81">IF(COUNTA(E26:F26)&lt;2,"",(IF(L26=TRUE,6,IF(M26=TRUE,5,IF(N26=TRUE,4,IF(O26=TRUE,3,IF(P26=TRUE,2,IF(Q26=TRUE,1,IF(R26=TRUE,0,0)))))))))</f>
        <v>0</v>
      </c>
      <c r="U26" s="242">
        <f t="shared" ref="U26:U27" si="82">T26*10+H26</f>
        <v>0</v>
      </c>
      <c r="V26" s="229">
        <f>G26</f>
        <v>0</v>
      </c>
      <c r="W26" s="203">
        <f>'ONR 4'!V7</f>
        <v>0</v>
      </c>
      <c r="X26" s="204">
        <f>'ONR 4'!W7</f>
        <v>0</v>
      </c>
      <c r="Y26" s="230">
        <f>I26</f>
        <v>0</v>
      </c>
      <c r="Z26" s="230">
        <f>D26</f>
        <v>0</v>
      </c>
      <c r="AE26" s="206">
        <f>IF(K26=0,1,0)</f>
        <v>1</v>
      </c>
      <c r="AF26" s="206">
        <f t="shared" ref="AF26:AL29" si="83">IF(L26=TRUE,1,0)</f>
        <v>0</v>
      </c>
      <c r="AG26" s="206">
        <f t="shared" si="83"/>
        <v>0</v>
      </c>
      <c r="AH26" s="206">
        <f t="shared" si="83"/>
        <v>0</v>
      </c>
      <c r="AI26" s="206">
        <f t="shared" si="83"/>
        <v>0</v>
      </c>
      <c r="AJ26" s="206">
        <f t="shared" si="83"/>
        <v>0</v>
      </c>
      <c r="AK26" s="206">
        <f t="shared" si="83"/>
        <v>0</v>
      </c>
      <c r="AL26" s="206">
        <f t="shared" si="83"/>
        <v>0</v>
      </c>
    </row>
    <row r="27" spans="1:38" s="205" customFormat="1" ht="342">
      <c r="A27" s="199"/>
      <c r="B27" s="219" t="str">
        <f>'ONR 4'!B8</f>
        <v>4.2</v>
      </c>
      <c r="C27" s="219" t="str">
        <f>'ONR 4'!C8</f>
        <v>En participant à une démarche collaborative de conception et d’évaluation des services numériques en adéquation avec les réels besoins.</v>
      </c>
      <c r="D27" s="231">
        <f>'ONR 4'!D8</f>
        <v>0</v>
      </c>
      <c r="E27" s="268">
        <f>'ONR 4'!E8</f>
        <v>0</v>
      </c>
      <c r="F27" s="275">
        <f>'ONR 4'!F8</f>
        <v>0</v>
      </c>
      <c r="G27" s="207">
        <f>'ONR 4'!G8</f>
        <v>0</v>
      </c>
      <c r="H27" s="201">
        <f>'ONR 4'!H8</f>
        <v>0</v>
      </c>
      <c r="I27" s="224">
        <f>'ONR 4'!I8</f>
        <v>0</v>
      </c>
      <c r="J27" s="219">
        <f t="shared" ref="J27:J35" si="84">S27</f>
        <v>0</v>
      </c>
      <c r="K27" s="233">
        <f t="shared" si="79"/>
        <v>0</v>
      </c>
      <c r="L27" s="233" t="b">
        <f t="shared" ref="L27" si="85">OR(K27=31)</f>
        <v>0</v>
      </c>
      <c r="M27" s="233" t="b">
        <f t="shared" ref="M27" si="86">OR(K27=21,K27=32)</f>
        <v>0</v>
      </c>
      <c r="N27" s="233" t="b">
        <f t="shared" ref="N27" si="87">OR(K27=22,K27=33)</f>
        <v>0</v>
      </c>
      <c r="O27" s="233" t="b">
        <f t="shared" ref="O27" si="88">OR(K27=11,K27=12)</f>
        <v>0</v>
      </c>
      <c r="P27" s="233" t="b">
        <f t="shared" ref="P27" si="89">OR(K27=23,K27=34)</f>
        <v>0</v>
      </c>
      <c r="Q27" s="233" t="b">
        <f t="shared" ref="Q27" si="90">OR(K27=13,K27=14,K27=24)</f>
        <v>0</v>
      </c>
      <c r="R27" s="233" t="b">
        <f t="shared" ref="R27" si="91">OR(K27=1,K27=2,K27=3,K27=4)</f>
        <v>0</v>
      </c>
      <c r="S27" s="234">
        <f t="shared" si="80"/>
        <v>0</v>
      </c>
      <c r="T27" s="232">
        <f t="shared" si="81"/>
        <v>0</v>
      </c>
      <c r="U27" s="243">
        <f t="shared" si="82"/>
        <v>0</v>
      </c>
      <c r="V27" s="235">
        <f>G27</f>
        <v>0</v>
      </c>
      <c r="W27" s="142">
        <f>'ONR 4'!V8</f>
        <v>0</v>
      </c>
      <c r="X27" s="204">
        <f>'ONR 4'!W8</f>
        <v>0</v>
      </c>
      <c r="Y27" s="236">
        <f>I27</f>
        <v>0</v>
      </c>
      <c r="Z27" s="236">
        <f>D27</f>
        <v>0</v>
      </c>
      <c r="AE27" s="206">
        <f>IF(K27=0,1,0)</f>
        <v>1</v>
      </c>
      <c r="AF27" s="206">
        <f t="shared" si="83"/>
        <v>0</v>
      </c>
      <c r="AG27" s="206">
        <f t="shared" si="83"/>
        <v>0</v>
      </c>
      <c r="AH27" s="206">
        <f t="shared" si="83"/>
        <v>0</v>
      </c>
      <c r="AI27" s="206">
        <f t="shared" si="83"/>
        <v>0</v>
      </c>
      <c r="AJ27" s="206">
        <f t="shared" si="83"/>
        <v>0</v>
      </c>
      <c r="AK27" s="206">
        <f t="shared" si="83"/>
        <v>0</v>
      </c>
      <c r="AL27" s="206">
        <f t="shared" si="83"/>
        <v>0</v>
      </c>
    </row>
    <row r="28" spans="1:38" s="205" customFormat="1" ht="409.6">
      <c r="A28" s="199"/>
      <c r="B28" s="219" t="str">
        <f>'ONR 4'!B9</f>
        <v>4.3</v>
      </c>
      <c r="C28" s="219" t="str">
        <f>'ONR 4'!C9</f>
        <v>En restant innovant dans l’utilisation de nouveaux outils numériques et assurer leur analyse d'impact avec transparence et visibilité pour les utilisatuer</v>
      </c>
      <c r="D28" s="231">
        <f>'ONR 4'!D9</f>
        <v>0</v>
      </c>
      <c r="E28" s="268">
        <f>'ONR 4'!E9</f>
        <v>0</v>
      </c>
      <c r="F28" s="275">
        <f>'ONR 4'!F9</f>
        <v>0</v>
      </c>
      <c r="G28" s="207">
        <f>'ONR 4'!G9</f>
        <v>0</v>
      </c>
      <c r="H28" s="201">
        <f>'ONR 4'!H9</f>
        <v>0</v>
      </c>
      <c r="I28" s="224">
        <f>'ONR 4'!I9</f>
        <v>0</v>
      </c>
      <c r="J28" s="219">
        <f t="shared" ref="J28:J29" si="92">S28</f>
        <v>0</v>
      </c>
      <c r="K28" s="233">
        <f t="shared" ref="K28:K29" si="93">E28*10+F28</f>
        <v>0</v>
      </c>
      <c r="L28" s="233" t="b">
        <f t="shared" ref="L28:L29" si="94">OR(K28=31)</f>
        <v>0</v>
      </c>
      <c r="M28" s="233" t="b">
        <f t="shared" ref="M28:M29" si="95">OR(K28=21,K28=32)</f>
        <v>0</v>
      </c>
      <c r="N28" s="233" t="b">
        <f t="shared" ref="N28:N29" si="96">OR(K28=22,K28=33)</f>
        <v>0</v>
      </c>
      <c r="O28" s="233" t="b">
        <f t="shared" ref="O28:O29" si="97">OR(K28=11,K28=12)</f>
        <v>0</v>
      </c>
      <c r="P28" s="233" t="b">
        <f t="shared" ref="P28:P29" si="98">OR(K28=23,K28=34)</f>
        <v>0</v>
      </c>
      <c r="Q28" s="233" t="b">
        <f t="shared" ref="Q28:Q29" si="99">OR(K28=13,K28=14,K28=24)</f>
        <v>0</v>
      </c>
      <c r="R28" s="233" t="b">
        <f t="shared" ref="R28:R29" si="100">OR(K28=1,K28=2,K28=3,K28=4)</f>
        <v>0</v>
      </c>
      <c r="S28" s="234">
        <f t="shared" ref="S28:S29" si="101">IF(COUNTA(E28:F28)&lt;2,"",(IF(L28=TRUE,$L$3,IF(M28=TRUE,$M$3,IF(N28=TRUE,$N$3,IF(O28=TRUE,$O$3,IF(P28=TRUE,$P$3,IF(Q28=TRUE,$Q$3,IF(R28=TRUE,$R$3,0)))))))))</f>
        <v>0</v>
      </c>
      <c r="T28" s="232">
        <f t="shared" ref="T28:T29" si="102">IF(COUNTA(E28:F28)&lt;2,"",(IF(L28=TRUE,6,IF(M28=TRUE,5,IF(N28=TRUE,4,IF(O28=TRUE,3,IF(P28=TRUE,2,IF(Q28=TRUE,1,IF(R28=TRUE,0,0)))))))))</f>
        <v>0</v>
      </c>
      <c r="U28" s="243">
        <f t="shared" ref="U28:U29" si="103">T28*10+H28</f>
        <v>0</v>
      </c>
      <c r="V28" s="235">
        <f>G28</f>
        <v>0</v>
      </c>
      <c r="W28" s="142">
        <f>'ONR 4'!V9</f>
        <v>0</v>
      </c>
      <c r="X28" s="204">
        <f>'ONR 4'!W9</f>
        <v>0</v>
      </c>
      <c r="Y28" s="236">
        <f>I28</f>
        <v>0</v>
      </c>
      <c r="Z28" s="236">
        <f>D28</f>
        <v>0</v>
      </c>
      <c r="AE28" s="206">
        <f>IF(K28=0,1,0)</f>
        <v>1</v>
      </c>
      <c r="AF28" s="206">
        <f t="shared" si="83"/>
        <v>0</v>
      </c>
      <c r="AG28" s="206">
        <f t="shared" si="83"/>
        <v>0</v>
      </c>
      <c r="AH28" s="206">
        <f t="shared" si="83"/>
        <v>0</v>
      </c>
      <c r="AI28" s="206">
        <f t="shared" si="83"/>
        <v>0</v>
      </c>
      <c r="AJ28" s="206">
        <f t="shared" si="83"/>
        <v>0</v>
      </c>
      <c r="AK28" s="206">
        <f t="shared" si="83"/>
        <v>0</v>
      </c>
      <c r="AL28" s="206">
        <f t="shared" si="83"/>
        <v>0</v>
      </c>
    </row>
    <row r="29" spans="1:38" s="205" customFormat="1" ht="409.6" thickBot="1">
      <c r="A29" s="199"/>
      <c r="B29" s="219" t="str">
        <f>'ONR 4'!B10</f>
        <v>4.4</v>
      </c>
      <c r="C29" s="219" t="str">
        <f>'ONR 4'!C10</f>
        <v>En permettant et en garrantissant plus de souveraineté numérique</v>
      </c>
      <c r="D29" s="231">
        <f>'ONR 4'!D10</f>
        <v>0</v>
      </c>
      <c r="E29" s="268">
        <f>'ONR 4'!E10</f>
        <v>0</v>
      </c>
      <c r="F29" s="275">
        <f>'ONR 4'!F10</f>
        <v>0</v>
      </c>
      <c r="G29" s="207">
        <f>'ONR 4'!G10</f>
        <v>0</v>
      </c>
      <c r="H29" s="201">
        <f>'ONR 4'!H10</f>
        <v>0</v>
      </c>
      <c r="I29" s="224">
        <f>'ONR 4'!I10</f>
        <v>0</v>
      </c>
      <c r="J29" s="219">
        <f t="shared" si="92"/>
        <v>0</v>
      </c>
      <c r="K29" s="233">
        <f t="shared" si="93"/>
        <v>0</v>
      </c>
      <c r="L29" s="233" t="b">
        <f t="shared" si="94"/>
        <v>0</v>
      </c>
      <c r="M29" s="233" t="b">
        <f t="shared" si="95"/>
        <v>0</v>
      </c>
      <c r="N29" s="233" t="b">
        <f t="shared" si="96"/>
        <v>0</v>
      </c>
      <c r="O29" s="233" t="b">
        <f t="shared" si="97"/>
        <v>0</v>
      </c>
      <c r="P29" s="233" t="b">
        <f t="shared" si="98"/>
        <v>0</v>
      </c>
      <c r="Q29" s="233" t="b">
        <f t="shared" si="99"/>
        <v>0</v>
      </c>
      <c r="R29" s="233" t="b">
        <f t="shared" si="100"/>
        <v>0</v>
      </c>
      <c r="S29" s="234">
        <f t="shared" si="101"/>
        <v>0</v>
      </c>
      <c r="T29" s="232">
        <f t="shared" si="102"/>
        <v>0</v>
      </c>
      <c r="U29" s="243">
        <f t="shared" si="103"/>
        <v>0</v>
      </c>
      <c r="V29" s="235">
        <f>G29</f>
        <v>0</v>
      </c>
      <c r="W29" s="142">
        <f>'ONR 4'!V10</f>
        <v>0</v>
      </c>
      <c r="X29" s="204">
        <f>'ONR 4'!W10</f>
        <v>0</v>
      </c>
      <c r="Y29" s="236">
        <f>I29</f>
        <v>0</v>
      </c>
      <c r="Z29" s="236">
        <f>D29</f>
        <v>0</v>
      </c>
      <c r="AE29" s="206">
        <f>IF(K29=0,1,0)</f>
        <v>1</v>
      </c>
      <c r="AF29" s="206">
        <f t="shared" si="83"/>
        <v>0</v>
      </c>
      <c r="AG29" s="206">
        <f t="shared" si="83"/>
        <v>0</v>
      </c>
      <c r="AH29" s="206">
        <f t="shared" si="83"/>
        <v>0</v>
      </c>
      <c r="AI29" s="206">
        <f t="shared" si="83"/>
        <v>0</v>
      </c>
      <c r="AJ29" s="206">
        <f t="shared" si="83"/>
        <v>0</v>
      </c>
      <c r="AK29" s="206">
        <f t="shared" si="83"/>
        <v>0</v>
      </c>
      <c r="AL29" s="206">
        <f t="shared" si="83"/>
        <v>0</v>
      </c>
    </row>
    <row r="30" spans="1:38" s="116" customFormat="1" ht="23" thickBot="1">
      <c r="A30" s="115"/>
      <c r="B30" s="360" t="str">
        <f>'ONR 5'!B2:C2</f>
        <v>ONR 5  -  MANAGEMENT :  S'engager à faire les choses avec sens en respectant et en préservant les ressources qui produisent</v>
      </c>
      <c r="C30" s="361"/>
      <c r="D30" s="361"/>
      <c r="E30" s="361"/>
      <c r="F30" s="361"/>
      <c r="G30" s="361"/>
      <c r="H30" s="361"/>
      <c r="I30" s="361"/>
      <c r="J30" s="361"/>
      <c r="K30" s="361"/>
      <c r="L30" s="361"/>
      <c r="M30" s="361"/>
      <c r="N30" s="361"/>
      <c r="O30" s="361"/>
      <c r="P30" s="361"/>
      <c r="Q30" s="361"/>
      <c r="R30" s="361"/>
      <c r="S30" s="361"/>
      <c r="T30" s="361"/>
      <c r="U30" s="361"/>
      <c r="V30" s="361"/>
      <c r="W30" s="361"/>
      <c r="X30" s="361"/>
      <c r="Y30" s="361"/>
      <c r="Z30" s="362"/>
      <c r="AB30" s="116" t="str">
        <f>B30</f>
        <v>ONR 5  -  MANAGEMENT :  S'engager à faire les choses avec sens en respectant et en préservant les ressources qui produisent</v>
      </c>
      <c r="AC30" s="116">
        <v>7</v>
      </c>
      <c r="AD30" s="116">
        <f>AC30-AE30</f>
        <v>1</v>
      </c>
      <c r="AE30" s="117">
        <f>SUM(AE31:AE36)</f>
        <v>6</v>
      </c>
      <c r="AF30" s="117">
        <f t="shared" ref="AF30:AL30" si="104">SUM(AF31:AF36)</f>
        <v>0</v>
      </c>
      <c r="AG30" s="117">
        <f t="shared" si="104"/>
        <v>0</v>
      </c>
      <c r="AH30" s="117">
        <f t="shared" si="104"/>
        <v>0</v>
      </c>
      <c r="AI30" s="117">
        <f t="shared" si="104"/>
        <v>0</v>
      </c>
      <c r="AJ30" s="117">
        <f t="shared" si="104"/>
        <v>0</v>
      </c>
      <c r="AK30" s="117">
        <f t="shared" si="104"/>
        <v>0</v>
      </c>
      <c r="AL30" s="117">
        <f t="shared" si="104"/>
        <v>0</v>
      </c>
    </row>
    <row r="31" spans="1:38" s="205" customFormat="1" ht="398">
      <c r="A31" s="199"/>
      <c r="B31" s="218" t="str">
        <f>'ONR 5'!B7</f>
        <v>5.1</v>
      </c>
      <c r="C31" s="218" t="str">
        <f>'ONR 5'!C7</f>
        <v>En incluant l’innovation sociale dans la définition de nouveaux systèmes et services numériques.</v>
      </c>
      <c r="D31" s="223">
        <f>'ONR 5'!D7</f>
        <v>0</v>
      </c>
      <c r="E31" s="272">
        <f>'ONR 5'!E7</f>
        <v>0</v>
      </c>
      <c r="F31" s="279">
        <f>'ONR 5'!F7</f>
        <v>0</v>
      </c>
      <c r="G31" s="200">
        <f>'ONR 5'!G7</f>
        <v>0</v>
      </c>
      <c r="H31" s="216">
        <f>'ONR 5'!H7</f>
        <v>0</v>
      </c>
      <c r="I31" s="225">
        <f>'ONR 5'!I7</f>
        <v>0</v>
      </c>
      <c r="J31" s="220">
        <f t="shared" si="84"/>
        <v>0</v>
      </c>
      <c r="K31" s="227">
        <f t="shared" ref="K31:K35" si="105">E31*10+F31</f>
        <v>0</v>
      </c>
      <c r="L31" s="227" t="b">
        <f>OR(K31=31)</f>
        <v>0</v>
      </c>
      <c r="M31" s="227" t="b">
        <f>OR(K31=21,K31=32)</f>
        <v>0</v>
      </c>
      <c r="N31" s="227" t="b">
        <f>OR(K31=22,K31=33)</f>
        <v>0</v>
      </c>
      <c r="O31" s="227" t="b">
        <f>OR(K31=11,K31=12)</f>
        <v>0</v>
      </c>
      <c r="P31" s="227" t="b">
        <f>OR(K31=23,K31=34)</f>
        <v>0</v>
      </c>
      <c r="Q31" s="227" t="b">
        <f>OR(K31=13,K31=14,K31=24)</f>
        <v>0</v>
      </c>
      <c r="R31" s="227" t="b">
        <f>OR(K31=1,K31=2,K31=3,K31=4)</f>
        <v>0</v>
      </c>
      <c r="S31" s="228">
        <f t="shared" ref="S31:S35" si="106">IF(COUNTA(E31:F31)&lt;2,"",(IF(L31=TRUE,$L$3,IF(M31=TRUE,$M$3,IF(N31=TRUE,$N$3,IF(O31=TRUE,$O$3,IF(P31=TRUE,$P$3,IF(Q31=TRUE,$Q$3,IF(R31=TRUE,$R$3,0)))))))))</f>
        <v>0</v>
      </c>
      <c r="T31" s="226">
        <f t="shared" ref="T31:T35" si="107">IF(COUNTA(E31:F31)&lt;2,"",(IF(L31=TRUE,6,IF(M31=TRUE,5,IF(N31=TRUE,4,IF(O31=TRUE,3,IF(P31=TRUE,2,IF(Q31=TRUE,1,IF(R31=TRUE,0,0)))))))))</f>
        <v>0</v>
      </c>
      <c r="U31" s="242">
        <f t="shared" ref="U31:U35" si="108">T31*10+H31</f>
        <v>0</v>
      </c>
      <c r="V31" s="229">
        <f t="shared" ref="V31:V35" si="109">G31</f>
        <v>0</v>
      </c>
      <c r="W31" s="203">
        <f>'ONR 5'!V7</f>
        <v>0</v>
      </c>
      <c r="X31" s="204">
        <f>'ONR 5'!W7</f>
        <v>0</v>
      </c>
      <c r="Y31" s="257">
        <f t="shared" ref="Y31:Y35" si="110">I31</f>
        <v>0</v>
      </c>
      <c r="Z31" s="256">
        <f>D31</f>
        <v>0</v>
      </c>
      <c r="AE31" s="206">
        <f t="shared" ref="AE31:AE35" si="111">IF(K31=0,1,0)</f>
        <v>1</v>
      </c>
      <c r="AF31" s="206">
        <f t="shared" ref="AF31:AF35" si="112">IF(L31=TRUE,1,0)</f>
        <v>0</v>
      </c>
      <c r="AG31" s="206">
        <f t="shared" ref="AG31:AG35" si="113">IF(M31=TRUE,1,0)</f>
        <v>0</v>
      </c>
      <c r="AH31" s="206">
        <f t="shared" ref="AH31:AH35" si="114">IF(N31=TRUE,1,0)</f>
        <v>0</v>
      </c>
      <c r="AI31" s="206">
        <f t="shared" ref="AI31:AI35" si="115">IF(O31=TRUE,1,0)</f>
        <v>0</v>
      </c>
      <c r="AJ31" s="206">
        <f t="shared" ref="AJ31:AJ35" si="116">IF(P31=TRUE,1,0)</f>
        <v>0</v>
      </c>
      <c r="AK31" s="206">
        <f t="shared" ref="AK31:AK35" si="117">IF(Q31=TRUE,1,0)</f>
        <v>0</v>
      </c>
      <c r="AL31" s="206">
        <f t="shared" ref="AL31:AL35" si="118">IF(R31=TRUE,1,0)</f>
        <v>0</v>
      </c>
    </row>
    <row r="32" spans="1:38" s="205" customFormat="1" ht="342">
      <c r="A32" s="199"/>
      <c r="B32" s="219" t="str">
        <f>'ONR 5'!B8</f>
        <v>5.2</v>
      </c>
      <c r="C32" s="218" t="str">
        <f>'ONR 5'!C8</f>
        <v>En valorisant les initiatives internes qui mobilisent l’organisation, favorisent les collaborations transversales et le bien-être au travail.</v>
      </c>
      <c r="D32" s="231">
        <f>'ONR 5'!D8</f>
        <v>0</v>
      </c>
      <c r="E32" s="272">
        <f>'ONR 5'!E8</f>
        <v>0</v>
      </c>
      <c r="F32" s="279">
        <f>'ONR 5'!F8</f>
        <v>0</v>
      </c>
      <c r="G32" s="207">
        <f>'ONR 5'!G8</f>
        <v>0</v>
      </c>
      <c r="H32" s="216">
        <f>'ONR 5'!H8</f>
        <v>0</v>
      </c>
      <c r="I32" s="224">
        <f>'ONR 5'!I8</f>
        <v>0</v>
      </c>
      <c r="J32" s="220">
        <f t="shared" si="84"/>
        <v>0</v>
      </c>
      <c r="K32" s="233">
        <f t="shared" si="105"/>
        <v>0</v>
      </c>
      <c r="L32" s="233" t="b">
        <f t="shared" ref="L32:L35" si="119">OR(K32=31)</f>
        <v>0</v>
      </c>
      <c r="M32" s="233" t="b">
        <f t="shared" ref="M32:M35" si="120">OR(K32=21,K32=32)</f>
        <v>0</v>
      </c>
      <c r="N32" s="233" t="b">
        <f t="shared" ref="N32:N35" si="121">OR(K32=22,K32=33)</f>
        <v>0</v>
      </c>
      <c r="O32" s="233" t="b">
        <f t="shared" ref="O32:O35" si="122">OR(K32=11,K32=12)</f>
        <v>0</v>
      </c>
      <c r="P32" s="233" t="b">
        <f t="shared" ref="P32:P35" si="123">OR(K32=23,K32=34)</f>
        <v>0</v>
      </c>
      <c r="Q32" s="233" t="b">
        <f t="shared" ref="Q32:Q35" si="124">OR(K32=13,K32=14,K32=24)</f>
        <v>0</v>
      </c>
      <c r="R32" s="233" t="b">
        <f t="shared" ref="R32:R35" si="125">OR(K32=1,K32=2,K32=3,K32=4)</f>
        <v>0</v>
      </c>
      <c r="S32" s="234">
        <f t="shared" si="106"/>
        <v>0</v>
      </c>
      <c r="T32" s="232">
        <f t="shared" si="107"/>
        <v>0</v>
      </c>
      <c r="U32" s="243">
        <f t="shared" si="108"/>
        <v>0</v>
      </c>
      <c r="V32" s="235">
        <f t="shared" si="109"/>
        <v>0</v>
      </c>
      <c r="W32" s="142">
        <f>'ONR 5'!V8</f>
        <v>0</v>
      </c>
      <c r="X32" s="204">
        <f>'ONR 5'!W8</f>
        <v>0</v>
      </c>
      <c r="Y32" s="258">
        <f t="shared" si="110"/>
        <v>0</v>
      </c>
      <c r="Z32" s="256">
        <f t="shared" ref="Z32:Z35" si="126">D32</f>
        <v>0</v>
      </c>
      <c r="AE32" s="206">
        <f t="shared" si="111"/>
        <v>1</v>
      </c>
      <c r="AF32" s="206">
        <f t="shared" si="112"/>
        <v>0</v>
      </c>
      <c r="AG32" s="206">
        <f t="shared" si="113"/>
        <v>0</v>
      </c>
      <c r="AH32" s="206">
        <f t="shared" si="114"/>
        <v>0</v>
      </c>
      <c r="AI32" s="206">
        <f t="shared" si="115"/>
        <v>0</v>
      </c>
      <c r="AJ32" s="206">
        <f t="shared" si="116"/>
        <v>0</v>
      </c>
      <c r="AK32" s="206">
        <f t="shared" si="117"/>
        <v>0</v>
      </c>
      <c r="AL32" s="206">
        <f t="shared" si="118"/>
        <v>0</v>
      </c>
    </row>
    <row r="33" spans="1:38" s="205" customFormat="1" ht="409.6">
      <c r="A33" s="199"/>
      <c r="B33" s="219" t="str">
        <f>'ONR 5'!B9</f>
        <v>5.3</v>
      </c>
      <c r="C33" s="218" t="str">
        <f>'ONR 5'!C9</f>
        <v>En sollicitant l’engagement et l’expertise des parties prenantes ( sur les sujets environnementaux, sociaux et sociétaux)</v>
      </c>
      <c r="D33" s="231">
        <f>'ONR 5'!D9</f>
        <v>0</v>
      </c>
      <c r="E33" s="272">
        <f>'ONR 5'!E9</f>
        <v>0</v>
      </c>
      <c r="F33" s="279">
        <f>'ONR 5'!F9</f>
        <v>0</v>
      </c>
      <c r="G33" s="207">
        <f>'ONR 5'!G9</f>
        <v>0</v>
      </c>
      <c r="H33" s="216">
        <f>'ONR 5'!H9</f>
        <v>0</v>
      </c>
      <c r="I33" s="224">
        <f>'ONR 5'!I9</f>
        <v>0</v>
      </c>
      <c r="J33" s="220">
        <f t="shared" si="84"/>
        <v>0</v>
      </c>
      <c r="K33" s="233">
        <f t="shared" si="105"/>
        <v>0</v>
      </c>
      <c r="L33" s="233" t="b">
        <f t="shared" si="119"/>
        <v>0</v>
      </c>
      <c r="M33" s="233" t="b">
        <f t="shared" si="120"/>
        <v>0</v>
      </c>
      <c r="N33" s="233" t="b">
        <f t="shared" si="121"/>
        <v>0</v>
      </c>
      <c r="O33" s="233" t="b">
        <f t="shared" si="122"/>
        <v>0</v>
      </c>
      <c r="P33" s="233" t="b">
        <f t="shared" si="123"/>
        <v>0</v>
      </c>
      <c r="Q33" s="233" t="b">
        <f t="shared" si="124"/>
        <v>0</v>
      </c>
      <c r="R33" s="233" t="b">
        <f t="shared" si="125"/>
        <v>0</v>
      </c>
      <c r="S33" s="234">
        <f t="shared" si="106"/>
        <v>0</v>
      </c>
      <c r="T33" s="232">
        <f t="shared" si="107"/>
        <v>0</v>
      </c>
      <c r="U33" s="243">
        <f t="shared" si="108"/>
        <v>0</v>
      </c>
      <c r="V33" s="235">
        <f t="shared" si="109"/>
        <v>0</v>
      </c>
      <c r="W33" s="142">
        <f>'ONR 5'!V9</f>
        <v>0</v>
      </c>
      <c r="X33" s="204">
        <f>'ONR 5'!W9</f>
        <v>0</v>
      </c>
      <c r="Y33" s="258">
        <f t="shared" si="110"/>
        <v>0</v>
      </c>
      <c r="Z33" s="256">
        <f t="shared" si="126"/>
        <v>0</v>
      </c>
      <c r="AE33" s="206">
        <f t="shared" si="111"/>
        <v>1</v>
      </c>
      <c r="AF33" s="206">
        <f t="shared" si="112"/>
        <v>0</v>
      </c>
      <c r="AG33" s="206">
        <f t="shared" si="113"/>
        <v>0</v>
      </c>
      <c r="AH33" s="206">
        <f t="shared" si="114"/>
        <v>0</v>
      </c>
      <c r="AI33" s="206">
        <f t="shared" si="115"/>
        <v>0</v>
      </c>
      <c r="AJ33" s="206">
        <f t="shared" si="116"/>
        <v>0</v>
      </c>
      <c r="AK33" s="206">
        <f t="shared" si="117"/>
        <v>0</v>
      </c>
      <c r="AL33" s="206">
        <f t="shared" si="118"/>
        <v>0</v>
      </c>
    </row>
    <row r="34" spans="1:38" s="205" customFormat="1" ht="409.6">
      <c r="A34" s="199"/>
      <c r="B34" s="219" t="str">
        <f>'ONR 5'!B10</f>
        <v>5.4</v>
      </c>
      <c r="C34" s="218" t="str">
        <f>'ONR 5'!C10</f>
        <v>En permettant aux générations futures d’innover pour construire un monde ouvert à l’autre soucieux de l’équilibre des écosystèmes et du bien-vivre ensemble.</v>
      </c>
      <c r="D34" s="231">
        <f>'ONR 5'!D10</f>
        <v>0</v>
      </c>
      <c r="E34" s="272">
        <f>'ONR 5'!E10</f>
        <v>0</v>
      </c>
      <c r="F34" s="279">
        <f>'ONR 5'!F10</f>
        <v>0</v>
      </c>
      <c r="G34" s="207">
        <f>'ONR 5'!G10</f>
        <v>0</v>
      </c>
      <c r="H34" s="216">
        <f>'ONR 5'!H10</f>
        <v>0</v>
      </c>
      <c r="I34" s="224">
        <f>'ONR 5'!I10</f>
        <v>0</v>
      </c>
      <c r="J34" s="220">
        <f t="shared" si="84"/>
        <v>0</v>
      </c>
      <c r="K34" s="233">
        <f t="shared" si="105"/>
        <v>0</v>
      </c>
      <c r="L34" s="233" t="b">
        <f t="shared" si="119"/>
        <v>0</v>
      </c>
      <c r="M34" s="233" t="b">
        <f t="shared" si="120"/>
        <v>0</v>
      </c>
      <c r="N34" s="233" t="b">
        <f t="shared" si="121"/>
        <v>0</v>
      </c>
      <c r="O34" s="233" t="b">
        <f t="shared" si="122"/>
        <v>0</v>
      </c>
      <c r="P34" s="233" t="b">
        <f t="shared" si="123"/>
        <v>0</v>
      </c>
      <c r="Q34" s="233" t="b">
        <f t="shared" si="124"/>
        <v>0</v>
      </c>
      <c r="R34" s="233" t="b">
        <f t="shared" si="125"/>
        <v>0</v>
      </c>
      <c r="S34" s="234">
        <f t="shared" si="106"/>
        <v>0</v>
      </c>
      <c r="T34" s="232">
        <f t="shared" si="107"/>
        <v>0</v>
      </c>
      <c r="U34" s="243">
        <f t="shared" si="108"/>
        <v>0</v>
      </c>
      <c r="V34" s="235">
        <f t="shared" si="109"/>
        <v>0</v>
      </c>
      <c r="W34" s="142">
        <f>'ONR 5'!V10</f>
        <v>0</v>
      </c>
      <c r="X34" s="204">
        <f>'ONR 5'!W10</f>
        <v>0</v>
      </c>
      <c r="Y34" s="258">
        <f t="shared" si="110"/>
        <v>0</v>
      </c>
      <c r="Z34" s="256">
        <f t="shared" si="126"/>
        <v>0</v>
      </c>
      <c r="AE34" s="206">
        <f t="shared" si="111"/>
        <v>1</v>
      </c>
      <c r="AF34" s="206">
        <f t="shared" si="112"/>
        <v>0</v>
      </c>
      <c r="AG34" s="206">
        <f t="shared" si="113"/>
        <v>0</v>
      </c>
      <c r="AH34" s="206">
        <f t="shared" si="114"/>
        <v>0</v>
      </c>
      <c r="AI34" s="206">
        <f t="shared" si="115"/>
        <v>0</v>
      </c>
      <c r="AJ34" s="206">
        <f t="shared" si="116"/>
        <v>0</v>
      </c>
      <c r="AK34" s="206">
        <f t="shared" si="117"/>
        <v>0</v>
      </c>
      <c r="AL34" s="206">
        <f t="shared" si="118"/>
        <v>0</v>
      </c>
    </row>
    <row r="35" spans="1:38" s="205" customFormat="1" ht="361">
      <c r="A35" s="199"/>
      <c r="B35" s="219" t="str">
        <f>'ONR 5'!B11</f>
        <v>5.5</v>
      </c>
      <c r="C35" s="218" t="str">
        <f>'ONR 5'!C11</f>
        <v>En suivant les indicateurs de performances et de conformité</v>
      </c>
      <c r="D35" s="231">
        <f>'ONR 5'!D11</f>
        <v>0</v>
      </c>
      <c r="E35" s="268">
        <f>'ONR 5'!E11</f>
        <v>0</v>
      </c>
      <c r="F35" s="275">
        <f>'ONR 5'!F11</f>
        <v>0</v>
      </c>
      <c r="G35" s="207">
        <f>'ONR 5'!G11</f>
        <v>0</v>
      </c>
      <c r="H35" s="201">
        <f>'ONR 5'!H11</f>
        <v>0</v>
      </c>
      <c r="I35" s="224">
        <f>'ONR 5'!I11</f>
        <v>0</v>
      </c>
      <c r="J35" s="219">
        <f t="shared" si="84"/>
        <v>0</v>
      </c>
      <c r="K35" s="233">
        <f t="shared" si="105"/>
        <v>0</v>
      </c>
      <c r="L35" s="233" t="b">
        <f t="shared" si="119"/>
        <v>0</v>
      </c>
      <c r="M35" s="233" t="b">
        <f t="shared" si="120"/>
        <v>0</v>
      </c>
      <c r="N35" s="233" t="b">
        <f t="shared" si="121"/>
        <v>0</v>
      </c>
      <c r="O35" s="233" t="b">
        <f t="shared" si="122"/>
        <v>0</v>
      </c>
      <c r="P35" s="233" t="b">
        <f t="shared" si="123"/>
        <v>0</v>
      </c>
      <c r="Q35" s="233" t="b">
        <f t="shared" si="124"/>
        <v>0</v>
      </c>
      <c r="R35" s="233" t="b">
        <f t="shared" si="125"/>
        <v>0</v>
      </c>
      <c r="S35" s="234">
        <f t="shared" si="106"/>
        <v>0</v>
      </c>
      <c r="T35" s="232">
        <f t="shared" si="107"/>
        <v>0</v>
      </c>
      <c r="U35" s="243">
        <f t="shared" si="108"/>
        <v>0</v>
      </c>
      <c r="V35" s="235">
        <f t="shared" si="109"/>
        <v>0</v>
      </c>
      <c r="W35" s="142">
        <f>'ONR 5'!V11</f>
        <v>0</v>
      </c>
      <c r="X35" s="204">
        <f>'ONR 5'!W11</f>
        <v>0</v>
      </c>
      <c r="Y35" s="258">
        <f t="shared" si="110"/>
        <v>0</v>
      </c>
      <c r="Z35" s="236">
        <f t="shared" si="126"/>
        <v>0</v>
      </c>
      <c r="AE35" s="206">
        <f t="shared" si="111"/>
        <v>1</v>
      </c>
      <c r="AF35" s="206">
        <f t="shared" si="112"/>
        <v>0</v>
      </c>
      <c r="AG35" s="206">
        <f t="shared" si="113"/>
        <v>0</v>
      </c>
      <c r="AH35" s="206">
        <f t="shared" si="114"/>
        <v>0</v>
      </c>
      <c r="AI35" s="206">
        <f t="shared" si="115"/>
        <v>0</v>
      </c>
      <c r="AJ35" s="206">
        <f t="shared" si="116"/>
        <v>0</v>
      </c>
      <c r="AK35" s="206">
        <f t="shared" si="117"/>
        <v>0</v>
      </c>
      <c r="AL35" s="206">
        <f t="shared" si="118"/>
        <v>0</v>
      </c>
    </row>
    <row r="36" spans="1:38" ht="409.6">
      <c r="B36" s="219" t="str">
        <f>'ONR 5'!B12</f>
        <v>5.6</v>
      </c>
      <c r="C36" s="218" t="str">
        <f>'ONR 5'!C12</f>
        <v>En proposant des axes d’amélioration et d'innovation autour du NR ( y compris s'ils ne sont pas numériques )</v>
      </c>
      <c r="D36" s="231">
        <f>'ONR 5'!D12</f>
        <v>0</v>
      </c>
      <c r="E36" s="268">
        <f>'ONR 5'!E12</f>
        <v>0</v>
      </c>
      <c r="F36" s="275">
        <f>'ONR 5'!F12</f>
        <v>0</v>
      </c>
      <c r="G36" s="207">
        <f>'ONR 5'!G12</f>
        <v>0</v>
      </c>
      <c r="H36" s="201">
        <f>'ONR 5'!H12</f>
        <v>0</v>
      </c>
      <c r="I36" s="224">
        <f>'ONR 5'!I12</f>
        <v>0</v>
      </c>
      <c r="J36" s="219">
        <f t="shared" ref="J36" si="127">S36</f>
        <v>0</v>
      </c>
      <c r="K36" s="233">
        <f t="shared" ref="K36" si="128">E36*10+F36</f>
        <v>0</v>
      </c>
      <c r="L36" s="233" t="b">
        <f t="shared" ref="L36" si="129">OR(K36=31)</f>
        <v>0</v>
      </c>
      <c r="M36" s="233" t="b">
        <f t="shared" ref="M36" si="130">OR(K36=21,K36=32)</f>
        <v>0</v>
      </c>
      <c r="N36" s="233" t="b">
        <f t="shared" ref="N36" si="131">OR(K36=22,K36=33)</f>
        <v>0</v>
      </c>
      <c r="O36" s="233" t="b">
        <f t="shared" ref="O36" si="132">OR(K36=11,K36=12)</f>
        <v>0</v>
      </c>
      <c r="P36" s="233" t="b">
        <f t="shared" ref="P36" si="133">OR(K36=23,K36=34)</f>
        <v>0</v>
      </c>
      <c r="Q36" s="233" t="b">
        <f t="shared" ref="Q36" si="134">OR(K36=13,K36=14,K36=24)</f>
        <v>0</v>
      </c>
      <c r="R36" s="233" t="b">
        <f t="shared" ref="R36" si="135">OR(K36=1,K36=2,K36=3,K36=4)</f>
        <v>0</v>
      </c>
      <c r="S36" s="234">
        <f t="shared" ref="S36" si="136">IF(COUNTA(E36:F36)&lt;2,"",(IF(L36=TRUE,$L$3,IF(M36=TRUE,$M$3,IF(N36=TRUE,$N$3,IF(O36=TRUE,$O$3,IF(P36=TRUE,$P$3,IF(Q36=TRUE,$Q$3,IF(R36=TRUE,$R$3,0)))))))))</f>
        <v>0</v>
      </c>
      <c r="T36" s="232">
        <f t="shared" ref="T36" si="137">IF(COUNTA(E36:F36)&lt;2,"",(IF(L36=TRUE,6,IF(M36=TRUE,5,IF(N36=TRUE,4,IF(O36=TRUE,3,IF(P36=TRUE,2,IF(Q36=TRUE,1,IF(R36=TRUE,0,0)))))))))</f>
        <v>0</v>
      </c>
      <c r="U36" s="243">
        <f t="shared" ref="U36" si="138">T36*10+H36</f>
        <v>0</v>
      </c>
      <c r="V36" s="235">
        <f t="shared" ref="V36" si="139">G36</f>
        <v>0</v>
      </c>
      <c r="W36" s="142">
        <f>'ONR 5'!V12</f>
        <v>0</v>
      </c>
      <c r="X36" s="204">
        <f>'ONR 5'!W12</f>
        <v>0</v>
      </c>
      <c r="Y36" s="258">
        <f t="shared" ref="Y36" si="140">I36</f>
        <v>0</v>
      </c>
      <c r="Z36" s="236">
        <f t="shared" ref="Z36" si="141">D36</f>
        <v>0</v>
      </c>
      <c r="AE36" s="206">
        <f t="shared" ref="AE36" si="142">IF(K36=0,1,0)</f>
        <v>1</v>
      </c>
      <c r="AF36" s="206">
        <f t="shared" ref="AF36" si="143">IF(L36=TRUE,1,0)</f>
        <v>0</v>
      </c>
      <c r="AG36" s="206">
        <f t="shared" ref="AG36" si="144">IF(M36=TRUE,1,0)</f>
        <v>0</v>
      </c>
      <c r="AH36" s="206">
        <f t="shared" ref="AH36" si="145">IF(N36=TRUE,1,0)</f>
        <v>0</v>
      </c>
      <c r="AI36" s="206">
        <f t="shared" ref="AI36" si="146">IF(O36=TRUE,1,0)</f>
        <v>0</v>
      </c>
      <c r="AJ36" s="206">
        <f t="shared" ref="AJ36" si="147">IF(P36=TRUE,1,0)</f>
        <v>0</v>
      </c>
      <c r="AK36" s="206">
        <f t="shared" ref="AK36" si="148">IF(Q36=TRUE,1,0)</f>
        <v>0</v>
      </c>
      <c r="AL36" s="206">
        <f t="shared" ref="AL36" si="149">IF(R36=TRUE,1,0)</f>
        <v>0</v>
      </c>
    </row>
  </sheetData>
  <mergeCells count="11">
    <mergeCell ref="B30:Z30"/>
    <mergeCell ref="Y2:Z2"/>
    <mergeCell ref="B2:C3"/>
    <mergeCell ref="D2:E2"/>
    <mergeCell ref="F2:G2"/>
    <mergeCell ref="H2:I2"/>
    <mergeCell ref="V2:X2"/>
    <mergeCell ref="B25:Z25"/>
    <mergeCell ref="B17:Z17"/>
    <mergeCell ref="B12:Z12"/>
    <mergeCell ref="B4:Z4"/>
  </mergeCells>
  <conditionalFormatting sqref="A1">
    <cfRule type="expression" dxfId="102" priority="5428">
      <formula>FIND("Réagir",B1)</formula>
    </cfRule>
    <cfRule type="expression" dxfId="101" priority="5423" stopIfTrue="1">
      <formula>ISTEXT(A1)</formula>
    </cfRule>
    <cfRule type="expression" dxfId="100" priority="5424">
      <formula>FIND("Agir",B1)</formula>
    </cfRule>
    <cfRule type="expression" dxfId="99" priority="5425">
      <formula>FIND("Réagir",B1)</formula>
    </cfRule>
    <cfRule type="expression" dxfId="98" priority="5426" stopIfTrue="1">
      <formula>ISTEXT(A1)</formula>
    </cfRule>
    <cfRule type="expression" dxfId="97" priority="5427">
      <formula>FIND("Agir",B1)</formula>
    </cfRule>
  </conditionalFormatting>
  <conditionalFormatting sqref="A1:A2">
    <cfRule type="expression" dxfId="96" priority="5414" stopIfTrue="1">
      <formula>ISTEXT(A1)</formula>
    </cfRule>
    <cfRule type="expression" dxfId="95" priority="5415">
      <formula>FIND("Agir",B1)</formula>
    </cfRule>
    <cfRule type="expression" dxfId="94" priority="5416">
      <formula>FIND("Réagir",B1)</formula>
    </cfRule>
  </conditionalFormatting>
  <conditionalFormatting sqref="A2">
    <cfRule type="expression" dxfId="93" priority="5409">
      <formula>FIND("Agir",B2)</formula>
    </cfRule>
    <cfRule type="expression" dxfId="92" priority="5413">
      <formula>FIND("Réagir",B2)</formula>
    </cfRule>
    <cfRule type="expression" dxfId="91" priority="5412">
      <formula>FIND("Agir",B2)</formula>
    </cfRule>
    <cfRule type="expression" dxfId="90" priority="5411" stopIfTrue="1">
      <formula>ISTEXT(A2)</formula>
    </cfRule>
    <cfRule type="expression" dxfId="89" priority="5410">
      <formula>FIND("Réagir",B2)</formula>
    </cfRule>
    <cfRule type="expression" dxfId="88" priority="5408" stopIfTrue="1">
      <formula>ISTEXT(A2)</formula>
    </cfRule>
  </conditionalFormatting>
  <conditionalFormatting sqref="D5:D11 D13:D16 D33:D36">
    <cfRule type="expression" dxfId="87" priority="5235">
      <formula>FIND("Conforter",F5)</formula>
    </cfRule>
  </conditionalFormatting>
  <conditionalFormatting sqref="D5:D11 D33:D36 V18:Z24 V26:Z29 D13:D16">
    <cfRule type="expression" dxfId="86" priority="5234" stopIfTrue="1">
      <formula>ISTEXT(D5)</formula>
    </cfRule>
  </conditionalFormatting>
  <conditionalFormatting sqref="D7:D11">
    <cfRule type="expression" dxfId="85" priority="5227">
      <formula>FIND("Conforter",F7)</formula>
    </cfRule>
    <cfRule type="expression" dxfId="84" priority="5226" stopIfTrue="1">
      <formula>ISTEXT(D7)</formula>
    </cfRule>
  </conditionalFormatting>
  <conditionalFormatting sqref="D8">
    <cfRule type="expression" dxfId="83" priority="350" stopIfTrue="1">
      <formula>ISTEXT(D8)</formula>
    </cfRule>
    <cfRule type="expression" dxfId="82" priority="351">
      <formula>FIND("Conforter",F8)</formula>
    </cfRule>
  </conditionalFormatting>
  <conditionalFormatting sqref="D13:D16 I13:I16 D18:D24 I18:I24 D26:D29 I26:I29 D31:D36 I31:I36">
    <cfRule type="expression" dxfId="81" priority="5554">
      <formula>FIND("Réagir",E13)</formula>
    </cfRule>
    <cfRule type="expression" dxfId="80" priority="5553">
      <formula>FIND("Agir",E13)</formula>
    </cfRule>
  </conditionalFormatting>
  <conditionalFormatting sqref="D18">
    <cfRule type="expression" dxfId="79" priority="5129">
      <formula>FIND("Conforter",F18)</formula>
    </cfRule>
    <cfRule type="expression" dxfId="78" priority="5128" stopIfTrue="1">
      <formula>ISTEXT(D18)</formula>
    </cfRule>
  </conditionalFormatting>
  <conditionalFormatting sqref="D18:D24 D26:D29 D31:D36">
    <cfRule type="expression" dxfId="77" priority="5497">
      <formula>FIND("Conforter",F18)</formula>
    </cfRule>
  </conditionalFormatting>
  <conditionalFormatting sqref="D18:D24">
    <cfRule type="expression" dxfId="76" priority="5118" stopIfTrue="1">
      <formula>ISTEXT(D18)</formula>
    </cfRule>
    <cfRule type="expression" dxfId="75" priority="5119">
      <formula>FIND("Conforter",F18)</formula>
    </cfRule>
  </conditionalFormatting>
  <conditionalFormatting sqref="D20:D23">
    <cfRule type="expression" dxfId="74" priority="5121">
      <formula>FIND("Conforter",F20)</formula>
    </cfRule>
    <cfRule type="expression" dxfId="73" priority="5120" stopIfTrue="1">
      <formula>ISTEXT(D20)</formula>
    </cfRule>
  </conditionalFormatting>
  <conditionalFormatting sqref="D21">
    <cfRule type="expression" dxfId="72" priority="4990" stopIfTrue="1">
      <formula>ISTEXT(D21)</formula>
    </cfRule>
    <cfRule type="expression" dxfId="71" priority="4991">
      <formula>FIND("Conforter",F21)</formula>
    </cfRule>
  </conditionalFormatting>
  <conditionalFormatting sqref="D26">
    <cfRule type="expression" dxfId="70" priority="4860" stopIfTrue="1">
      <formula>ISTEXT(D26)</formula>
    </cfRule>
    <cfRule type="expression" dxfId="69" priority="4861">
      <formula>FIND("Conforter",F26)</formula>
    </cfRule>
  </conditionalFormatting>
  <conditionalFormatting sqref="D31">
    <cfRule type="expression" dxfId="68" priority="4573">
      <formula>FIND("Conforter",F31)</formula>
    </cfRule>
    <cfRule type="expression" dxfId="67" priority="4572" stopIfTrue="1">
      <formula>ISTEXT(D31)</formula>
    </cfRule>
  </conditionalFormatting>
  <conditionalFormatting sqref="D31:D36 D18:D24 D26:D29">
    <cfRule type="expression" dxfId="66" priority="5496" stopIfTrue="1">
      <formula>ISTEXT(D18)</formula>
    </cfRule>
  </conditionalFormatting>
  <conditionalFormatting sqref="D35:D36">
    <cfRule type="expression" dxfId="65" priority="4435">
      <formula>FIND("Conforter",F35)</formula>
    </cfRule>
    <cfRule type="expression" dxfId="64" priority="4434" stopIfTrue="1">
      <formula>ISTEXT(D35)</formula>
    </cfRule>
  </conditionalFormatting>
  <conditionalFormatting sqref="F13:H16 F31:H36">
    <cfRule type="expression" dxfId="63" priority="7">
      <formula>FIND("Conforter",I13)</formula>
    </cfRule>
  </conditionalFormatting>
  <conditionalFormatting sqref="F18:H24 F26:H29">
    <cfRule type="expression" dxfId="62" priority="5547" stopIfTrue="1">
      <formula>ISTEXT(F18)</formula>
    </cfRule>
    <cfRule type="expression" dxfId="61" priority="5548">
      <formula>FIND("Conforter",I18)</formula>
    </cfRule>
  </conditionalFormatting>
  <conditionalFormatting sqref="F31:H36 F13:H16">
    <cfRule type="expression" dxfId="60" priority="6" stopIfTrue="1">
      <formula>ISTEXT(F13)</formula>
    </cfRule>
  </conditionalFormatting>
  <conditionalFormatting sqref="G13:H16 G26:H29 G31:H36 G18:H24">
    <cfRule type="expression" dxfId="59" priority="5545">
      <formula>FIND("Agir",I13)</formula>
    </cfRule>
    <cfRule type="expression" dxfId="58" priority="5546">
      <formula>FIND("Réagir",I13)</formula>
    </cfRule>
  </conditionalFormatting>
  <conditionalFormatting sqref="G18:H24">
    <cfRule type="expression" dxfId="57" priority="5150" stopIfTrue="1">
      <formula>ISTEXT(G18)</formula>
    </cfRule>
    <cfRule type="expression" dxfId="56" priority="5151">
      <formula>FIND("Conforter",J18)</formula>
    </cfRule>
  </conditionalFormatting>
  <conditionalFormatting sqref="G31:H36 G13:H16 G26:H29">
    <cfRule type="expression" dxfId="55" priority="5544" stopIfTrue="1">
      <formula>ISTEXT(G13)</formula>
    </cfRule>
  </conditionalFormatting>
  <conditionalFormatting sqref="G33:H36">
    <cfRule type="expression" dxfId="54" priority="5393">
      <formula>FIND("Conforter",J33)</formula>
    </cfRule>
  </conditionalFormatting>
  <conditionalFormatting sqref="G35:H36">
    <cfRule type="expression" dxfId="53" priority="4437">
      <formula>FIND("Conforter",J35)</formula>
    </cfRule>
  </conditionalFormatting>
  <conditionalFormatting sqref="G18:I24">
    <cfRule type="expression" dxfId="52" priority="5152" stopIfTrue="1">
      <formula>ISTEXT(G18)</formula>
    </cfRule>
  </conditionalFormatting>
  <conditionalFormatting sqref="G33:I36">
    <cfRule type="expression" dxfId="51" priority="4594" stopIfTrue="1">
      <formula>ISTEXT(G33)</formula>
    </cfRule>
  </conditionalFormatting>
  <conditionalFormatting sqref="G35:I36">
    <cfRule type="expression" dxfId="50" priority="4436" stopIfTrue="1">
      <formula>ISTEXT(G35)</formula>
    </cfRule>
  </conditionalFormatting>
  <conditionalFormatting sqref="H13:H16">
    <cfRule type="expression" dxfId="49" priority="5327" stopIfTrue="1">
      <formula>ISTEXT(H13)</formula>
    </cfRule>
    <cfRule type="expression" dxfId="48" priority="5328">
      <formula>FIND("Conforter",J13)</formula>
    </cfRule>
  </conditionalFormatting>
  <conditionalFormatting sqref="H26">
    <cfRule type="expression" dxfId="47" priority="4838">
      <formula>FIND("Conforter",J26)</formula>
    </cfRule>
    <cfRule type="expression" dxfId="46" priority="4837" stopIfTrue="1">
      <formula>ISTEXT(H26)</formula>
    </cfRule>
  </conditionalFormatting>
  <conditionalFormatting sqref="H31:H36">
    <cfRule type="expression" dxfId="45" priority="4" stopIfTrue="1">
      <formula>ISTEXT(H31)</formula>
    </cfRule>
    <cfRule type="expression" dxfId="44" priority="5">
      <formula>FIND("Conforter",K31)</formula>
    </cfRule>
    <cfRule type="expression" dxfId="43" priority="4550">
      <formula>FIND("Conforter",J31)</formula>
    </cfRule>
    <cfRule type="expression" dxfId="42" priority="4549" stopIfTrue="1">
      <formula>ISTEXT(H31)</formula>
    </cfRule>
  </conditionalFormatting>
  <conditionalFormatting sqref="I5:I11">
    <cfRule type="expression" dxfId="41" priority="2">
      <formula>FIND("Agir",J5)</formula>
    </cfRule>
    <cfRule type="expression" dxfId="40" priority="3">
      <formula>FIND("Réagir",J5)</formula>
    </cfRule>
    <cfRule type="expression" dxfId="39" priority="1" stopIfTrue="1">
      <formula>ISTEXT(I5)</formula>
    </cfRule>
  </conditionalFormatting>
  <conditionalFormatting sqref="I13:I16 I18:I24 I26:I29 I31:I36 D18:D24 D26:D29 D31:D36 D13:D16">
    <cfRule type="expression" dxfId="38" priority="5552" stopIfTrue="1">
      <formula>ISTEXT(D13)</formula>
    </cfRule>
  </conditionalFormatting>
  <conditionalFormatting sqref="I18:I24">
    <cfRule type="expression" dxfId="37" priority="5153">
      <formula>FIND("Agir",J18)</formula>
    </cfRule>
    <cfRule type="expression" dxfId="36" priority="5154">
      <formula>FIND("Réagir",J18)</formula>
    </cfRule>
  </conditionalFormatting>
  <conditionalFormatting sqref="I27:I29">
    <cfRule type="expression" dxfId="35" priority="4876">
      <formula>FIND("Réagir",J27)</formula>
    </cfRule>
    <cfRule type="expression" dxfId="34" priority="4875">
      <formula>FIND("Agir",J27)</formula>
    </cfRule>
    <cfRule type="expression" dxfId="33" priority="4874" stopIfTrue="1">
      <formula>ISTEXT(I27)</formula>
    </cfRule>
  </conditionalFormatting>
  <conditionalFormatting sqref="I32">
    <cfRule type="expression" dxfId="32" priority="4586" stopIfTrue="1">
      <formula>ISTEXT(I32)</formula>
    </cfRule>
    <cfRule type="expression" dxfId="31" priority="4588">
      <formula>FIND("Réagir",J32)</formula>
    </cfRule>
    <cfRule type="expression" dxfId="30" priority="4587">
      <formula>FIND("Agir",J32)</formula>
    </cfRule>
  </conditionalFormatting>
  <conditionalFormatting sqref="I35:I36">
    <cfRule type="expression" dxfId="29" priority="4439">
      <formula>FIND("Agir",J35)</formula>
    </cfRule>
    <cfRule type="expression" dxfId="28" priority="4440">
      <formula>FIND("Réagir",J35)</formula>
    </cfRule>
  </conditionalFormatting>
  <conditionalFormatting sqref="I5:J11 I18:J24 I26:J29 I31:J36 V18:Z24 V26:Z29 V3:Z3 V5:Z11 V13:Z16 V31:Y36 V1:V2 I3:J3 I13:I16">
    <cfRule type="containsText" dxfId="27" priority="5549" stopIfTrue="1" operator="containsText" text="Première">
      <formula>NOT(ISERROR(SEARCH("Première",I1)))</formula>
    </cfRule>
  </conditionalFormatting>
  <conditionalFormatting sqref="J5:J11 J13:J16 J18:J24 J26:J29 J31:J36">
    <cfRule type="containsText" dxfId="26" priority="5501" operator="containsText" text="Intervention prioritaire">
      <formula>NOT(ISERROR(SEARCH("Intervention prioritaire",J5)))</formula>
    </cfRule>
    <cfRule type="containsText" dxfId="25" priority="5502" stopIfTrue="1" operator="containsText" text="Non pertinent">
      <formula>NOT(ISERROR(SEARCH("Non pertinent",J5)))</formula>
    </cfRule>
    <cfRule type="containsText" dxfId="24" priority="5503" stopIfTrue="1" operator="containsText" text="consolidation">
      <formula>NOT(ISERROR(SEARCH("consolidation",J5)))</formula>
    </cfRule>
    <cfRule type="containsText" dxfId="23" priority="5504" stopIfTrue="1" operator="containsText" text="Non Prioritaire">
      <formula>NOT(ISERROR(SEARCH("Non Prioritaire",J5)))</formula>
    </cfRule>
    <cfRule type="containsText" dxfId="22" priority="5505" stopIfTrue="1" operator="containsText" text="Urgent">
      <formula>NOT(ISERROR(SEARCH("Urgent",J5)))</formula>
    </cfRule>
    <cfRule type="containsText" dxfId="21" priority="5506" stopIfTrue="1" operator="containsText" text="moyen">
      <formula>NOT(ISERROR(SEARCH("moyen",J5)))</formula>
    </cfRule>
    <cfRule type="containsText" dxfId="20" priority="5507" stopIfTrue="1" operator="containsText" text="long">
      <formula>NOT(ISERROR(SEARCH("long",J5)))</formula>
    </cfRule>
  </conditionalFormatting>
  <conditionalFormatting sqref="J6:J11 J18:J24 J26:J29 J31:J36">
    <cfRule type="containsText" dxfId="19" priority="5541" stopIfTrue="1" operator="containsText" text="Non">
      <formula>NOT(ISERROR(SEARCH("Non",J6)))</formula>
    </cfRule>
  </conditionalFormatting>
  <conditionalFormatting sqref="V1:V2 I3:J3 I5:J11 I13:I16 I18:J24 I26:J29 I31:J36">
    <cfRule type="containsText" dxfId="18" priority="5551" stopIfTrue="1" operator="containsText" text="Terme">
      <formula>NOT(ISERROR(SEARCH("Terme",I1)))</formula>
    </cfRule>
    <cfRule type="containsText" dxfId="17" priority="5550" stopIfTrue="1" operator="containsText" text="Seconde">
      <formula>NOT(ISERROR(SEARCH("Seconde",I1)))</formula>
    </cfRule>
  </conditionalFormatting>
  <conditionalFormatting sqref="V3:Z3 V5:Z11 V13:Z16 V18:Z24 V26:Z29 V31:Y36">
    <cfRule type="containsText" dxfId="16" priority="94" stopIfTrue="1" operator="containsText" text="Terme">
      <formula>NOT(ISERROR(SEARCH("Terme",V3)))</formula>
    </cfRule>
  </conditionalFormatting>
  <conditionalFormatting sqref="V5:Z11 V13:Z16 V31:Z36">
    <cfRule type="expression" dxfId="15" priority="84">
      <formula>FIND("Agir",#REF!)</formula>
    </cfRule>
    <cfRule type="expression" dxfId="14" priority="85">
      <formula>FIND("Réagir",#REF!)</formula>
    </cfRule>
  </conditionalFormatting>
  <conditionalFormatting sqref="V18:Z24 V26:Z29 V5:Z11 V13:Z16 V31:Y36 V3:Z3">
    <cfRule type="containsText" dxfId="13" priority="93" stopIfTrue="1" operator="containsText" text="Seconde">
      <formula>NOT(ISERROR(SEARCH("Seconde",V3)))</formula>
    </cfRule>
  </conditionalFormatting>
  <conditionalFormatting sqref="V18:Z24 V26:Z29">
    <cfRule type="expression" dxfId="12" priority="91">
      <formula>FIND("Réagir",#REF!)</formula>
    </cfRule>
    <cfRule type="expression" dxfId="11" priority="90">
      <formula>FIND("Agir",#REF!)</formula>
    </cfRule>
  </conditionalFormatting>
  <conditionalFormatting sqref="V31:Z36 V5:Z11 V13:Z16">
    <cfRule type="expression" dxfId="10" priority="83" stopIfTrue="1">
      <formula>ISTEXT(V5)</formula>
    </cfRule>
  </conditionalFormatting>
  <conditionalFormatting sqref="Z31:Z36">
    <cfRule type="containsText" dxfId="9" priority="17" stopIfTrue="1" operator="containsText" text="Première">
      <formula>NOT(ISERROR(SEARCH("Première",Z31)))</formula>
    </cfRule>
    <cfRule type="containsText" dxfId="8" priority="18" stopIfTrue="1" operator="containsText" text="Seconde">
      <formula>NOT(ISERROR(SEARCH("Seconde",Z31)))</formula>
    </cfRule>
    <cfRule type="containsText" dxfId="7" priority="19" stopIfTrue="1" operator="containsText" text="Terme">
      <formula>NOT(ISERROR(SEARCH("Terme",Z31)))</formula>
    </cfRule>
  </conditionalFormatting>
  <dataValidations count="3">
    <dataValidation type="list" allowBlank="1" showInputMessage="1" showErrorMessage="1" errorTitle="Valeur invalide" error="La valeur doit être contenue entre 1 et 4" promptTitle="Compétences locales" prompt="Valeur comprise entre 1 et 4_x000a_Les compétences pour cette cibles sont : _x000a__x000a_1 - Exclusives au locale_x000a_2 - Partagées entre local et l'État_x000a_3 - À l'État, supporté par le local_x000a_4 - Exclusives à l'État_x000a_" sqref="H26 H13:H16" xr:uid="{00000000-0002-0000-1400-000000000000}">
      <formula1>$M$1:$P$1</formula1>
    </dataValidation>
    <dataValidation type="list" allowBlank="1" showInputMessage="1" showErrorMessage="1" errorTitle="Valeur invalide" error="La valeur doit être contenue entre 1 et 4" promptTitle="Performance actuelle" prompt="Valeur comprise entre 1 et 4_x000a_Cette cible est :_x000a__x000a_1 - Loin d'être atteinte_x000a_2 - Partiellement atteinte_x000a_3 - En voie d'être atteinte_x000a_4 - Atteinte" sqref="F13:F16 F18:F24 F26:F36 F5:F11" xr:uid="{00000000-0002-0000-1400-000001000000}">
      <formula1>$M$1:$P$1</formula1>
    </dataValidation>
    <dataValidation type="list" allowBlank="1" showInputMessage="1" showErrorMessage="1" errorTitle="Valeur invalide" error="Les valeurs permises pour l'importance sont 0, 1, 2 ou 3" promptTitle="Importance de la cible" prompt="Valeur comprise entre 0 et 3_x000a_L'atteinte de cette cible est :_x000a__x000a_0 - Non applicable_x000a_1 - Importance faible_x000a_2 - Importance moyenne_x000a_3 - Importance forte" sqref="E13:E16 E18:E24 E26:E36 E5:E11" xr:uid="{00000000-0002-0000-1400-000002000000}">
      <formula1>$L$1:$O$1</formula1>
    </dataValidation>
  </dataValidations>
  <pageMargins left="0.70866141732283472" right="0.70866141732283472" top="0.74803149606299213" bottom="0.74803149606299213" header="0.31496062992125984" footer="0.31496062992125984"/>
  <pageSetup paperSize="5" scale="42" fitToHeight="20" orientation="landscape"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Feuil11">
    <pageSetUpPr fitToPage="1"/>
  </sheetPr>
  <dimension ref="B1:AF1365"/>
  <sheetViews>
    <sheetView zoomScale="50" zoomScaleNormal="40" workbookViewId="0">
      <selection activeCell="C15" sqref="C15:T73"/>
    </sheetView>
  </sheetViews>
  <sheetFormatPr baseColWidth="10" defaultColWidth="11.5" defaultRowHeight="13"/>
  <cols>
    <col min="1" max="1" width="1.83203125" customWidth="1"/>
    <col min="2" max="2" width="2.1640625" customWidth="1"/>
    <col min="3" max="3" width="68.5" customWidth="1"/>
    <col min="4" max="5" width="12.6640625" hidden="1" customWidth="1"/>
    <col min="6" max="6" width="13.33203125" hidden="1" customWidth="1"/>
    <col min="7" max="13" width="12.6640625" customWidth="1"/>
    <col min="14" max="14" width="4.1640625" style="1" customWidth="1"/>
    <col min="15" max="32" width="11.5" style="1"/>
  </cols>
  <sheetData>
    <row r="1" spans="2:32" s="61" customFormat="1" ht="14" thickBot="1">
      <c r="F1" s="61" t="s">
        <v>116</v>
      </c>
      <c r="G1" s="61" t="s">
        <v>117</v>
      </c>
      <c r="H1" s="61" t="s">
        <v>118</v>
      </c>
      <c r="I1" s="61" t="s">
        <v>119</v>
      </c>
      <c r="J1" s="61" t="s">
        <v>120</v>
      </c>
      <c r="K1" s="61" t="s">
        <v>121</v>
      </c>
      <c r="L1" s="61" t="s">
        <v>122</v>
      </c>
      <c r="M1" s="61" t="s">
        <v>123</v>
      </c>
      <c r="N1" s="62"/>
      <c r="O1" s="62"/>
      <c r="P1" s="62"/>
      <c r="Q1" s="62"/>
      <c r="R1" s="62"/>
      <c r="S1" s="62"/>
      <c r="T1" s="62"/>
      <c r="U1" s="62"/>
      <c r="V1" s="62"/>
      <c r="W1" s="62"/>
      <c r="X1" s="62"/>
      <c r="Y1" s="62"/>
      <c r="Z1" s="62"/>
      <c r="AA1" s="62"/>
      <c r="AB1" s="62"/>
      <c r="AC1" s="62"/>
      <c r="AD1" s="62"/>
      <c r="AE1" s="62"/>
      <c r="AF1" s="62"/>
    </row>
    <row r="2" spans="2:32" ht="108" customHeight="1">
      <c r="B2" s="384" t="s">
        <v>124</v>
      </c>
      <c r="C2" s="385"/>
      <c r="D2" s="67" t="str">
        <f>'Résultats détaillés'!AC3</f>
        <v>Nombre de cibles</v>
      </c>
      <c r="E2" s="68" t="str">
        <f>'Résultats détaillés'!AD3</f>
        <v>Nombre de cibles analysées</v>
      </c>
      <c r="F2" s="69" t="str">
        <f>'Résultats détaillés'!AE3</f>
        <v>Cible non complétée</v>
      </c>
      <c r="G2" s="259" t="str">
        <f>'Résultats détaillés'!AF3</f>
        <v>Nombre de cibles urgentes</v>
      </c>
      <c r="H2" s="260" t="str">
        <f>'Résultats détaillés'!AG3</f>
        <v>Nombre de cibles prioritaires</v>
      </c>
      <c r="I2" s="259" t="str">
        <f>'Résultats détaillés'!AH3</f>
        <v>Nombre de cibles à moyen terme</v>
      </c>
      <c r="J2" s="259" t="str">
        <f>'Résultats détaillés'!AI3</f>
        <v>Nombre de cibles à long terme</v>
      </c>
      <c r="K2" s="259" t="str">
        <f>'Résultats détaillés'!AJ3</f>
        <v>Nombre de cibles à consolider</v>
      </c>
      <c r="L2" s="259" t="str">
        <f>'Résultats détaillés'!AK3</f>
        <v>Nombre de cibles non prioritaires</v>
      </c>
      <c r="M2" s="261" t="str">
        <f>'Résultats détaillés'!AL3</f>
        <v>Nombre de cibles non pertinentes</v>
      </c>
    </row>
    <row r="3" spans="2:32" ht="33.75" customHeight="1">
      <c r="B3" s="386" t="s">
        <v>125</v>
      </c>
      <c r="C3" s="387"/>
      <c r="D3" s="45">
        <f t="shared" ref="D3:M3" si="0">SUM(D4:D8)</f>
        <v>27</v>
      </c>
      <c r="E3" s="65">
        <f t="shared" si="0"/>
        <v>-1</v>
      </c>
      <c r="F3" s="63">
        <f t="shared" si="0"/>
        <v>28</v>
      </c>
      <c r="G3" s="262">
        <f t="shared" si="0"/>
        <v>0</v>
      </c>
      <c r="H3" s="263">
        <f t="shared" si="0"/>
        <v>0</v>
      </c>
      <c r="I3" s="262">
        <f t="shared" si="0"/>
        <v>0</v>
      </c>
      <c r="J3" s="262">
        <f t="shared" si="0"/>
        <v>0</v>
      </c>
      <c r="K3" s="262">
        <f t="shared" si="0"/>
        <v>0</v>
      </c>
      <c r="L3" s="262">
        <f t="shared" si="0"/>
        <v>0</v>
      </c>
      <c r="M3" s="264">
        <f t="shared" si="0"/>
        <v>0</v>
      </c>
    </row>
    <row r="4" spans="2:32" ht="31.5" customHeight="1">
      <c r="B4" s="73"/>
      <c r="C4" s="72" t="str">
        <f>'Résultats détaillés'!AB4</f>
        <v xml:space="preserve">ONR 1  -   SOBRIÉTÉ : S'engager à optimiser les outils numériques pour limiter leurs impacts et consommation					</v>
      </c>
      <c r="D4" s="44">
        <f>IF('Résultats détaillés'!AC4=0,"",'Résultats détaillés'!AC4)</f>
        <v>6</v>
      </c>
      <c r="E4" s="66">
        <f>IF('Résultats détaillés'!AD4=0,"",'Résultats détaillés'!AD4)</f>
        <v>-1</v>
      </c>
      <c r="F4" s="64">
        <f>IF('Résultats détaillés'!AE4=0,"",'Résultats détaillés'!AE4)</f>
        <v>7</v>
      </c>
      <c r="G4" s="44" t="str">
        <f>IF('Résultats détaillés'!AF4=0,"",'Résultats détaillés'!AF4)</f>
        <v/>
      </c>
      <c r="H4" s="44" t="str">
        <f>IF('Résultats détaillés'!AG4=0,"",'Résultats détaillés'!AG4)</f>
        <v/>
      </c>
      <c r="I4" s="44" t="str">
        <f>IF('Résultats détaillés'!AH4=0,"",'Résultats détaillés'!AH4)</f>
        <v/>
      </c>
      <c r="J4" s="44" t="str">
        <f>IF('Résultats détaillés'!AI4=0,"",'Résultats détaillés'!AI4)</f>
        <v/>
      </c>
      <c r="K4" s="44" t="str">
        <f>IF('Résultats détaillés'!AJ4=0,"",'Résultats détaillés'!AJ4)</f>
        <v/>
      </c>
      <c r="L4" s="44" t="str">
        <f>IF('Résultats détaillés'!AK4=0,"",'Résultats détaillés'!AK4)</f>
        <v/>
      </c>
      <c r="M4" s="71" t="str">
        <f>IF('Résultats détaillés'!AL4=0,"",'Résultats détaillés'!AL4)</f>
        <v/>
      </c>
    </row>
    <row r="5" spans="2:32" ht="31.5" customHeight="1">
      <c r="B5" s="74"/>
      <c r="C5" s="70" t="str">
        <f>'Résultats détaillés'!AB12</f>
        <v>ONR 2  -   INCLUSION : S'engager à développer des services numériques accessibles à toutes et tous, inclusifs et durables</v>
      </c>
      <c r="D5" s="44">
        <f>IF('Résultats détaillés'!AC12=0,"",'Résultats détaillés'!AC12)</f>
        <v>4</v>
      </c>
      <c r="E5" s="66" t="str">
        <f>IF('Résultats détaillés'!AD12=0,"",'Résultats détaillés'!AD12)</f>
        <v/>
      </c>
      <c r="F5" s="64">
        <f>IF('Résultats détaillés'!AE12=0,"",'Résultats détaillés'!AE12)</f>
        <v>4</v>
      </c>
      <c r="G5" s="44" t="str">
        <f>IF('Résultats détaillés'!AF12=0,"",'Résultats détaillés'!AF12)</f>
        <v/>
      </c>
      <c r="H5" s="44" t="str">
        <f>IF('Résultats détaillés'!AG12=0,"",'Résultats détaillés'!AG12)</f>
        <v/>
      </c>
      <c r="I5" s="44" t="str">
        <f>IF('Résultats détaillés'!AH12=0,"",'Résultats détaillés'!AH12)</f>
        <v/>
      </c>
      <c r="J5" s="44" t="str">
        <f>IF('Résultats détaillés'!AI12=0,"",'Résultats détaillés'!AI12)</f>
        <v/>
      </c>
      <c r="K5" s="44" t="str">
        <f>IF('Résultats détaillés'!AJ12=0,"",'Résultats détaillés'!AJ12)</f>
        <v/>
      </c>
      <c r="L5" s="44" t="str">
        <f>IF('Résultats détaillés'!AK12=0,"",'Résultats détaillés'!AK12)</f>
        <v/>
      </c>
      <c r="M5" s="71" t="str">
        <f>IF('Résultats détaillés'!AL12=0,"",'Résultats détaillés'!AL12)</f>
        <v/>
      </c>
    </row>
    <row r="6" spans="2:32" ht="31.5" customHeight="1">
      <c r="B6" s="75"/>
      <c r="C6" s="70" t="str">
        <f>'Résultats détaillés'!AB17</f>
        <v xml:space="preserve">ONR 3  -  RSE : S'engager pour des pratiques numériques éthiques et responsables </v>
      </c>
      <c r="D6" s="44">
        <f>IF('Résultats détaillés'!AC17=0,"",'Résultats détaillés'!AC17)</f>
        <v>7</v>
      </c>
      <c r="E6" s="66" t="str">
        <f>IF('Résultats détaillés'!AD17=0,"",'Résultats détaillés'!AD17)</f>
        <v/>
      </c>
      <c r="F6" s="64">
        <f>IF('Résultats détaillés'!AE17=0,"",'Résultats détaillés'!AE17)</f>
        <v>7</v>
      </c>
      <c r="G6" s="44" t="str">
        <f>IF('Résultats détaillés'!AF17=0,"",'Résultats détaillés'!AF17)</f>
        <v/>
      </c>
      <c r="H6" s="44" t="str">
        <f>IF('Résultats détaillés'!AG17=0,"",'Résultats détaillés'!AG17)</f>
        <v/>
      </c>
      <c r="I6" s="44" t="str">
        <f>IF('Résultats détaillés'!AH17=0,"",'Résultats détaillés'!AH17)</f>
        <v/>
      </c>
      <c r="J6" s="44" t="str">
        <f>IF('Résultats détaillés'!AI17=0,"",'Résultats détaillés'!AI17)</f>
        <v/>
      </c>
      <c r="K6" s="44" t="str">
        <f>IF('Résultats détaillés'!AJ17=0,"",'Résultats détaillés'!AJ17)</f>
        <v/>
      </c>
      <c r="L6" s="44" t="str">
        <f>IF('Résultats détaillés'!AK17=0,"",'Résultats détaillés'!AK17)</f>
        <v/>
      </c>
      <c r="M6" s="71" t="str">
        <f>IF('Résultats détaillés'!AL17=0,"",'Résultats détaillés'!AL17)</f>
        <v/>
      </c>
    </row>
    <row r="7" spans="2:32" ht="31.5" customHeight="1">
      <c r="B7" s="76"/>
      <c r="C7" s="70" t="str">
        <f>'Résultats détaillés'!AB25</f>
        <v>ONR 4  -  RESILIENCE ET STRATEGIE :  S'engager vers un numérique responsable, indispensable pour assurer la résilience des organisations</v>
      </c>
      <c r="D7" s="44">
        <f>IF('Résultats détaillés'!AC25=0,"",'Résultats détaillés'!AC25)</f>
        <v>3</v>
      </c>
      <c r="E7" s="66">
        <f>IF('Résultats détaillés'!AD25=0,"",'Résultats détaillés'!AD25)</f>
        <v>-1</v>
      </c>
      <c r="F7" s="64">
        <f>IF('Résultats détaillés'!AE25=0,"",'Résultats détaillés'!AE25)</f>
        <v>4</v>
      </c>
      <c r="G7" s="44" t="str">
        <f>IF('Résultats détaillés'!AF25=0,"",'Résultats détaillés'!AF25)</f>
        <v/>
      </c>
      <c r="H7" s="44" t="str">
        <f>IF('Résultats détaillés'!AG25=0,"",'Résultats détaillés'!AG25)</f>
        <v/>
      </c>
      <c r="I7" s="44" t="str">
        <f>IF('Résultats détaillés'!AH25=0,"",'Résultats détaillés'!AH25)</f>
        <v/>
      </c>
      <c r="J7" s="44" t="str">
        <f>IF('Résultats détaillés'!AI25=0,"",'Résultats détaillés'!AI25)</f>
        <v/>
      </c>
      <c r="K7" s="44" t="str">
        <f>IF('Résultats détaillés'!AJ25=0,"",'Résultats détaillés'!AJ25)</f>
        <v/>
      </c>
      <c r="L7" s="44" t="str">
        <f>IF('Résultats détaillés'!AK25=0,"",'Résultats détaillés'!AK25)</f>
        <v/>
      </c>
      <c r="M7" s="71" t="str">
        <f>IF('Résultats détaillés'!AL25=0,"",'Résultats détaillés'!AL25)</f>
        <v/>
      </c>
    </row>
    <row r="8" spans="2:32" ht="31.5" customHeight="1">
      <c r="B8" s="77"/>
      <c r="C8" s="70" t="str">
        <f>'Résultats détaillés'!B30</f>
        <v>ONR 5  -  MANAGEMENT :  S'engager à faire les choses avec sens en respectant et en préservant les ressources qui produisent</v>
      </c>
      <c r="D8" s="44">
        <f>IF('Résultats détaillés'!AC30=0,"",'Résultats détaillés'!AC30)</f>
        <v>7</v>
      </c>
      <c r="E8" s="66">
        <f>IF('Résultats détaillés'!AD30=0,"",'Résultats détaillés'!AD30)</f>
        <v>1</v>
      </c>
      <c r="F8" s="44">
        <f>IF('Résultats détaillés'!AE30=0,"",'Résultats détaillés'!AE30)</f>
        <v>6</v>
      </c>
      <c r="G8" s="44" t="str">
        <f>IF('Résultats détaillés'!AF30=0,"",'Résultats détaillés'!AF30)</f>
        <v/>
      </c>
      <c r="H8" s="44" t="str">
        <f>IF('Résultats détaillés'!AG30=0,"",'Résultats détaillés'!AG30)</f>
        <v/>
      </c>
      <c r="I8" s="44" t="str">
        <f>IF('Résultats détaillés'!AH30=0,"",'Résultats détaillés'!AH30)</f>
        <v/>
      </c>
      <c r="J8" s="44" t="str">
        <f>IF('Résultats détaillés'!AI30=0,"",'Résultats détaillés'!AI30)</f>
        <v/>
      </c>
      <c r="K8" s="44" t="str">
        <f>IF('Résultats détaillés'!AJ30=0,"",'Résultats détaillés'!AJ30)</f>
        <v/>
      </c>
      <c r="L8" s="44" t="str">
        <f>IF('Résultats détaillés'!AK30=0,"",'Résultats détaillés'!AK30)</f>
        <v/>
      </c>
      <c r="M8" s="44" t="str">
        <f>IF('Résultats détaillés'!AL30=0,"",'Résultats détaillés'!AL30)</f>
        <v/>
      </c>
    </row>
    <row r="9" spans="2:32" s="1" customFormat="1"/>
    <row r="10" spans="2:32" s="1" customFormat="1" ht="20.25" customHeight="1">
      <c r="B10" s="390" t="s">
        <v>126</v>
      </c>
      <c r="C10" s="390"/>
    </row>
    <row r="11" spans="2:32" s="1" customFormat="1" ht="20.25" customHeight="1">
      <c r="B11" s="391" t="s">
        <v>127</v>
      </c>
      <c r="C11" s="391"/>
    </row>
    <row r="12" spans="2:32" s="1" customFormat="1" ht="20.25" customHeight="1">
      <c r="B12" s="392" t="s">
        <v>128</v>
      </c>
      <c r="C12" s="392"/>
    </row>
    <row r="13" spans="2:32" s="1" customFormat="1" ht="20.25" customHeight="1">
      <c r="B13" s="388" t="s">
        <v>129</v>
      </c>
      <c r="C13" s="388"/>
    </row>
    <row r="14" spans="2:32" s="1" customFormat="1" ht="20.25" customHeight="1">
      <c r="B14" s="389" t="s">
        <v>130</v>
      </c>
      <c r="C14" s="389"/>
    </row>
    <row r="15" spans="2:32" s="1" customFormat="1"/>
    <row r="16" spans="2:32" s="1" customFormat="1"/>
    <row r="17" spans="3:13" s="1" customFormat="1"/>
    <row r="18" spans="3:13" s="1" customFormat="1"/>
    <row r="19" spans="3:13" s="1" customFormat="1" ht="24">
      <c r="C19" s="383"/>
      <c r="D19" s="383"/>
      <c r="E19" s="284"/>
      <c r="F19" s="284"/>
      <c r="G19" s="283"/>
      <c r="H19" s="283"/>
      <c r="I19" s="283"/>
      <c r="J19" s="283"/>
      <c r="K19" s="283"/>
      <c r="L19" s="283"/>
      <c r="M19" s="283"/>
    </row>
    <row r="20" spans="3:13" s="1" customFormat="1" ht="16">
      <c r="C20" s="285"/>
      <c r="D20" s="285"/>
      <c r="E20" s="286"/>
      <c r="F20" s="286"/>
      <c r="G20" s="286"/>
      <c r="H20" s="286"/>
      <c r="I20" s="286"/>
      <c r="J20" s="286"/>
      <c r="K20" s="286"/>
      <c r="L20" s="286"/>
      <c r="M20" s="286"/>
    </row>
    <row r="21" spans="3:13" s="1" customFormat="1" ht="16">
      <c r="C21" s="285"/>
      <c r="D21" s="285"/>
      <c r="E21" s="286"/>
      <c r="F21" s="286"/>
      <c r="G21" s="286"/>
      <c r="H21" s="286"/>
      <c r="I21" s="286"/>
      <c r="J21" s="286"/>
      <c r="K21" s="286"/>
      <c r="L21" s="286"/>
      <c r="M21" s="286"/>
    </row>
    <row r="22" spans="3:13" s="1" customFormat="1" ht="16">
      <c r="C22" s="285"/>
      <c r="D22" s="285"/>
      <c r="E22" s="286"/>
      <c r="F22" s="286"/>
      <c r="G22" s="286"/>
      <c r="H22" s="286"/>
      <c r="I22" s="286"/>
      <c r="J22" s="286"/>
      <c r="K22" s="286"/>
      <c r="L22" s="286"/>
      <c r="M22" s="286"/>
    </row>
    <row r="23" spans="3:13" s="1" customFormat="1" ht="16">
      <c r="C23" s="285"/>
      <c r="D23" s="285"/>
      <c r="E23" s="286"/>
      <c r="F23" s="286"/>
      <c r="G23" s="286"/>
      <c r="H23" s="286"/>
      <c r="I23" s="286"/>
      <c r="J23" s="286"/>
      <c r="K23" s="286"/>
      <c r="L23" s="286"/>
      <c r="M23" s="286"/>
    </row>
    <row r="24" spans="3:13" s="1" customFormat="1" ht="16">
      <c r="C24" s="285"/>
      <c r="D24" s="285"/>
      <c r="E24" s="286"/>
      <c r="F24" s="286"/>
      <c r="G24" s="286"/>
      <c r="H24" s="286"/>
      <c r="I24" s="286"/>
      <c r="J24" s="286"/>
      <c r="K24" s="286"/>
      <c r="L24" s="286"/>
      <c r="M24" s="286"/>
    </row>
    <row r="25" spans="3:13" s="1" customFormat="1"/>
    <row r="26" spans="3:13" s="1" customFormat="1"/>
    <row r="27" spans="3:13" s="1" customFormat="1"/>
    <row r="28" spans="3:13" s="1" customFormat="1"/>
    <row r="29" spans="3:13" s="1" customFormat="1"/>
    <row r="30" spans="3:13" s="1" customFormat="1"/>
    <row r="31" spans="3:13" s="1" customFormat="1"/>
    <row r="32" spans="3:13" s="1" customFormat="1"/>
    <row r="33" s="1" customFormat="1"/>
    <row r="34" s="1" customFormat="1"/>
    <row r="35" s="1" customFormat="1"/>
    <row r="36" s="1" customFormat="1"/>
    <row r="37" s="1" customFormat="1"/>
    <row r="38" s="1" customFormat="1"/>
    <row r="39" s="1" customFormat="1"/>
    <row r="40" s="1" customFormat="1"/>
    <row r="41" s="1" customFormat="1"/>
    <row r="42" s="1" customFormat="1"/>
    <row r="43" s="1" customFormat="1"/>
    <row r="44" s="1" customFormat="1"/>
    <row r="45" s="1" customFormat="1"/>
    <row r="46" s="1" customFormat="1"/>
    <row r="47" s="1" customFormat="1"/>
    <row r="48" s="1" customFormat="1"/>
    <row r="49" s="1" customFormat="1"/>
    <row r="50" s="1" customFormat="1"/>
    <row r="51" s="1" customFormat="1"/>
    <row r="52" s="1" customFormat="1"/>
    <row r="53" s="1" customFormat="1"/>
    <row r="54" s="1" customFormat="1"/>
    <row r="55" s="1" customFormat="1"/>
    <row r="56" s="1" customFormat="1"/>
    <row r="57" s="1" customFormat="1"/>
    <row r="58" s="1" customFormat="1"/>
    <row r="59" s="1" customFormat="1"/>
    <row r="60" s="1" customFormat="1"/>
    <row r="61" s="1" customFormat="1"/>
    <row r="62" s="1" customFormat="1"/>
    <row r="63" s="1" customFormat="1"/>
    <row r="64" s="1" customFormat="1"/>
    <row r="65" s="1" customFormat="1"/>
    <row r="66" s="1" customFormat="1"/>
    <row r="67" s="1" customFormat="1"/>
    <row r="68" s="1" customFormat="1"/>
    <row r="69" s="1" customFormat="1"/>
    <row r="70" s="1" customFormat="1"/>
    <row r="71" s="1" customFormat="1"/>
    <row r="72" s="1" customFormat="1"/>
    <row r="73" s="1" customFormat="1"/>
    <row r="74" s="1" customFormat="1"/>
    <row r="75" s="1" customFormat="1"/>
    <row r="76" s="1" customFormat="1"/>
    <row r="77" s="1" customFormat="1"/>
    <row r="78" s="1" customFormat="1"/>
    <row r="79" s="1" customFormat="1"/>
    <row r="80" s="1" customFormat="1"/>
    <row r="81" s="1" customFormat="1"/>
    <row r="82" s="1" customFormat="1"/>
    <row r="83" s="1" customFormat="1"/>
    <row r="84" s="1" customFormat="1"/>
    <row r="85" s="1" customFormat="1"/>
    <row r="86" s="1" customFormat="1"/>
    <row r="87" s="1" customFormat="1"/>
    <row r="88" s="1" customFormat="1"/>
    <row r="89" s="1" customFormat="1"/>
    <row r="90" s="1" customFormat="1"/>
    <row r="91" s="1" customFormat="1"/>
    <row r="92" s="1" customFormat="1"/>
    <row r="93" s="1" customFormat="1"/>
    <row r="94" s="1" customFormat="1"/>
    <row r="95" s="1" customFormat="1"/>
    <row r="96" s="1" customFormat="1"/>
    <row r="97" s="1" customFormat="1"/>
    <row r="98" s="1" customFormat="1"/>
    <row r="99" s="1" customFormat="1"/>
    <row r="100" s="1" customFormat="1"/>
    <row r="101" s="1" customFormat="1"/>
    <row r="102" s="1" customFormat="1"/>
    <row r="103" s="1" customFormat="1"/>
    <row r="104" s="1" customFormat="1"/>
    <row r="105" s="1" customFormat="1"/>
    <row r="106" s="1" customFormat="1"/>
    <row r="107" s="1" customFormat="1"/>
    <row r="108" s="1" customFormat="1"/>
    <row r="109" s="1" customFormat="1"/>
    <row r="110" s="1" customFormat="1"/>
    <row r="111" s="1" customFormat="1"/>
    <row r="112" s="1" customFormat="1"/>
    <row r="113" s="1" customFormat="1"/>
    <row r="114" s="1" customFormat="1"/>
    <row r="115" s="1" customFormat="1"/>
    <row r="116" s="1" customFormat="1"/>
    <row r="117" s="1" customFormat="1"/>
    <row r="118" s="1" customFormat="1"/>
    <row r="119" s="1" customFormat="1"/>
    <row r="120" s="1" customFormat="1"/>
    <row r="121" s="1" customFormat="1"/>
    <row r="122" s="1" customFormat="1"/>
    <row r="123" s="1" customFormat="1"/>
    <row r="124" s="1" customFormat="1"/>
    <row r="125" s="1" customFormat="1"/>
    <row r="126" s="1" customFormat="1"/>
    <row r="127" s="1" customFormat="1"/>
    <row r="128" s="1" customFormat="1"/>
    <row r="129" s="1" customFormat="1"/>
    <row r="130" s="1" customFormat="1"/>
    <row r="131" s="1" customFormat="1"/>
    <row r="132" s="1" customFormat="1"/>
    <row r="133" s="1" customFormat="1"/>
    <row r="134" s="1" customFormat="1"/>
    <row r="135" s="1" customFormat="1"/>
    <row r="136" s="1" customFormat="1"/>
    <row r="137" s="1" customFormat="1"/>
    <row r="138" s="1" customFormat="1"/>
    <row r="139" s="1" customFormat="1"/>
    <row r="140" s="1" customFormat="1"/>
    <row r="141" s="1" customFormat="1"/>
    <row r="142" s="1" customFormat="1"/>
    <row r="143" s="1" customFormat="1"/>
    <row r="144" s="1" customFormat="1"/>
    <row r="145" s="1" customFormat="1"/>
    <row r="146" s="1" customFormat="1"/>
    <row r="147" s="1" customFormat="1"/>
    <row r="148" s="1" customFormat="1"/>
    <row r="149" s="1" customFormat="1"/>
    <row r="150" s="1" customFormat="1"/>
    <row r="151" s="1" customFormat="1"/>
    <row r="152" s="1" customFormat="1"/>
    <row r="153" s="1" customFormat="1"/>
    <row r="154" s="1" customFormat="1"/>
    <row r="155" s="1" customFormat="1"/>
    <row r="156" s="1" customFormat="1"/>
    <row r="157" s="1" customFormat="1"/>
    <row r="158" s="1" customFormat="1"/>
    <row r="159" s="1" customFormat="1"/>
    <row r="160" s="1" customFormat="1"/>
    <row r="161" s="1" customFormat="1"/>
    <row r="162" s="1" customFormat="1"/>
    <row r="163" s="1" customFormat="1"/>
    <row r="164" s="1" customFormat="1"/>
    <row r="165" s="1" customFormat="1"/>
    <row r="166" s="1" customFormat="1"/>
    <row r="167" s="1" customFormat="1"/>
    <row r="168" s="1" customFormat="1"/>
    <row r="169" s="1" customFormat="1"/>
    <row r="170" s="1" customFormat="1"/>
    <row r="171" s="1" customFormat="1"/>
    <row r="172" s="1" customFormat="1"/>
    <row r="173" s="1" customFormat="1"/>
    <row r="174" s="1" customFormat="1"/>
    <row r="175" s="1" customFormat="1"/>
    <row r="176" s="1" customFormat="1"/>
    <row r="177" s="1" customFormat="1"/>
    <row r="178" s="1" customFormat="1"/>
    <row r="179" s="1" customFormat="1"/>
    <row r="180" s="1" customFormat="1"/>
    <row r="181" s="1" customFormat="1"/>
    <row r="182" s="1" customFormat="1"/>
    <row r="183" s="1" customFormat="1"/>
    <row r="184" s="1" customFormat="1"/>
    <row r="185" s="1" customFormat="1"/>
    <row r="186" s="1" customFormat="1"/>
    <row r="187" s="1" customFormat="1"/>
    <row r="188" s="1" customFormat="1"/>
    <row r="189" s="1" customFormat="1"/>
    <row r="190" s="1" customFormat="1"/>
    <row r="191" s="1" customFormat="1"/>
    <row r="192" s="1" customFormat="1"/>
    <row r="193" s="1" customFormat="1"/>
    <row r="194" s="1" customFormat="1"/>
    <row r="195" s="1" customFormat="1"/>
    <row r="196" s="1" customFormat="1"/>
    <row r="197" s="1" customFormat="1"/>
    <row r="198" s="1" customFormat="1"/>
    <row r="199" s="1" customFormat="1"/>
    <row r="200" s="1" customFormat="1"/>
    <row r="201" s="1" customFormat="1"/>
    <row r="202" s="1" customFormat="1"/>
    <row r="203" s="1" customFormat="1"/>
    <row r="204" s="1" customFormat="1"/>
    <row r="205" s="1" customFormat="1"/>
    <row r="206" s="1" customFormat="1"/>
    <row r="207" s="1" customFormat="1"/>
    <row r="208" s="1" customFormat="1"/>
    <row r="209" s="1" customFormat="1"/>
    <row r="210" s="1" customFormat="1"/>
    <row r="211" s="1" customFormat="1"/>
    <row r="212" s="1" customFormat="1"/>
    <row r="213" s="1" customFormat="1"/>
    <row r="214" s="1" customFormat="1"/>
    <row r="215" s="1" customFormat="1"/>
    <row r="216" s="1" customFormat="1"/>
    <row r="217" s="1" customFormat="1"/>
    <row r="218" s="1" customFormat="1"/>
    <row r="219" s="1" customFormat="1"/>
    <row r="220" s="1" customFormat="1"/>
    <row r="221" s="1" customFormat="1"/>
    <row r="222" s="1" customFormat="1"/>
    <row r="223" s="1" customFormat="1"/>
    <row r="224" s="1" customFormat="1"/>
    <row r="225" s="1" customFormat="1"/>
    <row r="226" s="1" customFormat="1"/>
    <row r="227" s="1" customFormat="1"/>
    <row r="228" s="1" customFormat="1"/>
    <row r="229" s="1" customFormat="1"/>
    <row r="230" s="1" customFormat="1"/>
    <row r="231" s="1" customFormat="1"/>
    <row r="232" s="1" customFormat="1"/>
    <row r="233" s="1" customFormat="1"/>
    <row r="234" s="1" customFormat="1"/>
    <row r="235" s="1" customFormat="1"/>
    <row r="236" s="1" customFormat="1"/>
    <row r="237" s="1" customFormat="1"/>
    <row r="238" s="1" customFormat="1"/>
    <row r="239" s="1" customFormat="1"/>
    <row r="240" s="1" customFormat="1"/>
    <row r="241" s="1" customFormat="1"/>
    <row r="242" s="1" customFormat="1"/>
    <row r="243" s="1" customFormat="1"/>
    <row r="244" s="1" customFormat="1"/>
    <row r="245" s="1" customFormat="1"/>
    <row r="246" s="1" customFormat="1"/>
    <row r="247" s="1" customFormat="1"/>
    <row r="248" s="1" customFormat="1"/>
    <row r="249" s="1" customFormat="1"/>
    <row r="250" s="1" customFormat="1"/>
    <row r="251" s="1" customFormat="1"/>
    <row r="252" s="1" customFormat="1"/>
    <row r="253" s="1" customFormat="1"/>
    <row r="254" s="1" customFormat="1"/>
    <row r="255" s="1" customFormat="1"/>
    <row r="256" s="1" customFormat="1"/>
    <row r="257" s="1" customFormat="1"/>
    <row r="258" s="1" customFormat="1"/>
    <row r="259" s="1" customFormat="1"/>
    <row r="260" s="1" customFormat="1"/>
    <row r="261" s="1" customFormat="1"/>
    <row r="262" s="1" customFormat="1"/>
    <row r="263" s="1" customFormat="1"/>
    <row r="264" s="1" customFormat="1"/>
    <row r="265" s="1" customFormat="1"/>
    <row r="266" s="1" customFormat="1"/>
    <row r="267" s="1" customFormat="1"/>
    <row r="268" s="1" customFormat="1"/>
    <row r="269" s="1" customFormat="1"/>
    <row r="270" s="1" customFormat="1"/>
    <row r="271" s="1" customFormat="1"/>
    <row r="272" s="1" customFormat="1"/>
    <row r="273" s="1" customFormat="1"/>
    <row r="274" s="1" customFormat="1"/>
    <row r="275" s="1" customFormat="1"/>
    <row r="276" s="1" customFormat="1"/>
    <row r="277" s="1" customFormat="1"/>
    <row r="278" s="1" customFormat="1"/>
    <row r="279" s="1" customFormat="1"/>
    <row r="280" s="1" customFormat="1"/>
    <row r="281" s="1" customFormat="1"/>
    <row r="282" s="1" customFormat="1"/>
    <row r="283" s="1" customFormat="1"/>
    <row r="284" s="1" customFormat="1"/>
    <row r="285" s="1" customFormat="1"/>
    <row r="286" s="1" customFormat="1"/>
    <row r="287" s="1" customFormat="1"/>
    <row r="288" s="1" customFormat="1"/>
    <row r="289" s="1" customFormat="1"/>
    <row r="290" s="1" customFormat="1"/>
    <row r="291" s="1" customFormat="1"/>
    <row r="292" s="1" customFormat="1"/>
    <row r="293" s="1" customFormat="1"/>
    <row r="294" s="1" customFormat="1"/>
    <row r="295" s="1" customFormat="1"/>
    <row r="296" s="1" customFormat="1"/>
    <row r="297" s="1" customFormat="1"/>
    <row r="298" s="1" customFormat="1"/>
    <row r="299" s="1" customFormat="1"/>
    <row r="300" s="1" customFormat="1"/>
    <row r="301" s="1" customFormat="1"/>
    <row r="302" s="1" customFormat="1"/>
    <row r="303" s="1" customFormat="1"/>
    <row r="304" s="1" customFormat="1"/>
    <row r="305" s="1" customFormat="1"/>
    <row r="306" s="1" customFormat="1"/>
    <row r="307" s="1" customFormat="1"/>
    <row r="308" s="1" customFormat="1"/>
    <row r="309" s="1" customFormat="1"/>
    <row r="310" s="1" customFormat="1"/>
    <row r="311" s="1" customFormat="1"/>
    <row r="312" s="1" customFormat="1"/>
    <row r="313" s="1" customFormat="1"/>
    <row r="314" s="1" customFormat="1"/>
    <row r="315" s="1" customFormat="1"/>
    <row r="316" s="1" customFormat="1"/>
    <row r="317" s="1" customFormat="1"/>
    <row r="318" s="1" customFormat="1"/>
    <row r="319" s="1" customFormat="1"/>
    <row r="320" s="1" customFormat="1"/>
    <row r="321" s="1" customFormat="1"/>
    <row r="322" s="1" customFormat="1"/>
    <row r="323" s="1" customFormat="1"/>
    <row r="324" s="1" customFormat="1"/>
    <row r="325" s="1" customFormat="1"/>
    <row r="326" s="1" customFormat="1"/>
    <row r="327" s="1" customFormat="1"/>
    <row r="328" s="1" customFormat="1"/>
    <row r="329" s="1" customFormat="1"/>
    <row r="330" s="1" customFormat="1"/>
    <row r="331" s="1" customFormat="1"/>
    <row r="332" s="1" customFormat="1"/>
    <row r="333" s="1" customFormat="1"/>
    <row r="334" s="1" customFormat="1"/>
    <row r="335" s="1" customFormat="1"/>
    <row r="336" s="1" customFormat="1"/>
    <row r="337" s="1" customFormat="1"/>
    <row r="338" s="1" customFormat="1"/>
    <row r="339" s="1" customFormat="1"/>
    <row r="340" s="1" customFormat="1"/>
    <row r="341" s="1" customFormat="1"/>
    <row r="342" s="1" customFormat="1"/>
    <row r="343" s="1" customFormat="1"/>
    <row r="344" s="1" customFormat="1"/>
    <row r="345" s="1" customFormat="1"/>
    <row r="346" s="1" customFormat="1"/>
    <row r="347" s="1" customFormat="1"/>
    <row r="348" s="1" customFormat="1"/>
    <row r="349" s="1" customFormat="1"/>
    <row r="350" s="1" customFormat="1"/>
    <row r="351" s="1" customFormat="1"/>
    <row r="352" s="1" customFormat="1"/>
    <row r="353" s="1" customFormat="1"/>
    <row r="354" s="1" customFormat="1"/>
    <row r="355" s="1" customFormat="1"/>
    <row r="356" s="1" customFormat="1"/>
    <row r="357" s="1" customFormat="1"/>
    <row r="358" s="1" customFormat="1"/>
    <row r="359" s="1" customFormat="1"/>
    <row r="360" s="1" customFormat="1"/>
    <row r="361" s="1" customFormat="1"/>
    <row r="362" s="1" customFormat="1"/>
    <row r="363" s="1" customFormat="1"/>
    <row r="364" s="1" customFormat="1"/>
    <row r="365" s="1" customFormat="1"/>
    <row r="366" s="1" customFormat="1"/>
    <row r="367" s="1" customFormat="1"/>
    <row r="368" s="1" customFormat="1"/>
    <row r="369" s="1" customFormat="1"/>
    <row r="370" s="1" customFormat="1"/>
    <row r="371" s="1" customFormat="1"/>
    <row r="372" s="1" customFormat="1"/>
    <row r="373" s="1" customFormat="1"/>
    <row r="374" s="1" customFormat="1"/>
    <row r="375" s="1" customFormat="1"/>
    <row r="376" s="1" customFormat="1"/>
    <row r="377" s="1" customFormat="1"/>
    <row r="378" s="1" customFormat="1"/>
    <row r="379" s="1" customFormat="1"/>
    <row r="380" s="1" customFormat="1"/>
    <row r="381" s="1" customFormat="1"/>
    <row r="382" s="1" customFormat="1"/>
    <row r="383" s="1" customFormat="1"/>
    <row r="384" s="1" customFormat="1"/>
    <row r="385" s="1" customFormat="1"/>
    <row r="386" s="1" customFormat="1"/>
    <row r="387" s="1" customFormat="1"/>
    <row r="388" s="1" customFormat="1"/>
    <row r="389" s="1" customFormat="1"/>
    <row r="390" s="1" customFormat="1"/>
    <row r="391" s="1" customFormat="1"/>
    <row r="392" s="1" customFormat="1"/>
    <row r="393" s="1" customFormat="1"/>
    <row r="394" s="1" customFormat="1"/>
    <row r="395" s="1" customFormat="1"/>
    <row r="396" s="1" customFormat="1"/>
    <row r="397" s="1" customFormat="1"/>
    <row r="398" s="1" customFormat="1"/>
    <row r="399" s="1" customFormat="1"/>
    <row r="400" s="1" customFormat="1"/>
    <row r="401" s="1" customFormat="1"/>
    <row r="402" s="1" customFormat="1"/>
    <row r="403" s="1" customFormat="1"/>
    <row r="404" s="1" customFormat="1"/>
    <row r="405" s="1" customFormat="1"/>
    <row r="406" s="1" customFormat="1"/>
    <row r="407" s="1" customFormat="1"/>
    <row r="408" s="1" customFormat="1"/>
    <row r="409" s="1" customFormat="1"/>
    <row r="410" s="1" customFormat="1"/>
    <row r="411" s="1" customFormat="1"/>
    <row r="412" s="1" customFormat="1"/>
    <row r="413" s="1" customFormat="1"/>
    <row r="414" s="1" customFormat="1"/>
    <row r="415" s="1" customFormat="1"/>
    <row r="416" s="1" customFormat="1"/>
    <row r="417" s="1" customFormat="1"/>
    <row r="418" s="1" customFormat="1"/>
    <row r="419" s="1" customFormat="1"/>
    <row r="420" s="1" customFormat="1"/>
    <row r="421" s="1" customFormat="1"/>
    <row r="422" s="1" customFormat="1"/>
    <row r="423" s="1" customFormat="1"/>
    <row r="424" s="1" customFormat="1"/>
    <row r="425" s="1" customFormat="1"/>
    <row r="426" s="1" customFormat="1"/>
    <row r="427" s="1" customFormat="1"/>
    <row r="428" s="1" customFormat="1"/>
    <row r="429" s="1" customFormat="1"/>
    <row r="430" s="1" customFormat="1"/>
    <row r="431" s="1" customFormat="1"/>
    <row r="432" s="1" customFormat="1"/>
    <row r="433" s="1" customFormat="1"/>
    <row r="434" s="1" customFormat="1"/>
    <row r="435" s="1" customFormat="1"/>
    <row r="436" s="1" customFormat="1"/>
    <row r="437" s="1" customFormat="1"/>
    <row r="438" s="1" customFormat="1"/>
    <row r="439" s="1" customFormat="1"/>
    <row r="440" s="1" customFormat="1"/>
    <row r="441" s="1" customFormat="1"/>
    <row r="442" s="1" customFormat="1"/>
    <row r="443" s="1" customFormat="1"/>
    <row r="444" s="1" customFormat="1"/>
    <row r="445" s="1" customFormat="1"/>
    <row r="446" s="1" customFormat="1"/>
    <row r="447" s="1" customFormat="1"/>
    <row r="448" s="1" customFormat="1"/>
    <row r="449" s="1" customFormat="1"/>
    <row r="450" s="1" customFormat="1"/>
    <row r="451" s="1" customFormat="1"/>
    <row r="452" s="1" customFormat="1"/>
    <row r="453" s="1" customFormat="1"/>
    <row r="454" s="1" customFormat="1"/>
    <row r="455" s="1" customFormat="1"/>
    <row r="456" s="1" customFormat="1"/>
    <row r="457" s="1" customFormat="1"/>
    <row r="458" s="1" customFormat="1"/>
    <row r="459" s="1" customFormat="1"/>
    <row r="460" s="1" customFormat="1"/>
    <row r="461" s="1" customFormat="1"/>
    <row r="462" s="1" customFormat="1"/>
    <row r="463" s="1" customFormat="1"/>
    <row r="464" s="1" customFormat="1"/>
    <row r="465" s="1" customFormat="1"/>
    <row r="466" s="1" customFormat="1"/>
    <row r="467" s="1" customFormat="1"/>
    <row r="468" s="1" customFormat="1"/>
    <row r="469" s="1" customFormat="1"/>
    <row r="470" s="1" customFormat="1"/>
    <row r="471" s="1" customFormat="1"/>
    <row r="472" s="1" customFormat="1"/>
    <row r="473" s="1" customFormat="1"/>
    <row r="474" s="1" customFormat="1"/>
    <row r="475" s="1" customFormat="1"/>
    <row r="476" s="1" customFormat="1"/>
    <row r="477" s="1" customFormat="1"/>
    <row r="478" s="1" customFormat="1"/>
    <row r="479" s="1" customFormat="1"/>
    <row r="480" s="1" customFormat="1"/>
    <row r="481" s="1" customFormat="1"/>
    <row r="482" s="1" customFormat="1"/>
    <row r="483" s="1" customFormat="1"/>
    <row r="484" s="1" customFormat="1"/>
    <row r="485" s="1" customFormat="1"/>
    <row r="486" s="1" customFormat="1"/>
    <row r="487" s="1" customFormat="1"/>
    <row r="488" s="1" customFormat="1"/>
    <row r="489" s="1" customFormat="1"/>
    <row r="490" s="1" customFormat="1"/>
    <row r="491" s="1" customFormat="1"/>
    <row r="492" s="1" customFormat="1"/>
    <row r="493" s="1" customFormat="1"/>
    <row r="494" s="1" customFormat="1"/>
    <row r="495" s="1" customFormat="1"/>
    <row r="496" s="1" customFormat="1"/>
    <row r="497" s="1" customFormat="1"/>
    <row r="498" s="1" customFormat="1"/>
    <row r="499" s="1" customFormat="1"/>
    <row r="500" s="1" customFormat="1"/>
    <row r="501" s="1" customFormat="1"/>
    <row r="502" s="1" customFormat="1"/>
    <row r="503" s="1" customFormat="1"/>
    <row r="504" s="1" customFormat="1"/>
    <row r="505" s="1" customFormat="1"/>
    <row r="506" s="1" customFormat="1"/>
    <row r="507" s="1" customFormat="1"/>
    <row r="508" s="1" customFormat="1"/>
    <row r="509" s="1" customFormat="1"/>
    <row r="510" s="1" customFormat="1"/>
    <row r="511" s="1" customFormat="1"/>
    <row r="512" s="1" customFormat="1"/>
    <row r="513" s="1" customFormat="1"/>
    <row r="514" s="1" customFormat="1"/>
    <row r="515" s="1" customFormat="1"/>
    <row r="516" s="1" customFormat="1"/>
    <row r="517" s="1" customFormat="1"/>
    <row r="518" s="1" customFormat="1"/>
    <row r="519" s="1" customFormat="1"/>
    <row r="520" s="1" customFormat="1"/>
    <row r="521" s="1" customFormat="1"/>
    <row r="522" s="1" customFormat="1"/>
    <row r="523" s="1" customFormat="1"/>
    <row r="524" s="1" customFormat="1"/>
    <row r="525" s="1" customFormat="1"/>
    <row r="526" s="1" customFormat="1"/>
    <row r="527" s="1" customFormat="1"/>
    <row r="528" s="1" customFormat="1"/>
    <row r="529" s="1" customFormat="1"/>
    <row r="530" s="1" customFormat="1"/>
    <row r="531" s="1" customFormat="1"/>
    <row r="532" s="1" customFormat="1"/>
    <row r="533" s="1" customFormat="1"/>
    <row r="534" s="1" customFormat="1"/>
    <row r="535" s="1" customFormat="1"/>
    <row r="536" s="1" customFormat="1"/>
    <row r="537" s="1" customFormat="1"/>
    <row r="538" s="1" customFormat="1"/>
    <row r="539" s="1" customFormat="1"/>
    <row r="540" s="1" customFormat="1"/>
    <row r="541" s="1" customFormat="1"/>
    <row r="542" s="1" customFormat="1"/>
    <row r="543" s="1" customFormat="1"/>
    <row r="544" s="1" customFormat="1"/>
    <row r="545" s="1" customFormat="1"/>
    <row r="546" s="1" customFormat="1"/>
    <row r="547" s="1" customFormat="1"/>
    <row r="548" s="1" customFormat="1"/>
    <row r="549" s="1" customFormat="1"/>
    <row r="550" s="1" customFormat="1"/>
    <row r="551" s="1" customFormat="1"/>
    <row r="552" s="1" customFormat="1"/>
    <row r="553" s="1" customFormat="1"/>
    <row r="554" s="1" customFormat="1"/>
    <row r="555" s="1" customFormat="1"/>
    <row r="556" s="1" customFormat="1"/>
    <row r="557" s="1" customFormat="1"/>
    <row r="558" s="1" customFormat="1"/>
    <row r="559" s="1" customFormat="1"/>
    <row r="560" s="1" customFormat="1"/>
    <row r="561" s="1" customFormat="1"/>
    <row r="562" s="1" customFormat="1"/>
    <row r="563" s="1" customFormat="1"/>
    <row r="564" s="1" customFormat="1"/>
    <row r="565" s="1" customFormat="1"/>
    <row r="566" s="1" customFormat="1"/>
    <row r="567" s="1" customFormat="1"/>
    <row r="568" s="1" customFormat="1"/>
    <row r="569" s="1" customFormat="1"/>
    <row r="570" s="1" customFormat="1"/>
    <row r="571" s="1" customFormat="1"/>
    <row r="572" s="1" customFormat="1"/>
    <row r="573" s="1" customFormat="1"/>
    <row r="574" s="1" customFormat="1"/>
    <row r="575" s="1" customFormat="1"/>
    <row r="576" s="1" customFormat="1"/>
    <row r="577" s="1" customFormat="1"/>
    <row r="578" s="1" customFormat="1"/>
    <row r="579" s="1" customFormat="1"/>
    <row r="580" s="1" customFormat="1"/>
    <row r="581" s="1" customFormat="1"/>
    <row r="582" s="1" customFormat="1"/>
    <row r="583" s="1" customFormat="1"/>
    <row r="584" s="1" customFormat="1"/>
    <row r="585" s="1" customFormat="1"/>
    <row r="586" s="1" customFormat="1"/>
    <row r="587" s="1" customFormat="1"/>
    <row r="588" s="1" customFormat="1"/>
    <row r="589" s="1" customFormat="1"/>
    <row r="590" s="1" customFormat="1"/>
    <row r="591" s="1" customFormat="1"/>
    <row r="592" s="1" customFormat="1"/>
    <row r="593" s="1" customFormat="1"/>
    <row r="594" s="1" customFormat="1"/>
    <row r="595" s="1" customFormat="1"/>
    <row r="596" s="1" customFormat="1"/>
    <row r="597" s="1" customFormat="1"/>
    <row r="598" s="1" customFormat="1"/>
    <row r="599" s="1" customFormat="1"/>
    <row r="600" s="1" customFormat="1"/>
    <row r="601" s="1" customFormat="1"/>
    <row r="602" s="1" customFormat="1"/>
    <row r="603" s="1" customFormat="1"/>
    <row r="604" s="1" customFormat="1"/>
    <row r="605" s="1" customFormat="1"/>
    <row r="606" s="1" customFormat="1"/>
    <row r="607" s="1" customFormat="1"/>
    <row r="608" s="1" customFormat="1"/>
    <row r="609" s="1" customFormat="1"/>
    <row r="610" s="1" customFormat="1"/>
    <row r="611" s="1" customFormat="1"/>
    <row r="612" s="1" customFormat="1"/>
    <row r="613" s="1" customFormat="1"/>
    <row r="614" s="1" customFormat="1"/>
    <row r="615" s="1" customFormat="1"/>
    <row r="616" s="1" customFormat="1"/>
    <row r="617" s="1" customFormat="1"/>
    <row r="618" s="1" customFormat="1"/>
    <row r="619" s="1" customFormat="1"/>
    <row r="620" s="1" customFormat="1"/>
    <row r="621" s="1" customFormat="1"/>
    <row r="622" s="1" customFormat="1"/>
    <row r="623" s="1" customFormat="1"/>
    <row r="624" s="1" customFormat="1"/>
    <row r="625" s="1" customFormat="1"/>
    <row r="626" s="1" customFormat="1"/>
    <row r="627" s="1" customFormat="1"/>
    <row r="628" s="1" customFormat="1"/>
    <row r="629" s="1" customFormat="1"/>
    <row r="630" s="1" customFormat="1"/>
    <row r="631" s="1" customFormat="1"/>
    <row r="632" s="1" customFormat="1"/>
    <row r="633" s="1" customFormat="1"/>
    <row r="634" s="1" customFormat="1"/>
    <row r="635" s="1" customFormat="1"/>
    <row r="636" s="1" customFormat="1"/>
    <row r="637" s="1" customFormat="1"/>
    <row r="638" s="1" customFormat="1"/>
    <row r="639" s="1" customFormat="1"/>
    <row r="640" s="1" customFormat="1"/>
    <row r="641" s="1" customFormat="1"/>
    <row r="642" s="1" customFormat="1"/>
    <row r="643" s="1" customFormat="1"/>
    <row r="644" s="1" customFormat="1"/>
    <row r="645" s="1" customFormat="1"/>
    <row r="646" s="1" customFormat="1"/>
    <row r="647" s="1" customFormat="1"/>
    <row r="648" s="1" customFormat="1"/>
    <row r="649" s="1" customFormat="1"/>
    <row r="650" s="1" customFormat="1"/>
    <row r="651" s="1" customFormat="1"/>
    <row r="652" s="1" customFormat="1"/>
    <row r="653" s="1" customFormat="1"/>
    <row r="654" s="1" customFormat="1"/>
    <row r="655" s="1" customFormat="1"/>
    <row r="656" s="1" customFormat="1"/>
    <row r="657" s="1" customFormat="1"/>
    <row r="658" s="1" customFormat="1"/>
    <row r="659" s="1" customFormat="1"/>
    <row r="660" s="1" customFormat="1"/>
    <row r="661" s="1" customFormat="1"/>
    <row r="662" s="1" customFormat="1"/>
    <row r="663" s="1" customFormat="1"/>
    <row r="664" s="1" customFormat="1"/>
    <row r="665" s="1" customFormat="1"/>
    <row r="666" s="1" customFormat="1"/>
    <row r="667" s="1" customFormat="1"/>
    <row r="668" s="1" customFormat="1"/>
    <row r="669" s="1" customFormat="1"/>
    <row r="670" s="1" customFormat="1"/>
    <row r="671" s="1" customFormat="1"/>
    <row r="672" s="1" customFormat="1"/>
    <row r="673" s="1" customFormat="1"/>
    <row r="674" s="1" customFormat="1"/>
    <row r="675" s="1" customFormat="1"/>
    <row r="676" s="1" customFormat="1"/>
    <row r="677" s="1" customFormat="1"/>
    <row r="678" s="1" customFormat="1"/>
    <row r="679" s="1" customFormat="1"/>
    <row r="680" s="1" customFormat="1"/>
    <row r="681" s="1" customFormat="1"/>
    <row r="682" s="1" customFormat="1"/>
    <row r="683" s="1" customFormat="1"/>
    <row r="684" s="1" customFormat="1"/>
    <row r="685" s="1" customFormat="1"/>
    <row r="686" s="1" customFormat="1"/>
    <row r="687" s="1" customFormat="1"/>
    <row r="688" s="1" customFormat="1"/>
    <row r="689" s="1" customFormat="1"/>
    <row r="690" s="1" customFormat="1"/>
    <row r="691" s="1" customFormat="1"/>
    <row r="692" s="1" customFormat="1"/>
    <row r="693" s="1" customFormat="1"/>
    <row r="694" s="1" customFormat="1"/>
    <row r="695" s="1" customFormat="1"/>
    <row r="696" s="1" customFormat="1"/>
    <row r="697" s="1" customFormat="1"/>
    <row r="698" s="1" customFormat="1"/>
    <row r="699" s="1" customFormat="1"/>
    <row r="700" s="1" customFormat="1"/>
    <row r="701" s="1" customFormat="1"/>
    <row r="702" s="1" customFormat="1"/>
    <row r="703" s="1" customFormat="1"/>
    <row r="704" s="1" customFormat="1"/>
    <row r="705" s="1" customFormat="1"/>
    <row r="706" s="1" customFormat="1"/>
    <row r="707" s="1" customFormat="1"/>
    <row r="708" s="1" customFormat="1"/>
    <row r="709" s="1" customFormat="1"/>
    <row r="710" s="1" customFormat="1"/>
    <row r="711" s="1" customFormat="1"/>
    <row r="712" s="1" customFormat="1"/>
    <row r="713" s="1" customFormat="1"/>
    <row r="714" s="1" customFormat="1"/>
    <row r="715" s="1" customFormat="1"/>
    <row r="716" s="1" customFormat="1"/>
    <row r="717" s="1" customFormat="1"/>
    <row r="718" s="1" customFormat="1"/>
    <row r="719" s="1" customFormat="1"/>
    <row r="720" s="1" customFormat="1"/>
    <row r="721" s="1" customFormat="1"/>
    <row r="722" s="1" customFormat="1"/>
    <row r="723" s="1" customFormat="1"/>
    <row r="724" s="1" customFormat="1"/>
    <row r="725" s="1" customFormat="1"/>
    <row r="726" s="1" customFormat="1"/>
    <row r="727" s="1" customFormat="1"/>
    <row r="728" s="1" customFormat="1"/>
    <row r="729" s="1" customFormat="1"/>
    <row r="730" s="1" customFormat="1"/>
    <row r="731" s="1" customFormat="1"/>
    <row r="732" s="1" customFormat="1"/>
    <row r="733" s="1" customFormat="1"/>
    <row r="734" s="1" customFormat="1"/>
    <row r="735" s="1" customFormat="1"/>
    <row r="736" s="1" customFormat="1"/>
    <row r="737" s="1" customFormat="1"/>
    <row r="738" s="1" customFormat="1"/>
    <row r="739" s="1" customFormat="1"/>
    <row r="740" s="1" customFormat="1"/>
    <row r="741" s="1" customFormat="1"/>
    <row r="742" s="1" customFormat="1"/>
    <row r="743" s="1" customFormat="1"/>
    <row r="744" s="1" customFormat="1"/>
    <row r="745" s="1" customFormat="1"/>
    <row r="746" s="1" customFormat="1"/>
    <row r="747" s="1" customFormat="1"/>
    <row r="748" s="1" customFormat="1"/>
    <row r="749" s="1" customFormat="1"/>
    <row r="750" s="1" customFormat="1"/>
    <row r="751" s="1" customFormat="1"/>
    <row r="752" s="1" customFormat="1"/>
    <row r="753" s="1" customFormat="1"/>
    <row r="754" s="1" customFormat="1"/>
    <row r="755" s="1" customFormat="1"/>
    <row r="756" s="1" customFormat="1"/>
    <row r="757" s="1" customFormat="1"/>
    <row r="758" s="1" customFormat="1"/>
    <row r="759" s="1" customFormat="1"/>
    <row r="760" s="1" customFormat="1"/>
    <row r="761" s="1" customFormat="1"/>
    <row r="762" s="1" customFormat="1"/>
    <row r="763" s="1" customFormat="1"/>
    <row r="764" s="1" customFormat="1"/>
    <row r="765" s="1" customFormat="1"/>
    <row r="766" s="1" customFormat="1"/>
    <row r="767" s="1" customFormat="1"/>
    <row r="768" s="1" customFormat="1"/>
    <row r="769" s="1" customFormat="1"/>
    <row r="770" s="1" customFormat="1"/>
    <row r="771" s="1" customFormat="1"/>
    <row r="772" s="1" customFormat="1"/>
    <row r="773" s="1" customFormat="1"/>
    <row r="774" s="1" customFormat="1"/>
    <row r="775" s="1" customFormat="1"/>
    <row r="776" s="1" customFormat="1"/>
    <row r="777" s="1" customFormat="1"/>
    <row r="778" s="1" customFormat="1"/>
    <row r="779" s="1" customFormat="1"/>
    <row r="780" s="1" customFormat="1"/>
    <row r="781" s="1" customFormat="1"/>
    <row r="782" s="1" customFormat="1"/>
    <row r="783" s="1" customFormat="1"/>
    <row r="784" s="1" customFormat="1"/>
    <row r="785" s="1" customFormat="1"/>
    <row r="786" s="1" customFormat="1"/>
    <row r="787" s="1" customFormat="1"/>
    <row r="788" s="1" customFormat="1"/>
    <row r="789" s="1" customFormat="1"/>
    <row r="790" s="1" customFormat="1"/>
    <row r="791" s="1" customFormat="1"/>
    <row r="792" s="1" customFormat="1"/>
    <row r="793" s="1" customFormat="1"/>
    <row r="794" s="1" customFormat="1"/>
    <row r="795" s="1" customFormat="1"/>
    <row r="796" s="1" customFormat="1"/>
    <row r="797" s="1" customFormat="1"/>
    <row r="798" s="1" customFormat="1"/>
    <row r="799" s="1" customFormat="1"/>
    <row r="800" s="1" customFormat="1"/>
    <row r="801" s="1" customFormat="1"/>
    <row r="802" s="1" customFormat="1"/>
    <row r="803" s="1" customFormat="1"/>
    <row r="804" s="1" customFormat="1"/>
    <row r="805" s="1" customFormat="1"/>
    <row r="806" s="1" customFormat="1"/>
    <row r="807" s="1" customFormat="1"/>
    <row r="808" s="1" customFormat="1"/>
    <row r="809" s="1" customFormat="1"/>
    <row r="810" s="1" customFormat="1"/>
    <row r="811" s="1" customFormat="1"/>
    <row r="812" s="1" customFormat="1"/>
    <row r="813" s="1" customFormat="1"/>
    <row r="814" s="1" customFormat="1"/>
    <row r="815" s="1" customFormat="1"/>
    <row r="816" s="1" customFormat="1"/>
    <row r="817" s="1" customFormat="1"/>
    <row r="818" s="1" customFormat="1"/>
    <row r="819" s="1" customFormat="1"/>
    <row r="820" s="1" customFormat="1"/>
    <row r="821" s="1" customFormat="1"/>
    <row r="822" s="1" customFormat="1"/>
    <row r="823" s="1" customFormat="1"/>
    <row r="824" s="1" customFormat="1"/>
    <row r="825" s="1" customFormat="1"/>
    <row r="826" s="1" customFormat="1"/>
    <row r="827" s="1" customFormat="1"/>
    <row r="828" s="1" customFormat="1"/>
    <row r="829" s="1" customFormat="1"/>
    <row r="830" s="1" customFormat="1"/>
    <row r="831" s="1" customFormat="1"/>
    <row r="832" s="1" customFormat="1"/>
    <row r="833" s="1" customFormat="1"/>
    <row r="834" s="1" customFormat="1"/>
    <row r="835" s="1" customFormat="1"/>
    <row r="836" s="1" customFormat="1"/>
    <row r="837" s="1" customFormat="1"/>
    <row r="838" s="1" customFormat="1"/>
    <row r="839" s="1" customFormat="1"/>
    <row r="840" s="1" customFormat="1"/>
    <row r="841" s="1" customFormat="1"/>
    <row r="842" s="1" customFormat="1"/>
    <row r="843" s="1" customFormat="1"/>
    <row r="844" s="1" customFormat="1"/>
    <row r="845" s="1" customFormat="1"/>
    <row r="846" s="1" customFormat="1"/>
    <row r="847" s="1" customFormat="1"/>
    <row r="848" s="1" customFormat="1"/>
    <row r="849" s="1" customFormat="1"/>
    <row r="850" s="1" customFormat="1"/>
    <row r="851" s="1" customFormat="1"/>
    <row r="852" s="1" customFormat="1"/>
    <row r="853" s="1" customFormat="1"/>
    <row r="854" s="1" customFormat="1"/>
    <row r="855" s="1" customFormat="1"/>
    <row r="856" s="1" customFormat="1"/>
    <row r="857" s="1" customFormat="1"/>
    <row r="858" s="1" customFormat="1"/>
    <row r="859" s="1" customFormat="1"/>
    <row r="860" s="1" customFormat="1"/>
    <row r="861" s="1" customFormat="1"/>
    <row r="862" s="1" customFormat="1"/>
    <row r="863" s="1" customFormat="1"/>
    <row r="864" s="1" customFormat="1"/>
    <row r="865" s="1" customFormat="1"/>
    <row r="866" s="1" customFormat="1"/>
    <row r="867" s="1" customFormat="1"/>
    <row r="868" s="1" customFormat="1"/>
    <row r="869" s="1" customFormat="1"/>
    <row r="870" s="1" customFormat="1"/>
    <row r="871" s="1" customFormat="1"/>
    <row r="872" s="1" customFormat="1"/>
    <row r="873" s="1" customFormat="1"/>
    <row r="874" s="1" customFormat="1"/>
    <row r="875" s="1" customFormat="1"/>
    <row r="876" s="1" customFormat="1"/>
    <row r="877" s="1" customFormat="1"/>
    <row r="878" s="1" customFormat="1"/>
    <row r="879" s="1" customFormat="1"/>
    <row r="880" s="1" customFormat="1"/>
    <row r="881" s="1" customFormat="1"/>
    <row r="882" s="1" customFormat="1"/>
    <row r="883" s="1" customFormat="1"/>
    <row r="884" s="1" customFormat="1"/>
    <row r="885" s="1" customFormat="1"/>
    <row r="886" s="1" customFormat="1"/>
    <row r="887" s="1" customFormat="1"/>
    <row r="888" s="1" customFormat="1"/>
    <row r="889" s="1" customFormat="1"/>
    <row r="890" s="1" customFormat="1"/>
    <row r="891" s="1" customFormat="1"/>
    <row r="892" s="1" customFormat="1"/>
    <row r="893" s="1" customFormat="1"/>
    <row r="894" s="1" customFormat="1"/>
    <row r="895" s="1" customFormat="1"/>
    <row r="896" s="1" customFormat="1"/>
    <row r="897" s="1" customFormat="1"/>
    <row r="898" s="1" customFormat="1"/>
    <row r="899" s="1" customFormat="1"/>
    <row r="900" s="1" customFormat="1"/>
    <row r="901" s="1" customFormat="1"/>
    <row r="902" s="1" customFormat="1"/>
    <row r="903" s="1" customFormat="1"/>
    <row r="904" s="1" customFormat="1"/>
    <row r="905" s="1" customFormat="1"/>
    <row r="906" s="1" customFormat="1"/>
    <row r="907" s="1" customFormat="1"/>
    <row r="908" s="1" customFormat="1"/>
    <row r="909" s="1" customFormat="1"/>
    <row r="910" s="1" customFormat="1"/>
    <row r="911" s="1" customFormat="1"/>
    <row r="912" s="1" customFormat="1"/>
    <row r="913" s="1" customFormat="1"/>
    <row r="914" s="1" customFormat="1"/>
    <row r="915" s="1" customFormat="1"/>
    <row r="916" s="1" customFormat="1"/>
    <row r="917" s="1" customFormat="1"/>
    <row r="918" s="1" customFormat="1"/>
    <row r="919" s="1" customFormat="1"/>
    <row r="920" s="1" customFormat="1"/>
    <row r="921" s="1" customFormat="1"/>
    <row r="922" s="1" customFormat="1"/>
    <row r="923" s="1" customFormat="1"/>
    <row r="924" s="1" customFormat="1"/>
    <row r="925" s="1" customFormat="1"/>
    <row r="926" s="1" customFormat="1"/>
    <row r="927" s="1" customFormat="1"/>
    <row r="928" s="1" customFormat="1"/>
    <row r="929" s="1" customFormat="1"/>
    <row r="930" s="1" customFormat="1"/>
    <row r="931" s="1" customFormat="1"/>
    <row r="932" s="1" customFormat="1"/>
    <row r="933" s="1" customFormat="1"/>
    <row r="934" s="1" customFormat="1"/>
    <row r="935" s="1" customFormat="1"/>
    <row r="936" s="1" customFormat="1"/>
    <row r="937" s="1" customFormat="1"/>
    <row r="938" s="1" customFormat="1"/>
    <row r="939" s="1" customFormat="1"/>
    <row r="940" s="1" customFormat="1"/>
    <row r="941" s="1" customFormat="1"/>
    <row r="942" s="1" customFormat="1"/>
    <row r="943" s="1" customFormat="1"/>
    <row r="944" s="1" customFormat="1"/>
    <row r="945" s="1" customFormat="1"/>
    <row r="946" s="1" customFormat="1"/>
    <row r="947" s="1" customFormat="1"/>
    <row r="948" s="1" customFormat="1"/>
    <row r="949" s="1" customFormat="1"/>
    <row r="950" s="1" customFormat="1"/>
    <row r="951" s="1" customFormat="1"/>
    <row r="952" s="1" customFormat="1"/>
    <row r="953" s="1" customFormat="1"/>
    <row r="954" s="1" customFormat="1"/>
    <row r="955" s="1" customFormat="1"/>
    <row r="956" s="1" customFormat="1"/>
    <row r="957" s="1" customFormat="1"/>
    <row r="958" s="1" customFormat="1"/>
    <row r="959" s="1" customFormat="1"/>
    <row r="960" s="1" customFormat="1"/>
    <row r="961" s="1" customFormat="1"/>
    <row r="962" s="1" customFormat="1"/>
    <row r="963" s="1" customFormat="1"/>
    <row r="964" s="1" customFormat="1"/>
    <row r="965" s="1" customFormat="1"/>
    <row r="966" s="1" customFormat="1"/>
    <row r="967" s="1" customFormat="1"/>
    <row r="968" s="1" customFormat="1"/>
    <row r="969" s="1" customFormat="1"/>
    <row r="970" s="1" customFormat="1"/>
    <row r="971" s="1" customFormat="1"/>
    <row r="972" s="1" customFormat="1"/>
    <row r="973" s="1" customFormat="1"/>
    <row r="974" s="1" customFormat="1"/>
    <row r="975" s="1" customFormat="1"/>
    <row r="976" s="1" customFormat="1"/>
    <row r="977" s="1" customFormat="1"/>
    <row r="978" s="1" customFormat="1"/>
    <row r="979" s="1" customFormat="1"/>
    <row r="980" s="1" customFormat="1"/>
    <row r="981" s="1" customFormat="1"/>
    <row r="982" s="1" customFormat="1"/>
    <row r="983" s="1" customFormat="1"/>
    <row r="984" s="1" customFormat="1"/>
    <row r="985" s="1" customFormat="1"/>
    <row r="986" s="1" customFormat="1"/>
    <row r="987" s="1" customFormat="1"/>
    <row r="988" s="1" customFormat="1"/>
    <row r="989" s="1" customFormat="1"/>
    <row r="990" s="1" customFormat="1"/>
    <row r="991" s="1" customFormat="1"/>
    <row r="992" s="1" customFormat="1"/>
    <row r="993" s="1" customFormat="1"/>
    <row r="994" s="1" customFormat="1"/>
    <row r="995" s="1" customFormat="1"/>
    <row r="996" s="1" customFormat="1"/>
    <row r="997" s="1" customFormat="1"/>
    <row r="998" s="1" customFormat="1"/>
    <row r="999" s="1" customFormat="1"/>
    <row r="1000" s="1" customFormat="1"/>
    <row r="1001" s="1" customFormat="1"/>
    <row r="1002" s="1" customFormat="1"/>
    <row r="1003" s="1" customFormat="1"/>
    <row r="1004" s="1" customFormat="1"/>
    <row r="1005" s="1" customFormat="1"/>
    <row r="1006" s="1" customFormat="1"/>
    <row r="1007" s="1" customFormat="1"/>
    <row r="1008" s="1" customFormat="1"/>
    <row r="1009" s="1" customFormat="1"/>
    <row r="1010" s="1" customFormat="1"/>
    <row r="1011" s="1" customFormat="1"/>
    <row r="1012" s="1" customFormat="1"/>
    <row r="1013" s="1" customFormat="1"/>
    <row r="1014" s="1" customFormat="1"/>
    <row r="1015" s="1" customFormat="1"/>
    <row r="1016" s="1" customFormat="1"/>
    <row r="1017" s="1" customFormat="1"/>
    <row r="1018" s="1" customFormat="1"/>
    <row r="1019" s="1" customFormat="1"/>
    <row r="1020" s="1" customFormat="1"/>
    <row r="1021" s="1" customFormat="1"/>
    <row r="1022" s="1" customFormat="1"/>
    <row r="1023" s="1" customFormat="1"/>
    <row r="1024" s="1" customFormat="1"/>
    <row r="1025" s="1" customFormat="1"/>
    <row r="1026" s="1" customFormat="1"/>
    <row r="1027" s="1" customFormat="1"/>
    <row r="1028" s="1" customFormat="1"/>
    <row r="1029" s="1" customFormat="1"/>
    <row r="1030" s="1" customFormat="1"/>
    <row r="1031" s="1" customFormat="1"/>
    <row r="1032" s="1" customFormat="1"/>
    <row r="1033" s="1" customFormat="1"/>
    <row r="1034" s="1" customFormat="1"/>
    <row r="1035" s="1" customFormat="1"/>
    <row r="1036" s="1" customFormat="1"/>
    <row r="1037" s="1" customFormat="1"/>
    <row r="1038" s="1" customFormat="1"/>
    <row r="1039" s="1" customFormat="1"/>
    <row r="1040" s="1" customFormat="1"/>
    <row r="1041" s="1" customFormat="1"/>
    <row r="1042" s="1" customFormat="1"/>
    <row r="1043" s="1" customFormat="1"/>
    <row r="1044" s="1" customFormat="1"/>
    <row r="1045" s="1" customFormat="1"/>
    <row r="1046" s="1" customFormat="1"/>
    <row r="1047" s="1" customFormat="1"/>
    <row r="1048" s="1" customFormat="1"/>
    <row r="1049" s="1" customFormat="1"/>
    <row r="1050" s="1" customFormat="1"/>
    <row r="1051" s="1" customFormat="1"/>
    <row r="1052" s="1" customFormat="1"/>
    <row r="1053" s="1" customFormat="1"/>
    <row r="1054" s="1" customFormat="1"/>
    <row r="1055" s="1" customFormat="1"/>
    <row r="1056" s="1" customFormat="1"/>
    <row r="1057" s="1" customFormat="1"/>
    <row r="1058" s="1" customFormat="1"/>
    <row r="1059" s="1" customFormat="1"/>
    <row r="1060" s="1" customFormat="1"/>
    <row r="1061" s="1" customFormat="1"/>
    <row r="1062" s="1" customFormat="1"/>
    <row r="1063" s="1" customFormat="1"/>
    <row r="1064" s="1" customFormat="1"/>
    <row r="1065" s="1" customFormat="1"/>
    <row r="1066" s="1" customFormat="1"/>
    <row r="1067" s="1" customFormat="1"/>
    <row r="1068" s="1" customFormat="1"/>
    <row r="1069" s="1" customFormat="1"/>
    <row r="1070" s="1" customFormat="1"/>
    <row r="1071" s="1" customFormat="1"/>
    <row r="1072" s="1" customFormat="1"/>
    <row r="1073" s="1" customFormat="1"/>
    <row r="1074" s="1" customFormat="1"/>
    <row r="1075" s="1" customFormat="1"/>
    <row r="1076" s="1" customFormat="1"/>
    <row r="1077" s="1" customFormat="1"/>
    <row r="1078" s="1" customFormat="1"/>
    <row r="1079" s="1" customFormat="1"/>
    <row r="1080" s="1" customFormat="1"/>
    <row r="1081" s="1" customFormat="1"/>
    <row r="1082" s="1" customFormat="1"/>
    <row r="1083" s="1" customFormat="1"/>
    <row r="1084" s="1" customFormat="1"/>
    <row r="1085" s="1" customFormat="1"/>
    <row r="1086" s="1" customFormat="1"/>
    <row r="1087" s="1" customFormat="1"/>
    <row r="1088" s="1" customFormat="1"/>
    <row r="1089" s="1" customFormat="1"/>
    <row r="1090" s="1" customFormat="1"/>
    <row r="1091" s="1" customFormat="1"/>
    <row r="1092" s="1" customFormat="1"/>
    <row r="1093" s="1" customFormat="1"/>
    <row r="1094" s="1" customFormat="1"/>
    <row r="1095" s="1" customFormat="1"/>
    <row r="1096" s="1" customFormat="1"/>
    <row r="1097" s="1" customFormat="1"/>
    <row r="1098" s="1" customFormat="1"/>
    <row r="1099" s="1" customFormat="1"/>
    <row r="1100" s="1" customFormat="1"/>
    <row r="1101" s="1" customFormat="1"/>
    <row r="1102" s="1" customFormat="1"/>
    <row r="1103" s="1" customFormat="1"/>
    <row r="1104" s="1" customFormat="1"/>
    <row r="1105" s="1" customFormat="1"/>
    <row r="1106" s="1" customFormat="1"/>
    <row r="1107" s="1" customFormat="1"/>
    <row r="1108" s="1" customFormat="1"/>
    <row r="1109" s="1" customFormat="1"/>
    <row r="1110" s="1" customFormat="1"/>
    <row r="1111" s="1" customFormat="1"/>
    <row r="1112" s="1" customFormat="1"/>
    <row r="1113" s="1" customFormat="1"/>
    <row r="1114" s="1" customFormat="1"/>
    <row r="1115" s="1" customFormat="1"/>
    <row r="1116" s="1" customFormat="1"/>
    <row r="1117" s="1" customFormat="1"/>
    <row r="1118" s="1" customFormat="1"/>
    <row r="1119" s="1" customFormat="1"/>
    <row r="1120" s="1" customFormat="1"/>
    <row r="1121" s="1" customFormat="1"/>
    <row r="1122" s="1" customFormat="1"/>
    <row r="1123" s="1" customFormat="1"/>
    <row r="1124" s="1" customFormat="1"/>
    <row r="1125" s="1" customFormat="1"/>
    <row r="1126" s="1" customFormat="1"/>
    <row r="1127" s="1" customFormat="1"/>
    <row r="1128" s="1" customFormat="1"/>
    <row r="1129" s="1" customFormat="1"/>
    <row r="1130" s="1" customFormat="1"/>
    <row r="1131" s="1" customFormat="1"/>
    <row r="1132" s="1" customFormat="1"/>
    <row r="1133" s="1" customFormat="1"/>
    <row r="1134" s="1" customFormat="1"/>
    <row r="1135" s="1" customFormat="1"/>
    <row r="1136" s="1" customFormat="1"/>
    <row r="1137" s="1" customFormat="1"/>
    <row r="1138" s="1" customFormat="1"/>
    <row r="1139" s="1" customFormat="1"/>
    <row r="1140" s="1" customFormat="1"/>
    <row r="1141" s="1" customFormat="1"/>
    <row r="1142" s="1" customFormat="1"/>
    <row r="1143" s="1" customFormat="1"/>
    <row r="1144" s="1" customFormat="1"/>
    <row r="1145" s="1" customFormat="1"/>
    <row r="1146" s="1" customFormat="1"/>
    <row r="1147" s="1" customFormat="1"/>
    <row r="1148" s="1" customFormat="1"/>
    <row r="1149" s="1" customFormat="1"/>
    <row r="1150" s="1" customFormat="1"/>
    <row r="1151" s="1" customFormat="1"/>
    <row r="1152" s="1" customFormat="1"/>
    <row r="1153" s="1" customFormat="1"/>
    <row r="1154" s="1" customFormat="1"/>
    <row r="1155" s="1" customFormat="1"/>
    <row r="1156" s="1" customFormat="1"/>
    <row r="1157" s="1" customFormat="1"/>
    <row r="1158" s="1" customFormat="1"/>
    <row r="1159" s="1" customFormat="1"/>
    <row r="1160" s="1" customFormat="1"/>
    <row r="1161" s="1" customFormat="1"/>
    <row r="1162" s="1" customFormat="1"/>
    <row r="1163" s="1" customFormat="1"/>
    <row r="1164" s="1" customFormat="1"/>
    <row r="1165" s="1" customFormat="1"/>
    <row r="1166" s="1" customFormat="1"/>
    <row r="1167" s="1" customFormat="1"/>
    <row r="1168" s="1" customFormat="1"/>
    <row r="1169" s="1" customFormat="1"/>
    <row r="1170" s="1" customFormat="1"/>
    <row r="1171" s="1" customFormat="1"/>
    <row r="1172" s="1" customFormat="1"/>
    <row r="1173" s="1" customFormat="1"/>
    <row r="1174" s="1" customFormat="1"/>
    <row r="1175" s="1" customFormat="1"/>
    <row r="1176" s="1" customFormat="1"/>
    <row r="1177" s="1" customFormat="1"/>
    <row r="1178" s="1" customFormat="1"/>
    <row r="1179" s="1" customFormat="1"/>
    <row r="1180" s="1" customFormat="1"/>
    <row r="1181" s="1" customFormat="1"/>
    <row r="1182" s="1" customFormat="1"/>
    <row r="1183" s="1" customFormat="1"/>
    <row r="1184" s="1" customFormat="1"/>
    <row r="1185" s="1" customFormat="1"/>
    <row r="1186" s="1" customFormat="1"/>
    <row r="1187" s="1" customFormat="1"/>
    <row r="1188" s="1" customFormat="1"/>
    <row r="1189" s="1" customFormat="1"/>
    <row r="1190" s="1" customFormat="1"/>
    <row r="1191" s="1" customFormat="1"/>
    <row r="1192" s="1" customFormat="1"/>
    <row r="1193" s="1" customFormat="1"/>
    <row r="1194" s="1" customFormat="1"/>
    <row r="1195" s="1" customFormat="1"/>
    <row r="1196" s="1" customFormat="1"/>
    <row r="1197" s="1" customFormat="1"/>
    <row r="1198" s="1" customFormat="1"/>
    <row r="1199" s="1" customFormat="1"/>
    <row r="1200" s="1" customFormat="1"/>
    <row r="1201" s="1" customFormat="1"/>
    <row r="1202" s="1" customFormat="1"/>
    <row r="1203" s="1" customFormat="1"/>
    <row r="1204" s="1" customFormat="1"/>
    <row r="1205" s="1" customFormat="1"/>
    <row r="1206" s="1" customFormat="1"/>
    <row r="1207" s="1" customFormat="1"/>
    <row r="1208" s="1" customFormat="1"/>
    <row r="1209" s="1" customFormat="1"/>
    <row r="1210" s="1" customFormat="1"/>
    <row r="1211" s="1" customFormat="1"/>
    <row r="1212" s="1" customFormat="1"/>
    <row r="1213" s="1" customFormat="1"/>
    <row r="1214" s="1" customFormat="1"/>
    <row r="1215" s="1" customFormat="1"/>
    <row r="1216" s="1" customFormat="1"/>
    <row r="1217" s="1" customFormat="1"/>
    <row r="1218" s="1" customFormat="1"/>
    <row r="1219" s="1" customFormat="1"/>
    <row r="1220" s="1" customFormat="1"/>
    <row r="1221" s="1" customFormat="1"/>
    <row r="1222" s="1" customFormat="1"/>
    <row r="1223" s="1" customFormat="1"/>
    <row r="1224" s="1" customFormat="1"/>
    <row r="1225" s="1" customFormat="1"/>
    <row r="1226" s="1" customFormat="1"/>
    <row r="1227" s="1" customFormat="1"/>
    <row r="1228" s="1" customFormat="1"/>
    <row r="1229" s="1" customFormat="1"/>
    <row r="1230" s="1" customFormat="1"/>
    <row r="1231" s="1" customFormat="1"/>
    <row r="1232" s="1" customFormat="1"/>
    <row r="1233" s="1" customFormat="1"/>
    <row r="1234" s="1" customFormat="1"/>
    <row r="1235" s="1" customFormat="1"/>
    <row r="1236" s="1" customFormat="1"/>
    <row r="1237" s="1" customFormat="1"/>
    <row r="1238" s="1" customFormat="1"/>
    <row r="1239" s="1" customFormat="1"/>
    <row r="1240" s="1" customFormat="1"/>
    <row r="1241" s="1" customFormat="1"/>
    <row r="1242" s="1" customFormat="1"/>
    <row r="1243" s="1" customFormat="1"/>
    <row r="1244" s="1" customFormat="1"/>
    <row r="1245" s="1" customFormat="1"/>
    <row r="1246" s="1" customFormat="1"/>
    <row r="1247" s="1" customFormat="1"/>
    <row r="1248" s="1" customFormat="1"/>
    <row r="1249" s="1" customFormat="1"/>
    <row r="1250" s="1" customFormat="1"/>
    <row r="1251" s="1" customFormat="1"/>
    <row r="1252" s="1" customFormat="1"/>
    <row r="1253" s="1" customFormat="1"/>
    <row r="1254" s="1" customFormat="1"/>
    <row r="1255" s="1" customFormat="1"/>
    <row r="1256" s="1" customFormat="1"/>
    <row r="1257" s="1" customFormat="1"/>
    <row r="1258" s="1" customFormat="1"/>
    <row r="1259" s="1" customFormat="1"/>
    <row r="1260" s="1" customFormat="1"/>
    <row r="1261" s="1" customFormat="1"/>
    <row r="1262" s="1" customFormat="1"/>
    <row r="1263" s="1" customFormat="1"/>
    <row r="1264" s="1" customFormat="1"/>
    <row r="1265" s="1" customFormat="1"/>
    <row r="1266" s="1" customFormat="1"/>
    <row r="1267" s="1" customFormat="1"/>
    <row r="1268" s="1" customFormat="1"/>
    <row r="1269" s="1" customFormat="1"/>
    <row r="1270" s="1" customFormat="1"/>
    <row r="1271" s="1" customFormat="1"/>
    <row r="1272" s="1" customFormat="1"/>
    <row r="1273" s="1" customFormat="1"/>
    <row r="1274" s="1" customFormat="1"/>
    <row r="1275" s="1" customFormat="1"/>
    <row r="1276" s="1" customFormat="1"/>
    <row r="1277" s="1" customFormat="1"/>
    <row r="1278" s="1" customFormat="1"/>
    <row r="1279" s="1" customFormat="1"/>
    <row r="1280" s="1" customFormat="1"/>
    <row r="1281" s="1" customFormat="1"/>
    <row r="1282" s="1" customFormat="1"/>
    <row r="1283" s="1" customFormat="1"/>
    <row r="1284" s="1" customFormat="1"/>
    <row r="1285" s="1" customFormat="1"/>
    <row r="1286" s="1" customFormat="1"/>
    <row r="1287" s="1" customFormat="1"/>
    <row r="1288" s="1" customFormat="1"/>
    <row r="1289" s="1" customFormat="1"/>
    <row r="1290" s="1" customFormat="1"/>
    <row r="1291" s="1" customFormat="1"/>
    <row r="1292" s="1" customFormat="1"/>
    <row r="1293" s="1" customFormat="1"/>
    <row r="1294" s="1" customFormat="1"/>
    <row r="1295" s="1" customFormat="1"/>
    <row r="1296" s="1" customFormat="1"/>
    <row r="1297" s="1" customFormat="1"/>
    <row r="1298" s="1" customFormat="1"/>
    <row r="1299" s="1" customFormat="1"/>
    <row r="1300" s="1" customFormat="1"/>
    <row r="1301" s="1" customFormat="1"/>
    <row r="1302" s="1" customFormat="1"/>
    <row r="1303" s="1" customFormat="1"/>
    <row r="1304" s="1" customFormat="1"/>
    <row r="1305" s="1" customFormat="1"/>
    <row r="1306" s="1" customFormat="1"/>
    <row r="1307" s="1" customFormat="1"/>
    <row r="1308" s="1" customFormat="1"/>
    <row r="1309" s="1" customFormat="1"/>
    <row r="1310" s="1" customFormat="1"/>
    <row r="1311" s="1" customFormat="1"/>
    <row r="1312" s="1" customFormat="1"/>
    <row r="1313" s="1" customFormat="1"/>
    <row r="1314" s="1" customFormat="1"/>
    <row r="1315" s="1" customFormat="1"/>
    <row r="1316" s="1" customFormat="1"/>
    <row r="1317" s="1" customFormat="1"/>
    <row r="1318" s="1" customFormat="1"/>
    <row r="1319" s="1" customFormat="1"/>
    <row r="1320" s="1" customFormat="1"/>
    <row r="1321" s="1" customFormat="1"/>
    <row r="1322" s="1" customFormat="1"/>
    <row r="1323" s="1" customFormat="1"/>
    <row r="1324" s="1" customFormat="1"/>
    <row r="1325" s="1" customFormat="1"/>
    <row r="1326" s="1" customFormat="1"/>
    <row r="1327" s="1" customFormat="1"/>
    <row r="1328" s="1" customFormat="1"/>
    <row r="1329" s="1" customFormat="1"/>
    <row r="1330" s="1" customFormat="1"/>
    <row r="1331" s="1" customFormat="1"/>
    <row r="1332" s="1" customFormat="1"/>
    <row r="1333" s="1" customFormat="1"/>
    <row r="1334" s="1" customFormat="1"/>
    <row r="1335" s="1" customFormat="1"/>
    <row r="1336" s="1" customFormat="1"/>
    <row r="1337" s="1" customFormat="1"/>
    <row r="1338" s="1" customFormat="1"/>
    <row r="1339" s="1" customFormat="1"/>
    <row r="1340" s="1" customFormat="1"/>
    <row r="1341" s="1" customFormat="1"/>
    <row r="1342" s="1" customFormat="1"/>
    <row r="1343" s="1" customFormat="1"/>
    <row r="1344" s="1" customFormat="1"/>
    <row r="1345" s="1" customFormat="1"/>
    <row r="1346" s="1" customFormat="1"/>
    <row r="1347" s="1" customFormat="1"/>
    <row r="1348" s="1" customFormat="1"/>
    <row r="1349" s="1" customFormat="1"/>
    <row r="1350" s="1" customFormat="1"/>
    <row r="1351" s="1" customFormat="1"/>
    <row r="1352" s="1" customFormat="1"/>
    <row r="1353" s="1" customFormat="1"/>
    <row r="1354" s="1" customFormat="1"/>
    <row r="1355" s="1" customFormat="1"/>
    <row r="1356" s="1" customFormat="1"/>
    <row r="1357" s="1" customFormat="1"/>
    <row r="1358" s="1" customFormat="1"/>
    <row r="1359" s="1" customFormat="1"/>
    <row r="1360" s="1" customFormat="1"/>
    <row r="1361" s="1" customFormat="1"/>
    <row r="1362" s="1" customFormat="1"/>
    <row r="1363" s="1" customFormat="1"/>
    <row r="1364" s="1" customFormat="1"/>
    <row r="1365" s="1" customFormat="1"/>
  </sheetData>
  <mergeCells count="8">
    <mergeCell ref="C19:D19"/>
    <mergeCell ref="B2:C2"/>
    <mergeCell ref="B3:C3"/>
    <mergeCell ref="B13:C13"/>
    <mergeCell ref="B14:C14"/>
    <mergeCell ref="B10:C10"/>
    <mergeCell ref="B11:C11"/>
    <mergeCell ref="B12:C12"/>
  </mergeCells>
  <pageMargins left="0.70866141732283472" right="0.70866141732283472" top="0.74803149606299213" bottom="0.74803149606299213" header="0.31496062992125984" footer="0.31496062992125984"/>
  <pageSetup scale="68"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E9F16-76F2-6B44-9F39-A42E5FF7BC5C}">
  <sheetPr codeName="Feuil12"/>
  <dimension ref="A1:B28"/>
  <sheetViews>
    <sheetView workbookViewId="0">
      <selection activeCell="D10" sqref="D10"/>
    </sheetView>
  </sheetViews>
  <sheetFormatPr baseColWidth="10" defaultColWidth="11.5" defaultRowHeight="13"/>
  <sheetData>
    <row r="1" spans="1:2">
      <c r="A1" t="s">
        <v>36</v>
      </c>
      <c r="B1" t="s">
        <v>132</v>
      </c>
    </row>
    <row r="2" spans="1:2">
      <c r="A2" t="s">
        <v>37</v>
      </c>
      <c r="B2" t="s">
        <v>38</v>
      </c>
    </row>
    <row r="3" spans="1:2">
      <c r="A3" t="s">
        <v>39</v>
      </c>
      <c r="B3" t="s">
        <v>40</v>
      </c>
    </row>
    <row r="4" spans="1:2">
      <c r="A4" t="s">
        <v>41</v>
      </c>
      <c r="B4" t="s">
        <v>42</v>
      </c>
    </row>
    <row r="5" spans="1:2">
      <c r="A5" t="s">
        <v>43</v>
      </c>
      <c r="B5" t="s">
        <v>44</v>
      </c>
    </row>
    <row r="6" spans="1:2">
      <c r="A6" t="s">
        <v>45</v>
      </c>
      <c r="B6" t="s">
        <v>46</v>
      </c>
    </row>
    <row r="7" spans="1:2">
      <c r="A7" t="s">
        <v>47</v>
      </c>
      <c r="B7" t="s">
        <v>48</v>
      </c>
    </row>
    <row r="8" spans="1:2">
      <c r="A8" t="s">
        <v>50</v>
      </c>
      <c r="B8" t="s">
        <v>51</v>
      </c>
    </row>
    <row r="9" spans="1:2">
      <c r="A9" t="s">
        <v>52</v>
      </c>
      <c r="B9" t="s">
        <v>53</v>
      </c>
    </row>
    <row r="10" spans="1:2">
      <c r="A10" t="s">
        <v>54</v>
      </c>
      <c r="B10" t="s">
        <v>55</v>
      </c>
    </row>
    <row r="11" spans="1:2">
      <c r="A11" t="s">
        <v>56</v>
      </c>
      <c r="B11" t="s">
        <v>57</v>
      </c>
    </row>
    <row r="12" spans="1:2">
      <c r="A12" t="s">
        <v>59</v>
      </c>
      <c r="B12" t="s">
        <v>60</v>
      </c>
    </row>
    <row r="13" spans="1:2">
      <c r="A13" t="s">
        <v>61</v>
      </c>
      <c r="B13" t="s">
        <v>62</v>
      </c>
    </row>
    <row r="14" spans="1:2">
      <c r="A14" t="s">
        <v>63</v>
      </c>
      <c r="B14" t="s">
        <v>64</v>
      </c>
    </row>
    <row r="15" spans="1:2">
      <c r="A15" t="s">
        <v>65</v>
      </c>
      <c r="B15" t="s">
        <v>66</v>
      </c>
    </row>
    <row r="16" spans="1:2">
      <c r="A16" t="s">
        <v>67</v>
      </c>
      <c r="B16" t="s">
        <v>68</v>
      </c>
    </row>
    <row r="17" spans="1:2">
      <c r="A17" t="s">
        <v>69</v>
      </c>
      <c r="B17" t="s">
        <v>70</v>
      </c>
    </row>
    <row r="18" spans="1:2">
      <c r="A18" t="s">
        <v>71</v>
      </c>
      <c r="B18" t="s">
        <v>72</v>
      </c>
    </row>
    <row r="19" spans="1:2">
      <c r="A19" t="s">
        <v>74</v>
      </c>
      <c r="B19" t="s">
        <v>75</v>
      </c>
    </row>
    <row r="20" spans="1:2">
      <c r="A20" t="s">
        <v>76</v>
      </c>
      <c r="B20" t="s">
        <v>77</v>
      </c>
    </row>
    <row r="21" spans="1:2">
      <c r="A21" t="s">
        <v>78</v>
      </c>
      <c r="B21" t="s">
        <v>79</v>
      </c>
    </row>
    <row r="22" spans="1:2">
      <c r="A22" t="s">
        <v>80</v>
      </c>
      <c r="B22" t="s">
        <v>81</v>
      </c>
    </row>
    <row r="23" spans="1:2">
      <c r="A23" t="s">
        <v>83</v>
      </c>
      <c r="B23" t="s">
        <v>84</v>
      </c>
    </row>
    <row r="24" spans="1:2">
      <c r="A24" t="s">
        <v>85</v>
      </c>
      <c r="B24" t="s">
        <v>86</v>
      </c>
    </row>
    <row r="25" spans="1:2">
      <c r="A25" t="s">
        <v>87</v>
      </c>
      <c r="B25" t="s">
        <v>88</v>
      </c>
    </row>
    <row r="26" spans="1:2">
      <c r="A26" t="s">
        <v>89</v>
      </c>
      <c r="B26" t="s">
        <v>90</v>
      </c>
    </row>
    <row r="27" spans="1:2">
      <c r="A27" t="s">
        <v>91</v>
      </c>
      <c r="B27" t="s">
        <v>92</v>
      </c>
    </row>
    <row r="28" spans="1:2">
      <c r="A28" t="s">
        <v>93</v>
      </c>
      <c r="B28" t="s">
        <v>94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DF4D05BF8D67489DB7453D498BD6AF" ma:contentTypeVersion="9" ma:contentTypeDescription="Crée un document." ma:contentTypeScope="" ma:versionID="9070a87844bb581c29933625ce623948">
  <xsd:schema xmlns:xsd="http://www.w3.org/2001/XMLSchema" xmlns:xs="http://www.w3.org/2001/XMLSchema" xmlns:p="http://schemas.microsoft.com/office/2006/metadata/properties" xmlns:ns2="a8c2c4fd-65f4-4926-9eb8-66729ce2a800" targetNamespace="http://schemas.microsoft.com/office/2006/metadata/properties" ma:root="true" ma:fieldsID="989e9ad7d14a7fad952c8893d78b692d" ns2:_="">
    <xsd:import namespace="a8c2c4fd-65f4-4926-9eb8-66729ce2a80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8c2c4fd-65f4-4926-9eb8-66729ce2a80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7be37a6a-461b-4a7e-b7ca-2ca34336416a"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8c2c4fd-65f4-4926-9eb8-66729ce2a80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889019A-D69F-44DE-BAD6-515FF214DA9F}">
  <ds:schemaRefs>
    <ds:schemaRef ds:uri="http://schemas.microsoft.com/sharepoint/v3/contenttype/forms"/>
  </ds:schemaRefs>
</ds:datastoreItem>
</file>

<file path=customXml/itemProps2.xml><?xml version="1.0" encoding="utf-8"?>
<ds:datastoreItem xmlns:ds="http://schemas.openxmlformats.org/officeDocument/2006/customXml" ds:itemID="{3C64589A-DBA8-4F00-8257-0D4FEF9BD7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8c2c4fd-65f4-4926-9eb8-66729ce2a80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1BD8AE0-4973-48D7-9433-9280751D62B0}">
  <ds:schemaRefs>
    <ds:schemaRef ds:uri="http://schemas.microsoft.com/office/2006/documentManagement/types"/>
    <ds:schemaRef ds:uri="http://purl.org/dc/terms/"/>
    <ds:schemaRef ds:uri="http://schemas.microsoft.com/office/2006/metadata/properties"/>
    <ds:schemaRef ds:uri="http://www.w3.org/XML/1998/namespace"/>
    <ds:schemaRef ds:uri="http://schemas.openxmlformats.org/package/2006/metadata/core-properties"/>
    <ds:schemaRef ds:uri="http://purl.org/dc/elements/1.1/"/>
    <ds:schemaRef ds:uri="http://purl.org/dc/dcmitype/"/>
    <ds:schemaRef ds:uri="http://schemas.microsoft.com/office/infopath/2007/PartnerControls"/>
    <ds:schemaRef ds:uri="a8c2c4fd-65f4-4926-9eb8-66729ce2a800"/>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Feuilles de calcul</vt:lpstr>
      </vt:variant>
      <vt:variant>
        <vt:i4>12</vt:i4>
      </vt:variant>
      <vt:variant>
        <vt:lpstr>Plages nommées</vt:lpstr>
      </vt:variant>
      <vt:variant>
        <vt:i4>2</vt:i4>
      </vt:variant>
    </vt:vector>
  </HeadingPairs>
  <TitlesOfParts>
    <vt:vector size="14" baseType="lpstr">
      <vt:lpstr>Accueil</vt:lpstr>
      <vt:lpstr>Méthodologie</vt:lpstr>
      <vt:lpstr>Contexte</vt:lpstr>
      <vt:lpstr>ONR 1</vt:lpstr>
      <vt:lpstr>ONR 2</vt:lpstr>
      <vt:lpstr>ONR 3</vt:lpstr>
      <vt:lpstr>ONR 4</vt:lpstr>
      <vt:lpstr>ONR 5</vt:lpstr>
      <vt:lpstr>Priorisation</vt:lpstr>
      <vt:lpstr>Résultats détaillés</vt:lpstr>
      <vt:lpstr>Résultats synthèse</vt:lpstr>
      <vt:lpstr>Liste ONR</vt:lpstr>
      <vt:lpstr>'Résultats détaillés'!Zone_d_impression</vt:lpstr>
      <vt:lpstr>'Résultats synthèse'!Zone_d_impression</vt:lpstr>
    </vt:vector>
  </TitlesOfParts>
  <Manager/>
  <Company>Consultant indépendant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Grille de priorisation des ODD et de leurs cibles</dc:title>
  <dc:subject/>
  <dc:creator>Olivier Riffon, écoconseiller</dc:creator>
  <cp:keywords/>
  <dc:description>Grille réalisée pour prioriser les ODD et leurs cibles. Pour questions et commentaires : olivier_riffon@uqac.ca.</dc:description>
  <cp:lastModifiedBy>Guillaume Gallon</cp:lastModifiedBy>
  <cp:revision/>
  <dcterms:created xsi:type="dcterms:W3CDTF">2003-09-14T15:33:23Z</dcterms:created>
  <dcterms:modified xsi:type="dcterms:W3CDTF">2026-02-19T22:31:27Z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0x010100F3DF4D05BF8D67489DB7453D498BD6AF</vt:lpwstr>
  </property>
  <property fmtid="{D5CDD505-2E9C-101B-9397-08002B2CF9AE}" pid="3" name="MediaServiceImageTags">
    <vt:lpwstr/>
  </property>
</Properties>
</file>