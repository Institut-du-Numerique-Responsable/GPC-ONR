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liés à des spécificités nationales ou locales, à des pressions externes ou internes, à des contextes temporaires ou permanents. 
</t>
        </r>
        <r>
          <rPr>
            <sz val="10"/>
            <color rgb="FF000000"/>
            <rFont val="Helv"/>
          </rPr>
          <t xml:space="preserve">
</t>
        </r>
        <r>
          <rPr>
            <sz val="10"/>
            <color rgb="FF000000"/>
            <rFont val="Helv"/>
          </rPr>
          <t xml:space="preserve">Quelles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déterminée en fonction de ses niveau d'importance et de performance actuelle. 
</t>
        </r>
        <r>
          <rPr>
            <sz val="12"/>
            <color rgb="FF000000"/>
            <rFont val="Tahoma"/>
            <family val="2"/>
          </rPr>
          <t xml:space="preserve">
</t>
        </r>
        <r>
          <rPr>
            <sz val="12"/>
            <color rgb="FF000000"/>
            <rFont val="Tahoma"/>
            <family val="2"/>
          </rPr>
          <t xml:space="preserve">De façon générale, plus une cible est jugé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liés à des spécificités nationales ou locales, à des pressions externes ou internes, à des contextes temporaires ou permanents. 
</t>
        </r>
        <r>
          <rPr>
            <sz val="10"/>
            <color rgb="FF000000"/>
            <rFont val="Helv"/>
          </rPr>
          <t xml:space="preserve">
</t>
        </r>
        <r>
          <rPr>
            <sz val="10"/>
            <color rgb="FF000000"/>
            <rFont val="Helv"/>
          </rPr>
          <t xml:space="preserve">Quelles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déterminée en fonction de ses niveau d'importance et de performance actuelle. 
</t>
        </r>
        <r>
          <rPr>
            <sz val="12"/>
            <color rgb="FF000000"/>
            <rFont val="Tahoma"/>
            <family val="2"/>
          </rPr>
          <t xml:space="preserve">
</t>
        </r>
        <r>
          <rPr>
            <sz val="12"/>
            <color rgb="FF000000"/>
            <rFont val="Tahoma"/>
            <family val="2"/>
          </rPr>
          <t xml:space="preserve">De façon générale, plus une cible est jugé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liés à des spécificités nationales ou locales, à des pressions externes ou internes, à des contextes temporaires ou permanents. 
</t>
        </r>
        <r>
          <rPr>
            <sz val="10"/>
            <color rgb="FF000000"/>
            <rFont val="Helv"/>
          </rPr>
          <t xml:space="preserve">
</t>
        </r>
        <r>
          <rPr>
            <sz val="10"/>
            <color rgb="FF000000"/>
            <rFont val="Helv"/>
          </rPr>
          <t xml:space="preserve">Quelles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déterminée en fonction de ses niveau d'importance et de performance actuelle. 
</t>
        </r>
        <r>
          <rPr>
            <sz val="12"/>
            <color rgb="FF000000"/>
            <rFont val="Tahoma"/>
            <family val="2"/>
          </rPr>
          <t xml:space="preserve">
</t>
        </r>
        <r>
          <rPr>
            <sz val="12"/>
            <color rgb="FF000000"/>
            <rFont val="Tahoma"/>
            <family val="2"/>
          </rPr>
          <t xml:space="preserve">De façon générale, plus une cible est jugé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liés à des spécificités nationales ou locales, à des pressions externes ou internes, à des contextes temporaires ou permanents. 
</t>
        </r>
        <r>
          <rPr>
            <sz val="10"/>
            <color rgb="FF000000"/>
            <rFont val="Helv"/>
          </rPr>
          <t xml:space="preserve">
</t>
        </r>
        <r>
          <rPr>
            <sz val="10"/>
            <color rgb="FF000000"/>
            <rFont val="Helv"/>
          </rPr>
          <t xml:space="preserve">Quelles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déterminée en fonction de ses niveau d'importance et de performance actuelle. 
De façon générale, plus une cible est jugé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liés à des spécificités nationales ou locales, à des pressions externes ou internes, à des contextes temporaires ou permanents. 
</t>
        </r>
        <r>
          <rPr>
            <sz val="10"/>
            <color rgb="FF000000"/>
            <rFont val="Helv"/>
          </rPr>
          <t xml:space="preserve">
</t>
        </r>
        <r>
          <rPr>
            <sz val="10"/>
            <color rgb="FF000000"/>
            <rFont val="Helv"/>
          </rPr>
          <t xml:space="preserve">Quelles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déterminée en fonction de ses niveau d'importance et de performance actuelle. 
</t>
        </r>
        <r>
          <rPr>
            <sz val="12"/>
            <color rgb="FF000000"/>
            <rFont val="Tahoma"/>
            <family val="2"/>
          </rPr>
          <t xml:space="preserve">
</t>
        </r>
        <r>
          <rPr>
            <sz val="12"/>
            <color rgb="FF000000"/>
            <rFont val="Tahoma"/>
            <family val="2"/>
          </rPr>
          <t xml:space="preserve">De façon générale, plus une cible est jugé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cbile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<sst xmlns="http://schemas.openxmlformats.org/spreadsheetml/2006/main" count="318" uniqueCount="136">
  <si>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</si>
  <si>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</si>
  <si>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</si>
  <si>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</si>
  <si>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</si>
  <si>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</si>
  <si>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</si>
  <si>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</si>
  <si>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</si>
  <si>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</si>
  <si>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</si>
  <si>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</si>
  <si>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</si>
  <si>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</si>
  <si>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</si>
  <si>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</si>
  <si>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</si>
  <si>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</si>
  <si>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</si>
  <si>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</si>
  <si>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</si>
  <si>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</si>
  <si>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</si>
  <si>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</si>
  <si>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</si>
  <si>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</si>
  <si>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</si>
  <si>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</si>
  <si>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</si>
  <si>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</si>
  <si>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</si>
  <si>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</si>
  <si>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</si>
  <si>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</si>
  <si>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</si>
  <si>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</si>
  <si>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</si>
  <si>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</si>
  <si>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permettant la durée de vie des équipements, même au-delà de leur amortissement comptable et en valorisant les gains et roi pour chacune des partie prenantes</t>
  </si>
  <si>
    <t>1.3</t>
  </si>
  <si>
    <t>En permettant de concevoir de manière responsable les services numériques et en intégrant des technologies ou des dispositifs proactifs vis-àvis des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</si>
  <si>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</si>
  <si>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</si>
  <si>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</si>
  <si>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</si>
  <si>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</si>
  <si>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</si>
  <si>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</si>
  <si>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</si>
  <si>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</si>
  <si>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</si>
  <si>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</si>
  <si>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</si>
  <si>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permettant des applications accessibles à tous - en mesurant le niveau de conformité RGAA et en accompagnat les entreprises du territoire à se conformer à la règlementation</t>
  </si>
  <si>
    <t>2.3</t>
  </si>
  <si>
    <t>En déployant les applications autour des 3 U : Utiles, Utilisables, Utilisées pour en simplifier l’usage en intégrant l’accessibilité universelle pour réussir l’e-inclusion de tous</t>
  </si>
  <si>
    <t>2.4</t>
  </si>
  <si>
    <t>En associant l’utilisateur à la conception pour éviter des outils surdimensionnés et améliorer progressivement le niveau de conformité des services en ligne.</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</si>
  <si>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</si>
  <si>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</si>
  <si>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</si>
  <si>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</si>
  <si>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</si>
  <si>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</si>
  <si>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</si>
  <si>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</si>
  <si>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</si>
  <si>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</si>
  <si>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</si>
  <si>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</si>
  <si>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</si>
  <si>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</si>
  <si>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</si>
  <si>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</si>
  <si>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</si>
  <si>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 de l’Information et de la Communication (TIC) .</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</si>
  <si>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</si>
  <si>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</si>
  <si>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</si>
  <si>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utilisatuer</t>
  </si>
  <si>
    <t>4.4</t>
  </si>
  <si>
    <t>En permettant et en garrantissant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</si>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</sst>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7">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5">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ODD</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opLeftCell="A5" zoomScaleNormal="100" workbookViewId="0">
      <selection activeCell="G9" sqref="G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10</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355" customHeight="1" thickBot="1">
      <c r="A5" s="52"/>
      <c r="B5" s="336"/>
      <c r="C5" s="337"/>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7"/>
      <c r="X5" s="291"/>
    </row>
    <row r="6" spans="1:24"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33"/>
      <c r="W6" s="332"/>
      <c r="X6" s="292"/>
    </row>
    <row r="7" spans="1:24" s="137" customFormat="1" ht="42">
      <c r="A7" s="136"/>
      <c r="B7" s="152" t="s">
        <v>36</v>
      </c>
      <c r="C7" s="320" t="s">
        <v>132</v>
      </c>
      <c r="D7" s="139"/>
      <c r="E7" s="169"/>
      <c r="F7" s="166"/>
      <c r="G7" s="324"/>
      <c r="H7" s="140"/>
      <c r="I7" s="172"/>
      <c r="J7" s="110" t="str">
        <f>S7</f>
        <v/>
      </c>
      <c r="K7" s="88">
        <f>E7*10+F7</f>
        <v>0</v>
      </c>
      <c r="L7" s="88" t="b">
        <f>OR(K7=31)</f>
        <v>0</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
      </c>
      <c r="T7" s="90" t="str">
        <f t="shared" ref="T7:T12" si="1">IF(COUNTA(E7:F7)&lt;2,"",(IF(L7=TRUE,6,IF(M7=TRUE,5,IF(N7=TRUE,4,IF(O7=TRUE,3,IF(P7=TRUE,2,IF(Q7=TRUE,1,IF(R7=TRUE,0,0)))))))))</f>
        <v/>
      </c>
      <c r="U7" s="91" t="e">
        <f>T7*10+#REF!</f>
        <v>#VALUE!</v>
      </c>
      <c r="V7" s="143"/>
      <c r="W7" s="288"/>
      <c r="X7" s="88"/>
    </row>
    <row r="8" spans="1:24" s="137" customFormat="1" ht="63">
      <c r="A8" s="136"/>
      <c r="B8" s="153" t="s">
        <v>37</v>
      </c>
      <c r="C8" s="318" t="s">
        <v>38</v>
      </c>
      <c r="D8" s="139"/>
      <c r="E8" s="169"/>
      <c r="F8" s="166"/>
      <c r="G8" s="324"/>
      <c r="H8" s="140"/>
      <c r="I8" s="172"/>
      <c r="J8" s="110" t="str">
        <f t="shared" ref="J8:J12" si="2">S8</f>
        <v/>
      </c>
      <c r="K8" s="88">
        <f t="shared" ref="K8:K12" si="3">E8*10+F8</f>
        <v>0</v>
      </c>
      <c r="L8" s="88" t="b">
        <f t="shared" ref="L8:L12" si="4">OR(K8=31)</f>
        <v>0</v>
      </c>
      <c r="M8" s="88" t="b">
        <f t="shared" ref="M8:M12" si="5">OR(K8=21,K8=32)</f>
        <v>0</v>
      </c>
      <c r="N8" s="88" t="b">
        <f t="shared" ref="N8:N12" si="6">OR(K8=22,K8=33)</f>
        <v>0</v>
      </c>
      <c r="O8" s="88" t="b">
        <f t="shared" ref="O8:O12" si="7">OR(K8=11,K8=12)</f>
        <v>0</v>
      </c>
      <c r="P8" s="88" t="b">
        <f t="shared" ref="P8:P12" si="8">OR(K8=23,K8=34)</f>
        <v>0</v>
      </c>
      <c r="Q8" s="88" t="b">
        <f t="shared" ref="Q8:Q12" si="9">OR(K8=13,K8=14,K8=24)</f>
        <v>0</v>
      </c>
      <c r="R8" s="88" t="b">
        <f t="shared" ref="R8:R12" si="10">OR(K8=1,K8=2,K8=3,K8=4)</f>
        <v>0</v>
      </c>
      <c r="S8" s="89" t="str">
        <f t="shared" si="0"/>
        <v/>
      </c>
      <c r="T8" s="90" t="str">
        <f t="shared" si="1"/>
        <v/>
      </c>
      <c r="U8" s="91" t="e">
        <f t="shared" ref="U8:U12" si="11">T8*10+H8</f>
        <v>#VALUE!</v>
      </c>
      <c r="V8" s="143"/>
      <c r="W8" s="303"/>
      <c r="X8" s="302"/>
    </row>
    <row r="9" spans="1:24" s="137" customFormat="1" ht="63">
      <c r="A9" s="136"/>
      <c r="B9" s="153" t="s">
        <v>39</v>
      </c>
      <c r="C9" s="318" t="s">
        <v>40</v>
      </c>
      <c r="D9" s="139"/>
      <c r="E9" s="169"/>
      <c r="F9" s="166"/>
      <c r="G9" s="324"/>
      <c r="H9" s="140"/>
      <c r="I9" s="172"/>
      <c r="J9" s="110" t="str">
        <f t="shared" si="2"/>
        <v/>
      </c>
      <c r="K9" s="104">
        <f t="shared" si="3"/>
        <v>0</v>
      </c>
      <c r="L9" s="104" t="b">
        <f t="shared" si="4"/>
        <v>0</v>
      </c>
      <c r="M9" s="104" t="b">
        <f t="shared" si="5"/>
        <v>0</v>
      </c>
      <c r="N9" s="104" t="b">
        <f t="shared" si="6"/>
        <v>0</v>
      </c>
      <c r="O9" s="104" t="b">
        <f t="shared" si="7"/>
        <v>0</v>
      </c>
      <c r="P9" s="104" t="b">
        <f t="shared" si="8"/>
        <v>0</v>
      </c>
      <c r="Q9" s="104" t="b">
        <f t="shared" si="9"/>
        <v>0</v>
      </c>
      <c r="R9" s="104" t="b">
        <f t="shared" si="10"/>
        <v>0</v>
      </c>
      <c r="S9" s="105" t="str">
        <f t="shared" si="0"/>
        <v/>
      </c>
      <c r="T9" s="106" t="str">
        <f t="shared" si="1"/>
        <v/>
      </c>
      <c r="U9" s="104" t="e">
        <f t="shared" si="11"/>
        <v>#VALUE!</v>
      </c>
      <c r="V9" s="143"/>
      <c r="W9" s="289"/>
      <c r="X9" s="301"/>
    </row>
    <row r="10" spans="1:24" s="137" customFormat="1" ht="63">
      <c r="A10" s="136"/>
      <c r="B10" s="154" t="s">
        <v>41</v>
      </c>
      <c r="C10" s="321" t="s">
        <v>42</v>
      </c>
      <c r="D10" s="139"/>
      <c r="E10" s="170"/>
      <c r="F10" s="168"/>
      <c r="G10" s="325"/>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90"/>
      <c r="X10" s="88"/>
    </row>
    <row r="11" spans="1:24" s="137" customFormat="1" ht="63">
      <c r="A11" s="136"/>
      <c r="B11" s="155" t="s">
        <v>43</v>
      </c>
      <c r="C11" s="322" t="s">
        <v>44</v>
      </c>
      <c r="D11" s="139"/>
      <c r="E11" s="170"/>
      <c r="F11" s="168"/>
      <c r="G11" s="325"/>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4"/>
      <c r="X11" s="299"/>
    </row>
    <row r="12" spans="1:24" s="138" customFormat="1" ht="42">
      <c r="A12" s="136"/>
      <c r="B12" s="154" t="s">
        <v>45</v>
      </c>
      <c r="C12" s="323" t="s">
        <v>46</v>
      </c>
      <c r="D12" s="139"/>
      <c r="E12" s="171"/>
      <c r="F12" s="167"/>
      <c r="G12" s="325"/>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5"/>
      <c r="X12" s="299"/>
    </row>
    <row r="13" spans="1:24" ht="42">
      <c r="B13" s="154" t="s">
        <v>47</v>
      </c>
      <c r="C13" s="323" t="s">
        <v>48</v>
      </c>
      <c r="D13" s="139"/>
      <c r="E13" s="171"/>
      <c r="F13" s="282"/>
      <c r="G13" s="325"/>
      <c r="H13" s="140"/>
      <c r="I13" s="172"/>
      <c r="J13" s="147" t="str">
        <f t="shared" ref="J13" si="12">S13</f>
        <v/>
      </c>
      <c r="K13" s="96">
        <f t="shared" ref="K13" si="13">E13*10+F13</f>
        <v>0</v>
      </c>
      <c r="L13" s="96" t="b">
        <f t="shared" ref="L13" si="14">OR(K13=31)</f>
        <v>0</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
      </c>
      <c r="T13" s="98" t="str">
        <f t="shared" ref="T13" si="22">IF(COUNTA(E13:F13)&lt;2,"",(IF(L13=TRUE,6,IF(M13=TRUE,5,IF(N13=TRUE,4,IF(O13=TRUE,3,IF(P13=TRUE,2,IF(Q13=TRUE,1,IF(R13=TRUE,0,0)))))))))</f>
        <v/>
      </c>
      <c r="U13" s="99" t="e">
        <f t="shared" ref="U13" si="23">T13*10+H13</f>
        <v>#VALUE!</v>
      </c>
      <c r="V13" s="149"/>
      <c r="W13" s="306"/>
      <c r="X13" s="299"/>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D8:D13 F7">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8: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49</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16"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t="s">
        <v>131</v>
      </c>
      <c r="X5" s="291"/>
    </row>
    <row r="6" spans="1:24" s="60" customFormat="1" ht="19" customHeight="1" thickBot="1">
      <c r="A6" s="59"/>
      <c r="B6" s="309" t="s">
        <v>35</v>
      </c>
      <c r="C6" s="310"/>
      <c r="D6" s="311"/>
      <c r="E6" s="311"/>
      <c r="F6" s="311"/>
      <c r="G6" s="311"/>
      <c r="H6" s="311"/>
      <c r="I6" s="311"/>
      <c r="J6" s="311"/>
      <c r="K6" s="311"/>
      <c r="L6" s="311"/>
      <c r="M6" s="311"/>
      <c r="N6" s="311"/>
      <c r="O6" s="311"/>
      <c r="P6" s="311"/>
      <c r="Q6" s="311"/>
      <c r="R6" s="311"/>
      <c r="S6" s="311"/>
      <c r="T6" s="311"/>
      <c r="U6" s="311"/>
      <c r="V6" s="312"/>
      <c r="W6" s="313"/>
      <c r="X6" s="314"/>
    </row>
    <row r="7" spans="1:24" s="137" customFormat="1" ht="42">
      <c r="A7" s="136"/>
      <c r="B7" s="180" t="s">
        <v>50</v>
      </c>
      <c r="C7" s="318" t="s">
        <v>51</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8"/>
      <c r="X7" s="298"/>
    </row>
    <row r="8" spans="1:24" s="137" customFormat="1" ht="63">
      <c r="A8" s="136"/>
      <c r="B8" s="180" t="s">
        <v>52</v>
      </c>
      <c r="C8" s="318" t="s">
        <v>53</v>
      </c>
      <c r="D8" s="139"/>
      <c r="E8" s="169"/>
      <c r="F8" s="166"/>
      <c r="G8" s="324"/>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4"/>
      <c r="X8" s="293"/>
    </row>
    <row r="9" spans="1:24" s="137" customFormat="1" ht="63">
      <c r="A9" s="136"/>
      <c r="B9" s="180" t="s">
        <v>54</v>
      </c>
      <c r="C9" s="318" t="s">
        <v>55</v>
      </c>
      <c r="D9" s="139"/>
      <c r="E9" s="169"/>
      <c r="F9" s="166"/>
      <c r="G9" s="324"/>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7"/>
      <c r="X9" s="299"/>
    </row>
    <row r="10" spans="1:24" s="137" customFormat="1" ht="63">
      <c r="A10" s="136"/>
      <c r="B10" s="180" t="s">
        <v>56</v>
      </c>
      <c r="C10" s="318" t="s">
        <v>57</v>
      </c>
      <c r="D10" s="139"/>
      <c r="E10" s="169"/>
      <c r="F10" s="166"/>
      <c r="G10" s="324"/>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4"/>
      <c r="X10" s="293"/>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8" t="s">
        <v>58</v>
      </c>
      <c r="C2" s="329"/>
      <c r="D2" s="329" t="s">
        <v>0</v>
      </c>
      <c r="E2" s="329"/>
      <c r="F2" s="329"/>
      <c r="G2" s="330"/>
      <c r="H2" s="49"/>
      <c r="I2" s="49"/>
      <c r="J2" s="49"/>
      <c r="V2" s="49"/>
      <c r="W2" s="49"/>
    </row>
    <row r="3" spans="1:447" s="46" customFormat="1" ht="17" thickBot="1">
      <c r="B3" s="350"/>
      <c r="C3" s="351"/>
      <c r="D3" s="351"/>
      <c r="E3" s="351"/>
      <c r="F3" s="351"/>
      <c r="G3" s="351"/>
      <c r="H3" s="351"/>
      <c r="I3" s="351"/>
      <c r="J3" s="352"/>
      <c r="K3" s="352"/>
      <c r="L3" s="352"/>
      <c r="M3" s="352"/>
      <c r="N3" s="352"/>
      <c r="O3" s="352"/>
      <c r="P3" s="352"/>
      <c r="Q3" s="352"/>
      <c r="R3" s="352"/>
      <c r="S3" s="352"/>
      <c r="T3" s="352"/>
      <c r="U3" s="352"/>
      <c r="V3" s="352"/>
      <c r="W3" s="353"/>
    </row>
    <row r="4" spans="1:447" ht="19">
      <c r="A4" s="46"/>
      <c r="B4" s="334"/>
      <c r="C4" s="335"/>
      <c r="D4" s="338" t="s">
        <v>11</v>
      </c>
      <c r="E4" s="339"/>
      <c r="F4" s="340" t="s">
        <v>12</v>
      </c>
      <c r="G4" s="341"/>
      <c r="H4" s="342" t="s">
        <v>13</v>
      </c>
      <c r="I4" s="343"/>
      <c r="J4" s="79" t="s">
        <v>14</v>
      </c>
      <c r="K4" s="80"/>
      <c r="L4" s="80"/>
      <c r="M4" s="80"/>
      <c r="N4" s="80"/>
      <c r="O4" s="80"/>
      <c r="P4" s="80"/>
      <c r="Q4" s="80"/>
      <c r="R4" s="80"/>
      <c r="S4" s="80"/>
      <c r="T4" s="80"/>
      <c r="U4" s="80"/>
      <c r="V4" s="354" t="s">
        <v>15</v>
      </c>
      <c r="W4" s="354"/>
      <c r="X4" s="354"/>
    </row>
    <row r="5" spans="1:447" s="53" customFormat="1" ht="207" customHeight="1"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c r="X5" s="291"/>
    </row>
    <row r="6" spans="1:447"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48"/>
      <c r="W6" s="349"/>
    </row>
    <row r="7" spans="1:447" s="137" customFormat="1" ht="63">
      <c r="A7" s="136"/>
      <c r="B7" s="181" t="s">
        <v>59</v>
      </c>
      <c r="C7" s="318" t="s">
        <v>60</v>
      </c>
      <c r="D7" s="139"/>
      <c r="E7" s="169"/>
      <c r="F7" s="166"/>
      <c r="G7" s="324"/>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5"/>
      <c r="X7" s="299"/>
      <c r="Y7" s="182"/>
      <c r="Z7" s="182"/>
    </row>
    <row r="8" spans="1:447" s="137" customFormat="1" ht="63">
      <c r="A8" s="136"/>
      <c r="B8" s="181" t="s">
        <v>61</v>
      </c>
      <c r="C8" s="318" t="s">
        <v>62</v>
      </c>
      <c r="D8" s="139"/>
      <c r="E8" s="169"/>
      <c r="F8" s="166"/>
      <c r="G8" s="324"/>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4"/>
      <c r="X8" s="293"/>
    </row>
    <row r="9" spans="1:447" s="137" customFormat="1" ht="105">
      <c r="A9" s="136"/>
      <c r="B9" s="181" t="s">
        <v>63</v>
      </c>
      <c r="C9" s="318" t="s">
        <v>64</v>
      </c>
      <c r="D9" s="139"/>
      <c r="E9" s="169"/>
      <c r="F9" s="166"/>
      <c r="G9" s="324"/>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7"/>
      <c r="X9" s="299"/>
    </row>
    <row r="10" spans="1:447" s="138" customFormat="1" ht="42">
      <c r="A10" s="136"/>
      <c r="B10" s="181" t="s">
        <v>65</v>
      </c>
      <c r="C10" s="319" t="s">
        <v>66</v>
      </c>
      <c r="D10" s="139"/>
      <c r="E10" s="169"/>
      <c r="F10" s="166"/>
      <c r="G10" s="324"/>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6"/>
      <c r="X10" s="299"/>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8" t="s">
        <v>68</v>
      </c>
      <c r="D11" s="139"/>
      <c r="E11" s="169"/>
      <c r="F11" s="166"/>
      <c r="G11" s="324"/>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7"/>
      <c r="X11" s="293"/>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8" t="s">
        <v>70</v>
      </c>
      <c r="D12" s="139"/>
      <c r="E12" s="171"/>
      <c r="F12" s="167"/>
      <c r="G12" s="324"/>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7"/>
      <c r="X12" s="299"/>
    </row>
    <row r="13" spans="1:447" s="137" customFormat="1" ht="21">
      <c r="A13" s="136"/>
      <c r="B13" s="181" t="s">
        <v>71</v>
      </c>
      <c r="C13" s="318" t="s">
        <v>72</v>
      </c>
      <c r="D13" s="139"/>
      <c r="E13" s="171"/>
      <c r="F13" s="167"/>
      <c r="G13" s="324"/>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6"/>
      <c r="X13" s="293"/>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8" t="s">
        <v>73</v>
      </c>
      <c r="C2" s="329"/>
      <c r="D2" s="329"/>
      <c r="E2" s="329"/>
      <c r="F2" s="329"/>
      <c r="G2" s="330"/>
      <c r="H2" s="49"/>
      <c r="I2" s="49"/>
      <c r="J2" s="49"/>
      <c r="V2" s="49"/>
      <c r="W2" s="49"/>
    </row>
    <row r="3" spans="1:24" s="46" customFormat="1" ht="17" thickBot="1">
      <c r="B3" s="350"/>
      <c r="C3" s="351"/>
      <c r="D3" s="351"/>
      <c r="E3" s="351"/>
      <c r="F3" s="351"/>
      <c r="G3" s="351"/>
      <c r="H3" s="351"/>
      <c r="I3" s="351"/>
      <c r="J3" s="352"/>
      <c r="K3" s="352"/>
      <c r="L3" s="352"/>
      <c r="M3" s="352"/>
      <c r="N3" s="352"/>
      <c r="O3" s="352"/>
      <c r="P3" s="352"/>
      <c r="Q3" s="352"/>
      <c r="R3" s="352"/>
      <c r="S3" s="352"/>
      <c r="T3" s="352"/>
      <c r="U3" s="352"/>
      <c r="V3" s="351"/>
      <c r="W3" s="358"/>
    </row>
    <row r="4" spans="1:24" ht="21.75" customHeight="1">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168" customHeight="1" thickBot="1">
      <c r="A5" s="52"/>
      <c r="B5" s="336"/>
      <c r="C5" s="337"/>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31.5" customHeight="1" thickBot="1">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84">
      <c r="A7" s="136"/>
      <c r="B7" s="180" t="s">
        <v>74</v>
      </c>
      <c r="C7" s="318" t="s">
        <v>75</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5"/>
      <c r="X7" s="293"/>
    </row>
    <row r="8" spans="1:24" s="137" customFormat="1" ht="63">
      <c r="A8" s="136"/>
      <c r="B8" s="180" t="s">
        <v>76</v>
      </c>
      <c r="C8" s="318" t="s">
        <v>77</v>
      </c>
      <c r="D8" s="139"/>
      <c r="E8" s="169"/>
      <c r="F8" s="166"/>
      <c r="G8" s="324"/>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4"/>
      <c r="X8" s="293"/>
    </row>
    <row r="9" spans="1:24" s="137" customFormat="1" ht="63">
      <c r="A9" s="136"/>
      <c r="B9" s="180" t="s">
        <v>78</v>
      </c>
      <c r="C9" s="318" t="s">
        <v>79</v>
      </c>
      <c r="D9" s="139"/>
      <c r="E9" s="169"/>
      <c r="F9" s="166"/>
      <c r="G9" s="324"/>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7"/>
      <c r="X9" s="299"/>
    </row>
    <row r="10" spans="1:24" ht="42">
      <c r="B10" s="180" t="s">
        <v>80</v>
      </c>
      <c r="C10" s="318" t="s">
        <v>81</v>
      </c>
      <c r="D10" s="139"/>
      <c r="E10" s="169"/>
      <c r="F10" s="166"/>
      <c r="G10" s="324"/>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7"/>
      <c r="X10" s="299"/>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82</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20" thickBot="1">
      <c r="A5" s="52"/>
      <c r="B5" s="336"/>
      <c r="C5" s="337"/>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18">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43" thickBot="1">
      <c r="A7" s="136"/>
      <c r="B7" s="180" t="s">
        <v>83</v>
      </c>
      <c r="C7" s="318" t="s">
        <v>84</v>
      </c>
      <c r="D7" s="184"/>
      <c r="E7" s="169"/>
      <c r="F7" s="166"/>
      <c r="G7" s="324"/>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9"/>
    </row>
    <row r="8" spans="1:24" s="137" customFormat="1" ht="64" thickBot="1">
      <c r="A8" s="136"/>
      <c r="B8" s="180" t="s">
        <v>85</v>
      </c>
      <c r="C8" s="318" t="s">
        <v>86</v>
      </c>
      <c r="D8" s="184"/>
      <c r="E8" s="169"/>
      <c r="F8" s="166"/>
      <c r="G8" s="324"/>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9"/>
    </row>
    <row r="9" spans="1:24" s="137" customFormat="1" ht="64" thickBot="1">
      <c r="A9" s="136"/>
      <c r="B9" s="180" t="s">
        <v>87</v>
      </c>
      <c r="C9" s="318" t="s">
        <v>135</v>
      </c>
      <c r="D9" s="184"/>
      <c r="E9" s="169"/>
      <c r="F9" s="166"/>
      <c r="G9" s="324"/>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9"/>
    </row>
    <row r="10" spans="1:24" s="137" customFormat="1" ht="64" thickBot="1">
      <c r="A10" s="136"/>
      <c r="B10" s="180" t="s">
        <v>89</v>
      </c>
      <c r="C10" s="318" t="s">
        <v>90</v>
      </c>
      <c r="D10" s="184"/>
      <c r="E10" s="169"/>
      <c r="F10" s="166"/>
      <c r="G10" s="324"/>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9"/>
    </row>
    <row r="11" spans="1:24" s="137" customFormat="1" ht="22" thickBot="1">
      <c r="A11" s="136"/>
      <c r="B11" s="180" t="s">
        <v>91</v>
      </c>
      <c r="C11" s="318" t="s">
        <v>92</v>
      </c>
      <c r="D11" s="184"/>
      <c r="E11" s="169"/>
      <c r="F11" s="166"/>
      <c r="G11" s="324"/>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9"/>
    </row>
    <row r="12" spans="1:24" s="138" customFormat="1" ht="43" thickBot="1">
      <c r="A12" s="136"/>
      <c r="B12" s="180" t="s">
        <v>93</v>
      </c>
      <c r="C12" s="318" t="s">
        <v>94</v>
      </c>
      <c r="D12" s="184"/>
      <c r="E12" s="169"/>
      <c r="F12" s="166"/>
      <c r="G12" s="324"/>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300"/>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2" t="str">
        <f>'ONR 1'!B2</f>
        <v xml:space="preserve">ONR 1  -   SOBRIÉTÉ : S'engager à optimiser les outils numériques pour limiter leurs impacts et consommation					</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 xml:space="preserve">ONR 1  -   SOBRIÉTÉ : S'engager à optimiser les outils numériques pour limiter leurs impacts et consommation					</v>
      </c>
      <c r="AC4" s="116">
        <v>6</v>
      </c>
      <c r="AD4" s="116">
        <f>AC4-AE4</f>
        <v>-1</v>
      </c>
      <c r="AE4" s="117">
        <f t="shared" ref="AE4:AL4" si="0">SUM(AE5:AE11)</f>
        <v>7</v>
      </c>
      <c r="AF4" s="117">
        <f t="shared" si="0"/>
        <v>0</v>
      </c>
      <c r="AG4" s="117">
        <f t="shared" si="0"/>
        <v>0</v>
      </c>
      <c r="AH4" s="117">
        <f t="shared" si="0"/>
        <v>0</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f>'ONR 1'!D7</f>
        <v>0</v>
      </c>
      <c r="E5" s="267">
        <f>'ONR 1'!E7</f>
        <v>0</v>
      </c>
      <c r="F5" s="274">
        <f>'ONR 1'!F7</f>
        <v>0</v>
      </c>
      <c r="G5" s="200">
        <f>'ONR 1'!G7</f>
        <v>0</v>
      </c>
      <c r="H5" s="201">
        <f>'ONR 1'!H7</f>
        <v>0</v>
      </c>
      <c r="I5" s="225">
        <f>'ONR 1'!I7</f>
        <v>0</v>
      </c>
      <c r="J5" s="226">
        <f>S5</f>
        <v>0</v>
      </c>
      <c r="K5" s="227">
        <f t="shared" ref="K5:K9" si="1">E5*10+F5</f>
        <v>0</v>
      </c>
      <c r="L5" s="227" t="b">
        <f>OR(K5=31)</f>
        <v>0</v>
      </c>
      <c r="M5" s="227" t="b">
        <f>OR(K5=21,K5=32)</f>
        <v>0</v>
      </c>
      <c r="N5" s="227" t="b">
        <f>OR(K5=22,K5=33)</f>
        <v>0</v>
      </c>
      <c r="O5" s="227" t="b">
        <f>OR(K5=11,K5=12)</f>
        <v>0</v>
      </c>
      <c r="P5" s="227" t="b">
        <f>OR(K5=23,K5=34)</f>
        <v>0</v>
      </c>
      <c r="Q5" s="227" t="b">
        <f>OR(K5=13,K5=14,K5=24)</f>
        <v>0</v>
      </c>
      <c r="R5" s="227" t="b">
        <f>OR(K5=1,K5=2,K5=3,K5=4)</f>
        <v>0</v>
      </c>
      <c r="S5" s="228">
        <f t="shared" ref="S5:S9" si="2">IF(COUNTA(E5:F5)&lt;2,"",(IF(L5=TRUE,$L$3,IF(M5=TRUE,$M$3,IF(N5=TRUE,$N$3,IF(O5=TRUE,$O$3,IF(P5=TRUE,$P$3,IF(Q5=TRUE,$Q$3,IF(R5=TRUE,$R$3,0)))))))))</f>
        <v>0</v>
      </c>
      <c r="T5" s="226">
        <f t="shared" ref="T5:T9" si="3">IF(COUNTA(E5:F5)&lt;2,"",(IF(L5=TRUE,6,IF(M5=TRUE,5,IF(N5=TRUE,4,IF(O5=TRUE,3,IF(P5=TRUE,2,IF(Q5=TRUE,1,IF(R5=TRUE,0,0)))))))))</f>
        <v>0</v>
      </c>
      <c r="U5" s="227">
        <f t="shared" ref="U5:U9" si="4">T5*10+H5</f>
        <v>0</v>
      </c>
      <c r="V5" s="229">
        <f t="shared" ref="V5:V11" si="5">G5</f>
        <v>0</v>
      </c>
      <c r="W5" s="203">
        <f>'ONR 1'!V7</f>
        <v>0</v>
      </c>
      <c r="X5" s="204">
        <f>'ONR 1'!W7</f>
        <v>0</v>
      </c>
      <c r="Y5" s="230">
        <f t="shared" ref="Y5:Y11" si="6">I5</f>
        <v>0</v>
      </c>
      <c r="Z5" s="230">
        <f t="shared" ref="Z5:Z11" si="7">D5</f>
        <v>0</v>
      </c>
      <c r="AE5" s="206">
        <f t="shared" ref="AE5:AE11" si="8">IF(K5=0,1,0)</f>
        <v>1</v>
      </c>
      <c r="AF5" s="206">
        <f t="shared" ref="AF5:AL11" si="9">IF(L5=TRUE,1,0)</f>
        <v>0</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f>'ONR 1'!D8</f>
        <v>0</v>
      </c>
      <c r="E6" s="268">
        <f>'ONR 1'!E8</f>
        <v>0</v>
      </c>
      <c r="F6" s="275">
        <f>'ONR 1'!F8</f>
        <v>0</v>
      </c>
      <c r="G6" s="207">
        <f>'ONR 1'!G8</f>
        <v>0</v>
      </c>
      <c r="H6" s="201">
        <f>'ONR 1'!H8</f>
        <v>0</v>
      </c>
      <c r="I6" s="225">
        <f>'ONR 1'!I8</f>
        <v>0</v>
      </c>
      <c r="J6" s="232">
        <f t="shared" ref="J6:J9" si="10">S6</f>
        <v>0</v>
      </c>
      <c r="K6" s="233">
        <f t="shared" si="1"/>
        <v>0</v>
      </c>
      <c r="L6" s="233" t="b">
        <f t="shared" ref="L6:L9" si="11">OR(K6=31)</f>
        <v>0</v>
      </c>
      <c r="M6" s="233" t="b">
        <f t="shared" ref="M6:M9" si="12">OR(K6=21,K6=32)</f>
        <v>0</v>
      </c>
      <c r="N6" s="233" t="b">
        <f t="shared" ref="N6:N9" si="13">OR(K6=22,K6=33)</f>
        <v>0</v>
      </c>
      <c r="O6" s="233" t="b">
        <f t="shared" ref="O6:O9" si="14">OR(K6=11,K6=12)</f>
        <v>0</v>
      </c>
      <c r="P6" s="233" t="b">
        <f t="shared" ref="P6:P9" si="15">OR(K6=23,K6=34)</f>
        <v>0</v>
      </c>
      <c r="Q6" s="233" t="b">
        <f t="shared" ref="Q6:Q9" si="16">OR(K6=13,K6=14,K6=24)</f>
        <v>0</v>
      </c>
      <c r="R6" s="233" t="b">
        <f t="shared" ref="R6:R9" si="17">OR(K6=1,K6=2,K6=3,K6=4)</f>
        <v>0</v>
      </c>
      <c r="S6" s="234">
        <f t="shared" si="2"/>
        <v>0</v>
      </c>
      <c r="T6" s="232">
        <f t="shared" si="3"/>
        <v>0</v>
      </c>
      <c r="U6" s="233">
        <f t="shared" si="4"/>
        <v>0</v>
      </c>
      <c r="V6" s="235">
        <f t="shared" si="5"/>
        <v>0</v>
      </c>
      <c r="W6" s="235">
        <f>'ONR 1'!V8</f>
        <v>0</v>
      </c>
      <c r="X6" s="204">
        <f>'ONR 1'!W8</f>
        <v>0</v>
      </c>
      <c r="Y6" s="236">
        <f t="shared" si="6"/>
        <v>0</v>
      </c>
      <c r="Z6" s="236">
        <f t="shared" si="7"/>
        <v>0</v>
      </c>
      <c r="AE6" s="206">
        <f t="shared" si="8"/>
        <v>1</v>
      </c>
      <c r="AF6" s="206">
        <f t="shared" si="9"/>
        <v>0</v>
      </c>
      <c r="AG6" s="206">
        <f t="shared" si="9"/>
        <v>0</v>
      </c>
      <c r="AH6" s="206">
        <f t="shared" si="9"/>
        <v>0</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f>'ONR 1'!D9</f>
        <v>0</v>
      </c>
      <c r="E7" s="268">
        <f>'ONR 1'!E9</f>
        <v>0</v>
      </c>
      <c r="F7" s="275">
        <f>'ONR 1'!F9</f>
        <v>0</v>
      </c>
      <c r="G7" s="207">
        <f>'ONR 1'!G9</f>
        <v>0</v>
      </c>
      <c r="H7" s="201">
        <f>'ONR 1'!H9</f>
        <v>0</v>
      </c>
      <c r="I7" s="225">
        <f>'ONR 1'!I9</f>
        <v>0</v>
      </c>
      <c r="J7" s="232">
        <f t="shared" si="10"/>
        <v>0</v>
      </c>
      <c r="K7" s="233">
        <f t="shared" si="1"/>
        <v>0</v>
      </c>
      <c r="L7" s="233" t="b">
        <f t="shared" si="11"/>
        <v>0</v>
      </c>
      <c r="M7" s="233" t="b">
        <f t="shared" si="12"/>
        <v>0</v>
      </c>
      <c r="N7" s="233" t="b">
        <f t="shared" si="13"/>
        <v>0</v>
      </c>
      <c r="O7" s="233" t="b">
        <f t="shared" si="14"/>
        <v>0</v>
      </c>
      <c r="P7" s="233" t="b">
        <f t="shared" si="15"/>
        <v>0</v>
      </c>
      <c r="Q7" s="233" t="b">
        <f t="shared" si="16"/>
        <v>0</v>
      </c>
      <c r="R7" s="233" t="b">
        <f t="shared" si="17"/>
        <v>0</v>
      </c>
      <c r="S7" s="234">
        <f t="shared" si="2"/>
        <v>0</v>
      </c>
      <c r="T7" s="232">
        <f t="shared" si="3"/>
        <v>0</v>
      </c>
      <c r="U7" s="233">
        <f t="shared" si="4"/>
        <v>0</v>
      </c>
      <c r="V7" s="235">
        <f t="shared" si="5"/>
        <v>0</v>
      </c>
      <c r="W7" s="142">
        <f>'ONR 1'!V9</f>
        <v>0</v>
      </c>
      <c r="X7" s="204">
        <f>'ONR 1'!W9</f>
        <v>0</v>
      </c>
      <c r="Y7" s="236">
        <f t="shared" si="6"/>
        <v>0</v>
      </c>
      <c r="Z7" s="236">
        <f t="shared" si="7"/>
        <v>0</v>
      </c>
      <c r="AE7" s="206">
        <f t="shared" si="8"/>
        <v>1</v>
      </c>
      <c r="AF7" s="206">
        <f t="shared" si="9"/>
        <v>0</v>
      </c>
      <c r="AG7" s="206">
        <f t="shared" si="9"/>
        <v>0</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f>'ONR 1'!D13</f>
        <v>0</v>
      </c>
      <c r="E11" s="270">
        <f>'ONR 1'!E13</f>
        <v>0</v>
      </c>
      <c r="F11" s="277">
        <f>'ONR 1'!F13</f>
        <v>0</v>
      </c>
      <c r="G11" s="211">
        <f>'ONR 1'!G13</f>
        <v>0</v>
      </c>
      <c r="H11" s="212">
        <f>'ONR 1'!H13</f>
        <v>0</v>
      </c>
      <c r="I11" s="225">
        <f>'ONR 1'!I13</f>
        <v>0</v>
      </c>
      <c r="J11" s="232">
        <f t="shared" si="18"/>
        <v>0</v>
      </c>
      <c r="K11" s="233">
        <f t="shared" si="19"/>
        <v>0</v>
      </c>
      <c r="L11" s="233" t="b">
        <f t="shared" si="20"/>
        <v>0</v>
      </c>
      <c r="M11" s="233" t="b">
        <f t="shared" si="21"/>
        <v>0</v>
      </c>
      <c r="N11" s="233" t="b">
        <f t="shared" si="22"/>
        <v>0</v>
      </c>
      <c r="O11" s="233" t="b">
        <f t="shared" si="23"/>
        <v>0</v>
      </c>
      <c r="P11" s="233" t="b">
        <f t="shared" si="24"/>
        <v>0</v>
      </c>
      <c r="Q11" s="233" t="b">
        <f t="shared" si="25"/>
        <v>0</v>
      </c>
      <c r="R11" s="233" t="b">
        <f t="shared" si="26"/>
        <v>0</v>
      </c>
      <c r="S11" s="234">
        <f t="shared" si="27"/>
        <v>0</v>
      </c>
      <c r="T11" s="232">
        <f t="shared" si="28"/>
        <v>0</v>
      </c>
      <c r="U11" s="233">
        <f t="shared" si="29"/>
        <v>0</v>
      </c>
      <c r="V11" s="241">
        <f t="shared" si="5"/>
        <v>0</v>
      </c>
      <c r="W11" s="241">
        <f>'ONR 1'!V13</f>
        <v>0</v>
      </c>
      <c r="X11" s="204">
        <f>'ONR 1'!W13</f>
        <v>0</v>
      </c>
      <c r="Y11" s="236">
        <f t="shared" si="6"/>
        <v>0</v>
      </c>
      <c r="Z11" s="236">
        <f t="shared" si="7"/>
        <v>0</v>
      </c>
      <c r="AE11" s="206">
        <f t="shared" si="8"/>
        <v>1</v>
      </c>
      <c r="AF11" s="206">
        <f t="shared" si="9"/>
        <v>0</v>
      </c>
      <c r="AG11" s="206">
        <f t="shared" si="9"/>
        <v>0</v>
      </c>
      <c r="AH11" s="206">
        <f t="shared" si="9"/>
        <v>0</v>
      </c>
      <c r="AI11" s="206">
        <f t="shared" si="9"/>
        <v>0</v>
      </c>
      <c r="AJ11" s="206">
        <f t="shared" si="9"/>
        <v>0</v>
      </c>
      <c r="AK11" s="206">
        <f t="shared" si="9"/>
        <v>0</v>
      </c>
      <c r="AL11" s="206">
        <f t="shared" si="9"/>
        <v>0</v>
      </c>
    </row>
    <row r="12" spans="1:38" s="116" customFormat="1" ht="23" thickBot="1">
      <c r="A12" s="115"/>
      <c r="B12" s="362" t="str">
        <f>'ONR 2'!B2</f>
        <v>ONR 2  -   INCLUSION : S'engager à développer des services numériques accessibles à toutes et tous, inclusifs et durables</v>
      </c>
      <c r="C12" s="363"/>
      <c r="D12" s="363"/>
      <c r="E12" s="363"/>
      <c r="F12" s="363"/>
      <c r="G12" s="363"/>
      <c r="H12" s="363"/>
      <c r="I12" s="363"/>
      <c r="J12" s="363"/>
      <c r="K12" s="363"/>
      <c r="L12" s="363"/>
      <c r="M12" s="363"/>
      <c r="N12" s="363"/>
      <c r="O12" s="363"/>
      <c r="P12" s="363"/>
      <c r="Q12" s="363"/>
      <c r="R12" s="363"/>
      <c r="S12" s="363"/>
      <c r="T12" s="363"/>
      <c r="U12" s="363"/>
      <c r="V12" s="363"/>
      <c r="W12" s="363"/>
      <c r="X12" s="363"/>
      <c r="Y12" s="363"/>
      <c r="Z12" s="380"/>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1" t="str">
        <f>'ONR 3'!B2:C2</f>
        <v xml:space="preserve">ONR 3  -  RSE : S'engager pour des pratiques numériques éthiques et responsables </v>
      </c>
      <c r="C17" s="381"/>
      <c r="D17" s="381"/>
      <c r="E17" s="381"/>
      <c r="F17" s="381"/>
      <c r="G17" s="381"/>
      <c r="H17" s="381"/>
      <c r="I17" s="381"/>
      <c r="J17" s="381"/>
      <c r="K17" s="381"/>
      <c r="L17" s="381"/>
      <c r="M17" s="381"/>
      <c r="N17" s="381"/>
      <c r="O17" s="381"/>
      <c r="P17" s="381"/>
      <c r="Q17" s="381"/>
      <c r="R17" s="381"/>
      <c r="S17" s="381"/>
      <c r="T17" s="381"/>
      <c r="U17" s="381"/>
      <c r="V17" s="381"/>
      <c r="W17" s="381"/>
      <c r="X17" s="381"/>
      <c r="Y17" s="381"/>
      <c r="Z17" s="381"/>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2" t="str">
        <f>'ONR 4'!B2:C2</f>
        <v>ONR 4  -  RESILIENCE ET STRATEGIE :  S'engager vers un numérique responsable, indispensable pour assurer la résilience des organisations</v>
      </c>
      <c r="C25" s="363"/>
      <c r="D25" s="363"/>
      <c r="E25" s="363"/>
      <c r="F25" s="363"/>
      <c r="G25" s="363"/>
      <c r="H25" s="363"/>
      <c r="I25" s="363"/>
      <c r="J25" s="363"/>
      <c r="K25" s="363"/>
      <c r="L25" s="363"/>
      <c r="M25" s="363"/>
      <c r="N25" s="363"/>
      <c r="O25" s="363"/>
      <c r="P25" s="363"/>
      <c r="Q25" s="363"/>
      <c r="R25" s="363"/>
      <c r="S25" s="363"/>
      <c r="T25" s="363"/>
      <c r="U25" s="363"/>
      <c r="V25" s="363"/>
      <c r="W25" s="363"/>
      <c r="X25" s="363"/>
      <c r="Y25" s="363"/>
      <c r="Z25" s="380"/>
      <c r="AB25" s="116" t="str">
        <f>B25</f>
        <v>ONR 4  -  RESILIENCE ET STRATEGIE :  S'engager vers un numérique responsable, indispensable pour assurer la résilience des organisations</v>
      </c>
      <c r="AC25" s="116">
        <v>3</v>
      </c>
      <c r="AD25" s="116">
        <f>AC25-AE25</f>
        <v>-1</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2" t="str">
        <f>'ONR 5'!B2:C2</f>
        <v>ONR 5  -  MANAGEMENT :  S'engager à faire les choses avec sens en respectant et en préservant les ressources qui produisent</v>
      </c>
      <c r="C30" s="363"/>
      <c r="D30" s="363"/>
      <c r="E30" s="363"/>
      <c r="F30" s="363"/>
      <c r="G30" s="363"/>
      <c r="H30" s="363"/>
      <c r="I30" s="363"/>
      <c r="J30" s="363"/>
      <c r="K30" s="363"/>
      <c r="L30" s="363"/>
      <c r="M30" s="363"/>
      <c r="N30" s="363"/>
      <c r="O30" s="363"/>
      <c r="P30" s="363"/>
      <c r="Q30" s="363"/>
      <c r="R30" s="363"/>
      <c r="S30" s="363"/>
      <c r="T30" s="363"/>
      <c r="U30" s="363"/>
      <c r="V30" s="363"/>
      <c r="W30" s="363"/>
      <c r="X30" s="363"/>
      <c r="Y30" s="363"/>
      <c r="Z30" s="364"/>
      <c r="AB30" s="116" t="str">
        <f>B30</f>
        <v>ONR 5  -  MANAGEMENT :  S'engager à faire les choses avec sens en respectant et en préservant les ressources qui produisent</v>
      </c>
      <c r="AC30" s="116">
        <v>7</v>
      </c>
      <c r="AD30" s="116">
        <f>AC30-AE30</f>
        <v>1</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6" t="s">
        <v>124</v>
      </c>
      <c r="C2" s="387"/>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8" t="s">
        <v>125</v>
      </c>
      <c r="C3" s="389"/>
      <c r="D3" s="45">
        <f t="shared" ref="D3:M3" si="0">SUM(D4:D8)</f>
        <v>27</v>
      </c>
      <c r="E3" s="65">
        <f t="shared" si="0"/>
        <v>-1</v>
      </c>
      <c r="F3" s="63">
        <f t="shared" si="0"/>
        <v>28</v>
      </c>
      <c r="G3" s="262">
        <f t="shared" si="0"/>
        <v>0</v>
      </c>
      <c r="H3" s="263">
        <f t="shared" si="0"/>
        <v>0</v>
      </c>
      <c r="I3" s="262">
        <f t="shared" si="0"/>
        <v>0</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6</v>
      </c>
      <c r="E4" s="66">
        <f>IF('Résultats détaillés'!AD4=0,"",'Résultats détaillés'!AD4)</f>
        <v>-1</v>
      </c>
      <c r="F4" s="64">
        <f>IF('Résultats détaillés'!AE4=0,"",'Résultats détaillés'!AE4)</f>
        <v>7</v>
      </c>
      <c r="G4" s="44" t="str">
        <f>IF('Résultats détaillés'!AF4=0,"",'Résultats détaillés'!AF4)</f>
        <v/>
      </c>
      <c r="H4" s="44" t="str">
        <f>IF('Résultats détaillés'!AG4=0,"",'Résultats détaillés'!AG4)</f>
        <v/>
      </c>
      <c r="I4" s="44" t="str">
        <f>IF('Résultats détaillés'!AH4=0,"",'Résultats détaillés'!AH4)</f>
        <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3</v>
      </c>
      <c r="E7" s="66">
        <f>IF('Résultats détaillés'!AD25=0,"",'Résultats détaillés'!AD25)</f>
        <v>-1</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7</v>
      </c>
      <c r="E8" s="66">
        <f>IF('Résultats détaillés'!AD30=0,"",'Résultats détaillés'!AD30)</f>
        <v>1</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2" t="s">
        <v>126</v>
      </c>
      <c r="C10" s="392"/>
    </row>
    <row r="11" spans="2:32" s="1" customFormat="1" ht="20.25" customHeight="1">
      <c r="B11" s="393" t="s">
        <v>127</v>
      </c>
      <c r="C11" s="393"/>
    </row>
    <row r="12" spans="2:32" s="1" customFormat="1" ht="20.25" customHeight="1">
      <c r="B12" s="394" t="s">
        <v>128</v>
      </c>
      <c r="C12" s="394"/>
    </row>
    <row r="13" spans="2:32" s="1" customFormat="1" ht="20.25" customHeight="1">
      <c r="B13" s="390" t="s">
        <v>129</v>
      </c>
      <c r="C13" s="390"/>
    </row>
    <row r="14" spans="2:32" s="1" customFormat="1" ht="20.25" customHeight="1">
      <c r="B14" s="391" t="s">
        <v>130</v>
      </c>
      <c r="C14" s="391"/>
    </row>
    <row r="15" spans="2:32" s="1" customFormat="1"/>
    <row r="16" spans="2:32" s="1" customFormat="1"/>
    <row r="17" spans="3:13" s="1" customFormat="1"/>
    <row r="18" spans="3:13" s="1" customFormat="1"/>
    <row r="19" spans="3:13" s="1" customFormat="1" ht="24">
      <c r="C19" s="385"/>
      <c r="D19" s="385"/>
      <c r="E19" s="284"/>
      <c r="F19" s="284"/>
      <c r="G19" s="283"/>
      <c r="H19" s="283"/>
      <c r="I19" s="283"/>
      <c r="J19" s="283"/>
      <c r="K19" s="283"/>
      <c r="L19" s="283"/>
      <c r="M19" s="283"/>
    </row>
    <row r="20" spans="3:13" s="1" customFormat="1" ht="16">
      <c r="C20" s="285"/>
      <c r="D20" s="285"/>
      <c r="E20" s="286"/>
      <c r="F20" s="286"/>
      <c r="G20" s="286"/>
      <c r="H20" s="286"/>
      <c r="I20" s="286"/>
      <c r="J20" s="286"/>
      <c r="K20" s="286"/>
      <c r="L20" s="286"/>
      <c r="M20" s="286"/>
    </row>
    <row r="21" spans="3:13" s="1" customFormat="1" ht="16">
      <c r="C21" s="285"/>
      <c r="D21" s="285"/>
      <c r="E21" s="286"/>
      <c r="F21" s="286"/>
      <c r="G21" s="286"/>
      <c r="H21" s="286"/>
      <c r="I21" s="286"/>
      <c r="J21" s="286"/>
      <c r="K21" s="286"/>
      <c r="L21" s="286"/>
      <c r="M21" s="286"/>
    </row>
    <row r="22" spans="3:13" s="1" customFormat="1" ht="16">
      <c r="C22" s="285"/>
      <c r="D22" s="285"/>
      <c r="E22" s="286"/>
      <c r="F22" s="286"/>
      <c r="G22" s="286"/>
      <c r="H22" s="286"/>
      <c r="I22" s="286"/>
      <c r="J22" s="286"/>
      <c r="K22" s="286"/>
      <c r="L22" s="286"/>
      <c r="M22" s="286"/>
    </row>
    <row r="23" spans="3:13" s="1" customFormat="1" ht="16">
      <c r="C23" s="285"/>
      <c r="D23" s="285"/>
      <c r="E23" s="286"/>
      <c r="F23" s="286"/>
      <c r="G23" s="286"/>
      <c r="H23" s="286"/>
      <c r="I23" s="286"/>
      <c r="J23" s="286"/>
      <c r="K23" s="286"/>
      <c r="L23" s="286"/>
      <c r="M23" s="286"/>
    </row>
    <row r="24" spans="3:13" s="1" customFormat="1" ht="16">
      <c r="C24" s="285"/>
      <c r="D24" s="285"/>
      <c r="E24" s="286"/>
      <c r="F24" s="286"/>
      <c r="G24" s="286"/>
      <c r="H24" s="286"/>
      <c r="I24" s="286"/>
      <c r="J24" s="286"/>
      <c r="K24" s="286"/>
      <c r="L24" s="286"/>
      <c r="M24" s="286"/>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