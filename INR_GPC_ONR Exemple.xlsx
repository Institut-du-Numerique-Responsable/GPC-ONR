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summary20261007_drawing3.xml" ContentType="application/vnd.openxmlformats-officedocument.drawing+xml"/>
  <Override PartName="/xl/drawings/charts/summary20261007_chart1.xml" ContentType="application/vnd.openxmlformats-officedocument.drawingml.chart+xml"/>
  <Default Extension="png" ContentType="image/png"/>
  <Override PartName="/xl/drawings/inr20261007_drawing4.xml" ContentType="application/vnd.openxmlformats-officedocument.drawing+xml"/>
  <Override PartName="/xl/drawings/inr20261007_drawing5.xml" ContentType="application/vnd.openxmlformats-officedocument.drawing+xml"/>
  <Override PartName="/xl/drawings/inr20261007_drawing6.xml" ContentType="application/vnd.openxmlformats-officedocument.drawing+xml"/>
  <Override PartName="/xl/drawings/inr20261007_drawing7.xml" ContentType="application/vnd.openxmlformats-officedocument.drawing+xml"/>
  <Override PartName="/xl/drawings/inr20261007_drawing8.xml" ContentType="application/vnd.openxmlformats-officedocument.drawing+xml"/>
  <Override PartName="/xl/drawings/inr20261007_drawing10.xml" ContentType="application/vnd.openxmlformats-officedocument.drawing+xml"/>
  <Override PartName="/xl/drawings/charts/inr20261007_chart1.xml" ContentType="application/vnd.openxmlformats-officedocument.drawingml.chart+xml"/>
  <Override PartName="/xl/drawings/charts/inr20261007_chart2.xml" ContentType="application/vnd.openxmlformats-officedocument.drawingml.chart+xml"/>
  <Override PartName="/xl/drawings/inr20261007_drawing3.xml" ContentType="application/vnd.openxmlformats-officedocument.drawing+xml"/>
  <Override PartName="/xl/drawings/inr20261007_drawing9.xml" ContentType="application/vnd.openxmlformats-officedocument.drawing+xml"/>
  <Override PartName="/xl/drawings/inr20261007_drawing1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showInkAnnotation="0" updateLinks="never" codeName="ThisWorkbook" autoCompressPictures="0" defaultThemeVersion="124226"/>
  <mc:AlternateContent xmlns:mc="http://schemas.openxmlformats.org/markup-compatibility/2006">
    <mc:Choice Requires="x15">
      <x15ac:absPath xmlns:x15ac="http://schemas.microsoft.com/office/spreadsheetml/2010/11/ac" url="/Users/ggallon/Desktop/"/>
    </mc:Choice>
  </mc:AlternateContent>
  <xr:revisionPtr revIDLastSave="0" documentId="13_ncr:1_{9DC4FCC2-3E29-434C-BFB1-3F4DB744CD08}" xr6:coauthVersionLast="47" xr6:coauthVersionMax="47" xr10:uidLastSave="{00000000-0000-0000-0000-000000000000}"/>
  <bookViews>
    <workbookView xWindow="24020" yWindow="2900" windowWidth="32420" windowHeight="19880" tabRatio="879" activeTab="3" xr2:uid="{00000000-000D-0000-FFFF-FFFF00000000}"/>
  </bookViews>
  <sheets>
    <sheet name="Accueil" sheetId="69" r:id="rId1"/>
    <sheet name="Méthodologie" sheetId="64" r:id="rId2"/>
    <sheet name="Contexte" sheetId="62" r:id="rId3"/>
    <sheet name="ONR 1" sheetId="46" r:id="rId4"/>
    <sheet name="ONR 2" sheetId="21" r:id="rId5"/>
    <sheet name="ONR 3" sheetId="47" r:id="rId6"/>
    <sheet name="ONR 4" sheetId="48" r:id="rId7"/>
    <sheet name="ONR 5" sheetId="49" r:id="rId8"/>
    <sheet name="Priorisation" sheetId="44" state="hidden" r:id="rId9"/>
    <sheet name="Résultats détaillés" sheetId="45" r:id="rId10"/>
    <sheet name="Résultats synthèse" sheetId="65" r:id="rId11"/>
    <sheet name="Liste ONR" sheetId="71" r:id="rId12"/>
  </sheets>
  <definedNames>
    <definedName name="HTML_CodePage" hidden="1">1252</definedName>
    <definedName name="HTML_Control" localSheetId="0" hidden="1">{"'Pôle écologique'!$B$2:$K$23"}</definedName>
    <definedName name="HTML_Control" hidden="1">{"'Pôle écologique'!$B$2:$K$23"}</definedName>
    <definedName name="HTML_Description" hidden="1">""</definedName>
    <definedName name="HTML_Email" hidden="1">""</definedName>
    <definedName name="HTML_Header" hidden="1">"Pôle écologique"</definedName>
    <definedName name="HTML_LastUpdate" hidden="1">"22/09/99"</definedName>
    <definedName name="HTML_LineAfter" hidden="1">FALSE</definedName>
    <definedName name="HTML_LineBefore" hidden="1">FALSE</definedName>
    <definedName name="HTML_Name" hidden="1">"Claude Villeneuve"</definedName>
    <definedName name="HTML_OBDlg2" hidden="1">TRUE</definedName>
    <definedName name="HTML_OBDlg4" hidden="1">TRUE</definedName>
    <definedName name="HTML_OS" hidden="1">1</definedName>
    <definedName name="HTML_PathFileMac" hidden="1">"Disque Dur:Desktop Folder:Francois page web:Grille:tab1dgrilledd.html"</definedName>
    <definedName name="HTML_Title" hidden="1">"Pôle écologique"</definedName>
    <definedName name="liste_évaluation">#REF!</definedName>
    <definedName name="valeurs" localSheetId="0">#REF!</definedName>
    <definedName name="valeurs" localSheetId="1">#REF!</definedName>
    <definedName name="valeurs" localSheetId="3">#REF!</definedName>
    <definedName name="valeurs" localSheetId="5">#REF!</definedName>
    <definedName name="valeurs" localSheetId="6">#REF!</definedName>
    <definedName name="valeurs" localSheetId="7">#REF!</definedName>
    <definedName name="valeurs">#REF!</definedName>
    <definedName name="_xlnm.Print_Area" localSheetId="9">'Résultats détaillés'!$B$2:$X$35</definedName>
    <definedName name="_xlnm.Print_Area" localSheetId="3">'ONR 1'!$B$2:$V$14</definedName>
    <definedName name="_xlnm.Print_Titles" localSheetId="3">'ONR 1'!$4:$6,'ONR 1'!$B:$C</definedName>
    <definedName name="_xlnm.Print_Area" localSheetId="4">'ONR 2'!$B$2:$V$11</definedName>
    <definedName name="_xlnm.Print_Titles" localSheetId="4">'ONR 2'!$4:$6,'ONR 2'!$B:$C</definedName>
    <definedName name="_xlnm.Print_Area" localSheetId="5">'ONR 3'!$B$2:$V$14</definedName>
    <definedName name="_xlnm.Print_Titles" localSheetId="5">'ONR 3'!$4:$6,'ONR 3'!$B:$C</definedName>
    <definedName name="_xlnm.Print_Area" localSheetId="6">'ONR 4'!$B$2:$V$10</definedName>
    <definedName name="_xlnm.Print_Titles" localSheetId="6">'ONR 4'!$4:$6,'ONR 4'!$B:$C</definedName>
    <definedName name="_xlnm.Print_Area" localSheetId="7">'ONR 5'!$B$2:$V$13</definedName>
    <definedName name="_xlnm.Print_Titles" localSheetId="7">'ONR 5'!$4:$6,'ONR 5'!$B:$C</definedName>
    <definedName name="_xlnm.Print_Area" localSheetId="10">'Résultats synthèse'!$B$2:$M$73</definedName>
  </definedNames>
  <calcPr calcId="191028" fullCalcOnLoad="1" calcMode="auto" forceFullCalc="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 invité</author>
    <author>Utilisateur</author>
  </authors>
  <commentList>
    <comment ref="B4" authorId="0" shapeId="0" xr:uid="{EB80FB45-ED39-4EE0-B694-4C8CBE5F9519}">
      <text>
        <r>
          <rPr>
            <sz val="10"/>
            <color rgb="FF000000"/>
            <rFont val="Helv"/>
          </rPr>
          <t>Parce que le numérique est un acteur majeur d’émissions de Gaz à Effet de Serre, d’épuisement des ressources et d’affaissement de la biodiversité, participant activement au changement climatique, nous nous engageons à optimiser les outils numériques pour limiter leurs impacts et consommations.</t>
        </r>
      </text>
    </comment>
    <comment ref="D5" authorId="1" shapeId="0" xr:uid="{00000000-0006-0000-0300-000002000000}">
      <text>
        <t>Décrire les opportunités et les menaces associées à cette cible pour l’organisation : enjeux économiques, sociaux, environnementaux, réglementaires ou opérationnels.</t>
      </text>
    </comment>
    <comment ref="E5" authorId="1" shapeId="0" xr:uid="{00000000-0006-0000-0300-000003000000}">
      <text>
        <t>Évaluer l’importance de la cible pour l’organisation.
0 : non applicable ; 1 : peu importante ; 2 : importante ; 3 : très importante.
Une importance de 0 classe la cible comme non applicable, même sans note de performance.</t>
      </text>
    </comment>
    <comment ref="F5" authorId="1" shapeId="0" xr:uid="{00000000-0006-0000-0300-000004000000}">
      <text>
        <t>Évaluer la situation actuelle à partir d’éléments documentés.
1 : pas du tout atteinte ; 2 : atteinte en partie ; 3 : en voie d’être atteinte ; 4 : atteinte.
Laisser vide si la cible n’est pas évaluée ou n’est pas applicable.</t>
      </text>
    </comment>
    <comment ref="G5" authorId="1" shapeId="0" xr:uid="{00000000-0006-0000-0300-000005000000}">
      <text>
        <t>Justifier la note de performance avec les mesures déjà en place, les résultats observés, les indicateurs disponibles et les sources datées. Distinguer les actions réalisées des actions seulement prévues.</t>
      </text>
    </comment>
    <comment ref="I5" authorId="1" shapeId="0" xr:uid="{00000000-0006-0000-0300-000007000000}">
      <text>
        <t>Décrire les forces et les faiblesses internes : compétences, moyens humains, financiers et techniques, et partenaires disponibles pour agir sur la cible.</t>
      </text>
    </comment>
    <comment ref="J5" authorId="1" shapeId="0" xr:uid="{00000000-0006-0000-03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1" shapeId="0" xr:uid="{00000000-0006-0000-03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400-000001000000}">
      <text>
        <r>
          <rPr>
            <sz val="10"/>
            <color rgb="FF000000"/>
            <rFont val="Helv"/>
          </rPr>
          <t>Parce que les services numériques peuvent être sources d’exclusion sociale, d’individualisation et d’obsolescence matérielle et logicielle, nous nous engageons à développer des offres de services accessibles pour tous, inclusives et durables.</t>
        </r>
      </text>
    </comment>
    <comment ref="D5" authorId="0" shapeId="0" xr:uid="{00000000-0006-0000-0400-000002000000}">
      <text>
        <t>Décrire les opportunités et les menaces associées à cette cible pour l’organisation : enjeux économiques, sociaux, environnementaux, réglementaires ou opérationnels.</t>
      </text>
    </comment>
    <comment ref="E5" authorId="0" shapeId="0" xr:uid="{00000000-0006-0000-04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4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4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400-000007000000}">
      <text>
        <t>Décrire les forces et les faiblesses internes : compétences, moyens humains, financiers et techniques, et partenaires disponibles pour agir sur la cible.</t>
      </text>
    </comment>
    <comment ref="J5" authorId="0" shapeId="0" xr:uid="{00000000-0006-0000-04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4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500-000001000000}">
      <text>
        <r>
          <rPr>
            <sz val="10"/>
            <color rgb="FF000000"/>
            <rFont val="Helv"/>
          </rPr>
          <t>Parce que l’avenir des organisations passe par un usage du numérique transparent et rassurant pour tous, nous nous engageons pour des pratiques numériques éthiques et responsables.</t>
        </r>
      </text>
    </comment>
    <comment ref="D5" authorId="0" shapeId="0" xr:uid="{00000000-0006-0000-0500-000002000000}">
      <text>
        <t>Décrire les opportunités et les menaces associées à cette cible pour l’organisation : enjeux économiques, sociaux, environnementaux, réglementaires ou opérationnels.</t>
      </text>
    </comment>
    <comment ref="E5" authorId="0" shapeId="0" xr:uid="{00000000-0006-0000-05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5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5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500-000007000000}">
      <text>
        <t>Décrire les forces et les faiblesses internes : compétences, moyens humains, financiers et techniques, et partenaires disponibles pour agir sur la cible.</t>
      </text>
    </comment>
    <comment ref="J5" authorId="0" shapeId="0" xr:uid="{00000000-0006-0000-05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5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600-000001000000}">
      <text>
        <r>
          <rPr>
            <sz val="10"/>
            <color rgb="FF000000"/>
            <rFont val="Helv"/>
          </rPr>
          <t>Parce que la transition vers un numérique responsable est indispensable pour assurer la résilience des organisations, nous nous engageons à rendre le numérique mesurable, transparent et lisible.</t>
        </r>
      </text>
    </comment>
    <comment ref="D5" authorId="0" shapeId="0" xr:uid="{96A93CF3-4A38-9743-BB7D-4D89C8637515}">
      <text>
        <t>Décrire les opportunités et les menaces associées à cette cible pour l’organisation : enjeux économiques, sociaux, environnementaux, réglementaires ou opérationnels.</t>
      </text>
    </comment>
    <comment ref="E5" authorId="0" shapeId="0" xr:uid="{988E1C45-7988-DB49-85E0-84F3DA705D86}">
      <text>
        <t>Évaluer l’importance de la cible pour l’organisation.
0 : non applicable ; 1 : peu importante ; 2 : importante ; 3 : très importante.
Une importance de 0 classe la cible comme non applicable, même sans note de performance.</t>
      </text>
    </comment>
    <comment ref="F5" authorId="0" shapeId="0" xr:uid="{6EFAD041-22B7-C04F-9E51-652EBA0E8A16}">
      <text>
        <t>Évaluer la situation actuelle à partir d’éléments documentés.
1 : pas du tout atteinte ; 2 : atteinte en partie ; 3 : en voie d’être atteinte ; 4 : atteinte.
Laisser vide si la cible n’est pas évaluée ou n’est pas applicable.</t>
      </text>
    </comment>
    <comment ref="G5" authorId="0" shapeId="0" xr:uid="{BD753896-2A33-C44A-9474-6ED31D82EDF1}">
      <text>
        <t>Justifier la note de performance avec les mesures déjà en place, les résultats observés, les indicateurs disponibles et les sources datées. Distinguer les actions réalisées des actions seulement prévues.</t>
      </text>
    </comment>
    <comment ref="H5" authorId="0" shapeId="0" xr:uid="{A0B61C8E-D016-114B-919D-21D504540378}">
      <text>
        <t>Identifier les compétences à mobiliser.
1 : équipe NR / RSE ; 2 : NR / RSE et DSI ; 3 : NR / RSE et équipe hors DSI ; 4 : intervention extérieure.
Ce choix n’entre pas dans le calcul du niveau de priorité.</t>
      </text>
    </comment>
    <comment ref="I5" authorId="0" shapeId="0" xr:uid="{81F53470-33EE-0B43-93A9-4C132E04A690}">
      <text>
        <t>Décrire les forces et les faiblesses internes : compétences, moyens humains, financiers et techniques, et partenaires disponibles pour agir sur la cible.</t>
      </text>
    </comment>
    <comment ref="J5" authorId="0" shapeId="0" xr:uid="{00000000-0006-0000-06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6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4" authorId="0" shapeId="0" xr:uid="{00000000-0006-0000-0700-000001000000}">
      <text>
        <r>
          <rPr>
            <sz val="10"/>
            <color rgb="FF000000"/>
            <rFont val="Helv"/>
          </rPr>
          <t>Mais aussi parce que le numérique est un formidable levier de création de valeurs, et parce que demain s’écrit aujourd’hui, nous nous engageons à favoriser l’émergence de nouveaux comportements et valeurs.</t>
        </r>
      </text>
    </comment>
    <comment ref="D5" authorId="0" shapeId="0" xr:uid="{00000000-0006-0000-0700-000002000000}">
      <text>
        <t>Décrire les opportunités et les menaces associées à cette cible pour l’organisation : enjeux économiques, sociaux, environnementaux, réglementaires ou opérationnels.</t>
      </text>
    </comment>
    <comment ref="E5" authorId="0" shapeId="0" xr:uid="{00000000-0006-0000-0700-000003000000}">
      <text>
        <t>Évaluer l’importance de la cible pour l’organisation.
0 : non applicable ; 1 : peu importante ; 2 : importante ; 3 : très importante.
Une importance de 0 classe la cible comme non applicable, même sans note de performance.</t>
      </text>
    </comment>
    <comment ref="F5" authorId="0" shapeId="0" xr:uid="{00000000-0006-0000-0700-000004000000}">
      <text>
        <t>Évaluer la situation actuelle à partir d’éléments documentés.
1 : pas du tout atteinte ; 2 : atteinte en partie ; 3 : en voie d’être atteinte ; 4 : atteinte.
Laisser vide si la cible n’est pas évaluée ou n’est pas applicable.</t>
      </text>
    </comment>
    <comment ref="G5" authorId="0" shapeId="0" xr:uid="{00000000-0006-0000-0700-000005000000}">
      <text>
        <t>Justifier la note de performance avec les mesures déjà en place, les résultats observés, les indicateurs disponibles et les sources datées. Distinguer les actions réalisées des actions seulement prévues.</t>
      </text>
    </comment>
    <comment ref="I5" authorId="0" shapeId="0" xr:uid="{00000000-0006-0000-0700-000007000000}">
      <text>
        <t>Décrire les forces et les faiblesses internes : compétences, moyens humains, financiers et techniques, et partenaires disponibles pour agir sur la cible.</t>
      </text>
    </comment>
    <comment ref="J5" authorId="0" shapeId="0" xr:uid="{00000000-0006-0000-0700-000008000000}">
      <text>
        <t>Calcul automatique à partir de l’importance et de la performance, selon la matrice de l’onglet Priorisation.
Importance 0 : non applicable. Sinon, deux notes valides sont nécessaires.
Consulter Résultats détaillés et Résultats synthèse pour les résultats consolidés.</t>
      </text>
    </comment>
    <comment ref="V5" authorId="0" shapeId="0" xr:uid="{00000000-0006-0000-0700-00000A000000}">
      <text>
        <t>Proposer des actions contribuant à l’atteinte de la cible. Préciser, si possible, un responsable, une échéance et un résultat attendu.
Une proposition renseignée ne signifie pas que l’action a été validée ou réalisée.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D3" authorId="0" shapeId="0" xr:uid="{00000000-0006-0000-1400-000001000000}">
      <text>
        <t>Décrire les opportunités et les menaces associées à cette cible pour l’organisation : enjeux économiques, sociaux, environnementaux, réglementaires ou opérationnels.</t>
      </text>
    </comment>
    <comment ref="G3" authorId="0" shapeId="0" xr:uid="{00000000-0006-0000-1400-000002000000}">
      <text>
        <t>Justifier la note de performance avec les mesures déjà en place, les résultats observés, les indicateurs disponibles et les sources datées. Distinguer les actions réalisées des actions seulement prévues.</t>
      </text>
    </comment>
    <comment ref="I3" authorId="0" shapeId="0" xr:uid="{00000000-0006-0000-1400-000003000000}">
      <text>
        <t>Décrire les forces et les faiblesses internes : compétences, moyens humains, financiers et techniques, et partenaires disponibles pour agir sur la cible.</t>
      </text>
    </comment>
    <comment ref="X3" authorId="0" shapeId="0" xr:uid="{00000000-0006-0000-1400-000005000000}">
      <text>
        <r>
          <rPr>
            <sz val="10"/>
            <color rgb="FF000000"/>
            <rFont val="Helv"/>
          </rPr>
          <t xml:space="preserve">Exposer dans cette colonne des interrelations potentielles entre les cibles. Mettre en exergue ici d'autres cibles sur lesquelles les actions spécifiques proposées sont susceptibles d'avoir un impact positif. </t>
        </r>
      </text>
    </comment>
  </commentList>
</comments>
</file>

<file path=xl/sharedStrings.xml><?xml version="1.0" encoding="utf-8"?>
<sst xmlns="http://schemas.openxmlformats.org/spreadsheetml/2006/main" count="334" uniqueCount="152">
  <si>
    <t xml:space="preserve"> </t>
  </si>
  <si>
    <t>Étapes préalables et description du contexte de priorisation</t>
  </si>
  <si>
    <t>Organisation pour laquelle la priorisation est effectuée</t>
  </si>
  <si>
    <t>Niveau d'avancement dans la mise en œuvre des ONR</t>
  </si>
  <si>
    <t>Documents politiques et stratégiques existants ou en préparation qui peuvent  faciliter l'identification des cibles et ONR prioritaires</t>
  </si>
  <si>
    <t>Sources d'information pertinentes sur la situation relativement à l'atteinte des cibles des ONR</t>
  </si>
  <si>
    <t>Service responsable de la priorisation</t>
  </si>
  <si>
    <t>Noms et titres des analystes</t>
  </si>
  <si>
    <t>Personne responsable de l'analyse et du suivi</t>
  </si>
  <si>
    <t>Date de l'analyse</t>
  </si>
  <si>
    <t xml:space="preserve">ONR 1 : Sobriété · S'engager à optimiser les outils numériques pour limiter leurs impacts et consommation</t>
  </si>
  <si>
    <t>Importance de la cible</t>
  </si>
  <si>
    <t>Performance actuelle</t>
  </si>
  <si>
    <t>Compétences interne-externe</t>
  </si>
  <si>
    <t>Priorité</t>
  </si>
  <si>
    <t>Mise en œuvre</t>
  </si>
  <si>
    <t>Enjeux: opportunités et menaces</t>
  </si>
  <si>
    <t>Importance de la cible</t>
  </si>
  <si>
    <t>Performance actuelle évaluée (Expérimentations)</t>
  </si>
  <si>
    <t>Documentation de la performance actuelle et description des mesures déjà en place ( Analyse des expérimentations à date )</t>
  </si>
  <si>
    <t>Forces et faiblesses</t>
  </si>
  <si>
    <t xml:space="preserve">Niveau de priorité </t>
  </si>
  <si>
    <t>Valeur priorité</t>
  </si>
  <si>
    <t>Intervention urgente</t>
  </si>
  <si>
    <t>Intervention prioritaire</t>
  </si>
  <si>
    <t>Intervention à moyen terme</t>
  </si>
  <si>
    <t>Intervention à long terme</t>
  </si>
  <si>
    <t>Intervention de consolidation</t>
  </si>
  <si>
    <t>Intervention non prioritaire</t>
  </si>
  <si>
    <t>Intervention non pertinente</t>
  </si>
  <si>
    <t>Priorité texte</t>
  </si>
  <si>
    <t>Priorité valeur</t>
  </si>
  <si>
    <t>Valeur type d'action</t>
  </si>
  <si>
    <t>Stratégies d'action pouvant contribuer à l'atteinte de la cible</t>
  </si>
  <si>
    <t>Synergies avec les Modules (M3 stratégie, M4 sensibiliser, M5 action)</t>
  </si>
  <si>
    <t xml:space="preserve">Cibles: évaluer les niveaux d'importance, de performance et de compétence des cibles ci-dessous, et identifier des pistes d'actions favorisant l'atteinte des cibles </t>
  </si>
  <si>
    <t>1.1</t>
  </si>
  <si>
    <t>1.2</t>
  </si>
  <si>
    <t>En allongeant la durée d’usage des équipements, même au-delà de leur amortissement comptable</t>
  </si>
  <si>
    <t>1.3</t>
  </si>
  <si>
    <t>En éco-concevant les services numériques, et en choisissant des technologies qui contribuent aux Objectifs de développement durable (ODD)</t>
  </si>
  <si>
    <t>1.4</t>
  </si>
  <si>
    <t>En favorisant des usages et des pratiques limitant les consommations de matériels, de ressources, d’énergies et de consommables</t>
  </si>
  <si>
    <t>1.5</t>
  </si>
  <si>
    <t>En considérant nos déchets comme une ressource et leur traitement comme une source d’emplois participant au développement de l’économie circulaire.</t>
  </si>
  <si>
    <t>1.6</t>
  </si>
  <si>
    <t>En privilégiant et en favorisant l’utilisation de sources d’énergies renouvelables.</t>
  </si>
  <si>
    <t>1.7</t>
  </si>
  <si>
    <t>En favorisant l'utilisation d'IA lorsque nécessaire uniquement et en privilégiant des IA frugales</t>
  </si>
  <si>
    <t xml:space="preserve">ONR 2 : Inclusion · S'engager à développer des services numériques accessibles à toutes et tous, inclusifs et durables</t>
  </si>
  <si>
    <t>2.1</t>
  </si>
  <si>
    <t>En généralisant une démarche d’achats responsables avec l’adoption de clauses sociétales et environnementales.</t>
  </si>
  <si>
    <t>2.2</t>
  </si>
  <si>
    <t>En rendant nos services numériques accessibles à toutes et tous, et en mesurant leur conformité au RGAA</t>
  </si>
  <si>
    <t>2.3</t>
  </si>
  <si>
    <t>En déployant les applications autour des 3 U : Utiles, Utilisables, Utilisées pour en simplifier l’usage en intégrant l’accessibilité universelle pour réussir l’e-inclusion de tous</t>
  </si>
  <si>
    <t>2.4</t>
  </si>
  <si>
    <t>En concevant les services avec celles et ceux qui les utiliseront, pour livrer ce dont ils ont besoin et rien de plus</t>
  </si>
  <si>
    <t xml:space="preserve">ONR 3 : RSE · S'engager pour des pratiques numériques éthiques et responsables</t>
  </si>
  <si>
    <t>3.1</t>
  </si>
  <si>
    <t>En développant des usages raisonnés des données et services dans une démarche éthique vis-à-vis des impacts sur l’environnement et les populations.</t>
  </si>
  <si>
    <t>3.2</t>
  </si>
  <si>
    <t>En luttant contre les pratiques trompeuses et présence de dark pattern dans les sites internet et en permettant de se conformer à la réglementation</t>
  </si>
  <si>
    <t>3.3</t>
  </si>
  <si>
    <t>En ne collectant que les données utiles et nécessaires au service des utilisateurs, afin de limiter les risques en matière de vie privée et impacts environnementaux en conformité avec le Règlement Général sur la Protection des Données (RGPD).</t>
  </si>
  <si>
    <t>3.4</t>
  </si>
  <si>
    <t>En favorisant la diversité des recrutements des métiers du numérique</t>
  </si>
  <si>
    <t>3.5</t>
  </si>
  <si>
    <t>En améliorant les conditions des travailleurs du numérique</t>
  </si>
  <si>
    <t>3.6</t>
  </si>
  <si>
    <t>En s’inscrivant résolument dans des dispositifs d’éthique algorithmique sur l’utilisation et la protection des données, notamment au regard de l’intelligence artificielle</t>
  </si>
  <si>
    <t>3.7</t>
  </si>
  <si>
    <t>En déployant et valorisant la démarche RSE</t>
  </si>
  <si>
    <t xml:space="preserve">ONR 4 : Résilience et stratégie · S'engager vers un numérique responsable, indispensable pour assurer la résilience des organisations</t>
  </si>
  <si>
    <t>4.1</t>
  </si>
  <si>
    <t>En respectant l'application des normes communes pour collecter, rassembler, analyser et partager les données sur les impacts des Technologies de l’Information et de la Communication (TIC).</t>
  </si>
  <si>
    <t>4.2</t>
  </si>
  <si>
    <t>En évaluant nos services numériques dans la durée, et en partageant les résultats de ces évaluations</t>
  </si>
  <si>
    <t>4.3</t>
  </si>
  <si>
    <t>En restant innovant dans l’utilisation de nouveaux outils numériques et assurer leur analyse d'impact avec transparence et visibilité pour les utilisateurs</t>
  </si>
  <si>
    <t>4.4</t>
  </si>
  <si>
    <t>En permettant et en garantissant plus de souveraineté numérique</t>
  </si>
  <si>
    <t xml:space="preserve">ONR 5 : Management · S'engager à faire les choses avec sens en respectant et en préservant les ressources qui produisent</t>
  </si>
  <si>
    <t>5.1</t>
  </si>
  <si>
    <t>En incluant l’innovation sociale dans la définition de nouveaux systèmes et services numériques.</t>
  </si>
  <si>
    <t>5.2</t>
  </si>
  <si>
    <t>En valorisant les initiatives internes qui mobilisent l’organisation, favorisent les collaborations transversales et le bien-être au travail.</t>
  </si>
  <si>
    <t>5.3</t>
  </si>
  <si>
    <t>En sollicitant l’engagement et l’expertise des parties prenantes (sur les sujets environnementaux, sociaux et sociétaux)</t>
  </si>
  <si>
    <t>5.4</t>
  </si>
  <si>
    <t>En permettant aux générations futures d’innover pour construire un monde ouvert à l’autre soucieux de l’équilibre des écosystèmes et du bien-vivre ensemble.</t>
  </si>
  <si>
    <t>5.5</t>
  </si>
  <si>
    <t>En suivant les indicateurs de performances et de conformité</t>
  </si>
  <si>
    <t>5.6</t>
  </si>
  <si>
    <t>En proposant des axes d’amélioration et d'innovation autour du NR ( y compris s'ils ne sont pas numériques )</t>
  </si>
  <si>
    <t>Tableau de priorisation des cibles</t>
  </si>
  <si>
    <t>État de la situation actuelle</t>
  </si>
  <si>
    <t>Résultats détaillés</t>
  </si>
  <si>
    <t>Mise en œuvre des actions</t>
  </si>
  <si>
    <t>Analyse des Forces, Faiblesses, Opportunités et Menaces (FFOM)</t>
  </si>
  <si>
    <t>Enjeux locaux associés à la cible</t>
  </si>
  <si>
    <t>Mesures et actions déjà en place</t>
  </si>
  <si>
    <t>Stratégies d'action pouvant contribuer à l'atteinte de la cible et proposées lors de l'analyse</t>
  </si>
  <si>
    <t>Forces et faiblesses en regard de la cible</t>
  </si>
  <si>
    <t>Opportunités et menaces en regard de la cible</t>
  </si>
  <si>
    <t>ODD</t>
  </si>
  <si>
    <t>Nombre de cibles</t>
  </si>
  <si>
    <t>Nombre de cibles analysées</t>
  </si>
  <si>
    <t>Cible non complétée</t>
  </si>
  <si>
    <t>Nombre de cibles urgentes</t>
  </si>
  <si>
    <t>Nombre de cibles prioritaires</t>
  </si>
  <si>
    <t>Nombre de cibles à moyen terme</t>
  </si>
  <si>
    <t>Nombre de cibles à long terme</t>
  </si>
  <si>
    <t>Nombre de cibles à consolider</t>
  </si>
  <si>
    <t>Nombre de cibles non prioritaires</t>
  </si>
  <si>
    <t>Nombre de cibles non pertinentes</t>
  </si>
  <si>
    <t>Non complétées</t>
  </si>
  <si>
    <t>Urgentes</t>
  </si>
  <si>
    <t>Prioritaires</t>
  </si>
  <si>
    <t>À moyen terme</t>
  </si>
  <si>
    <t>À long terme</t>
  </si>
  <si>
    <t>À consolider</t>
  </si>
  <si>
    <t>Non prioritaires</t>
  </si>
  <si>
    <t>Non pertinentes</t>
  </si>
  <si>
    <t>Résultats synthèse</t>
  </si>
  <si>
    <t xml:space="preserve">TOTAL DES CIBLES POUR LES 5 ONR	</t>
  </si>
  <si>
    <t>ENVIRONNEMENT</t>
  </si>
  <si>
    <t>ACCESSIBILITÉ</t>
  </si>
  <si>
    <t>ÉTHIQUE</t>
  </si>
  <si>
    <t>RÉSILIENCE</t>
  </si>
  <si>
    <t>VALEURS</t>
  </si>
  <si>
    <t>Adhérence</t>
  </si>
  <si>
    <t>En intégrant le cycle de vie complet des équipements et logiciels pour le mettre au service de la transition énergétique</t>
  </si>
  <si>
    <t xml:space="preserve">Compétences </t>
  </si>
  <si>
    <t>Compétences</t>
  </si>
  <si>
    <t>En sollicitant l’engagement et l’expertise des parties prenantes (sur les sujets environnementaux, sociaux et sociétaux)</t>
  </si>
  <si>
    <t>Enjeux (opportunités et menaces) : Opportunité de réduire l'empreinte carbone globale de l'organisation et d'anticiper les futures réglementations environnementales. La menace est le coût initial potentiellement plus élevé d'équipements éco-conçus.</t>
  </si>
  <si>
    <t>Actuellement, le seul critère pris en compte lors des achats est le prix direct. Aucune analyse du cycle de vie (ACV) n'est demandée aux fournisseurs lors des appels d'offres</t>
  </si>
  <si>
    <t>Faiblesse : manque de connaissances de l'équipe Achats sur les labels environnementaux informatiques. Force : volonté forte de la direction des achats d'évoluer vers des pratiques durables</t>
  </si>
  <si>
    <t>Former l'équipe Achats aux critères du Numérique Responsable (labels TCO, EPEAT). Intégrer une pondération environnementale de 15% dans les prochains appels d'offres de renouvellement de serveurs</t>
  </si>
  <si>
    <t>Enjeux (opportunités et menaces) : Opportunité de faire des économies budgétaires significatives (CAPEX) et de réduire drastiquement la production de déchets électroniques (DEEE).</t>
  </si>
  <si>
    <t>La durée de renouvellement standard des ordinateurs portables est passée de 3 ans à 4 ans l'année dernière. Un contrat de maintenance est en place.</t>
  </si>
  <si>
    <t>Force : capacité technique à réparer en interne. Faiblesse : pression psychologique de certains utilisateurs exigeant du matériel neuf et esthétique.</t>
  </si>
  <si>
    <t>Allonger la politique d'amortissement à 5 ans minimum. Créer un stock de pièces détachées pour faciliter les réparations rapides. Lancer une campagne de communication interne pour valoriser l'impact carbone évité en gardant son ordinateur plus longtemps</t>
  </si>
  <si>
    <t>Enjeux (opportunités et menaces) : L'opportunité est de maîtriser les coûts (d'infrastructure ou d'API) et de réduire l'empreinte carbone (très élevée) liée à l'entraînement et à l'utilisation quotidienne de l'IA. La menace principale est l'"effet de mode" : vouloir intégrer de l'IA partout, même quand un algorithme classique ou une simple automatisation suffirait, ce qui ferait exploser la consommation de ressources</t>
  </si>
  <si>
    <t>Actuellement, plusieurs projets d'IA générative (type ChatGPT) sont testés par les métiers, mais aucune mesure de leur impact énergétique n'est réalisée et aucune charte d'utilisation n'encadre le besoin réel</t>
  </si>
  <si>
    <t>Force : Une équipe Data/IT curieuse et compétente techniquement. Faiblesse : Manque total de connaissances sur les concepts de "Green AI" (comment mesurer la consommation d'un modèle, comment l'optimiser) et manque de recul critique sur l'utilité réelle de l'IA pour certains cas d'usage</t>
  </si>
  <si>
    <t>1. Créer une grille d'évaluation préalable (Go/No-Go) pour chaque nouveau projet : l'IA est-elle indispensable ou une méthode informatique classique suffit-elle ?
2. Privilégier des modèles plus petits et spécialisés (Small Language Models) plutôt que de faire appel à des modèles massifs et très énergivores pour des tâches simples.
3. Sensibiliser les développeurs et les data scientists aux techniques d'éco-conception logicielle appliquées à l'IA (optimisation du code, limitation des calculs redondants)</t>
  </si>
  <si>
    <t>Enjeux (opportunités et menaces) : L'opportunité est de réduire drastiquement l'empreinte environnementale des services dès leur création (démarche d'éco-conception) tout en améliorant l'expérience utilisateur (des sites plus légers chargent plus vite). Aligner les projets sur les ODD de l'ONU renforce également l'impact positif de l'organisation. La menace est la "dette technique" et la création d'"obésiciels" (logiciels inutilement lourds) qui forceront les utilisateurs à renouveler leur matériel plus vite.</t>
  </si>
  <si>
    <t>Documentation et mesures en place : Actuellement, les nouveaux services numériques ou sites web sont validés uniquement sur des critères fonctionnels, graphiques et financiers. Le "poids" informatique des pages et l'impact environnemental du code ne sont pas mesurés.</t>
  </si>
  <si>
    <t>Force : Une équipe de développeurs et de chefs de produit très motivée par les enjeux RSE. Faiblesse : Manque de formation sur les référentiels d'éco-conception (comme le RGESN en France) et méconnaissance de la méthode pour lier concrètement un projet numérique aux ODD de l'ONU.</t>
  </si>
  <si>
    <t>1. Former les équipes (Designers, Développeurs, Chefs de projet) aux bonnes pratiques de l'éco-conception numérique.
2. Modifier les cahiers des charges (appels d'offres) : imposer des critères de performance environnementale aux prestataires qui créent les futurs sites ou applications de l'organisation (ex: limite de poids des images, optimisation des requêtes serveurs).
3. Créer une grille d'impact : pour chaque nouveau projet numérique, évaluer formellement à quel(s) Objectif(s) de Développement Durable (ODD) il contribue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</si>
</sst>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0C]d\ mmm\ yyyy;@"/>
    <numFmt numFmtId="165" formatCode="0.0%"/>
    <numFmt numFmtId="166" formatCode="0"/>
  </numFmts>
  <fonts count="245">
    <font>
      <sz val="10"/>
      <name val="Helv"/>
    </font>
    <font>
      <sz val="10"/>
      <name val="Helv"/>
    </font>
    <font>
      <b/>
      <sz val="12"/>
      <name val="Arial"/>
      <family val="2"/>
    </font>
    <font>
      <u/>
      <sz val="10"/>
      <color theme="10"/>
      <name val="Helv"/>
    </font>
    <font>
      <u/>
      <sz val="10"/>
      <color theme="11"/>
      <name val="Helv"/>
    </font>
    <font>
      <sz val="9"/>
      <color indexed="8"/>
      <name val="Arial"/>
      <family val="2"/>
    </font>
    <font>
      <b/>
      <sz val="9"/>
      <color indexed="8"/>
      <name val="Arial"/>
      <family val="2"/>
    </font>
    <font>
      <b/>
      <sz val="12"/>
      <color indexed="8"/>
      <name val="Arial"/>
      <family val="2"/>
    </font>
    <font>
      <sz val="13"/>
      <color indexed="8"/>
      <name val="Arial"/>
      <family val="2"/>
    </font>
    <font>
      <b/>
      <sz val="16"/>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name val="Arial"/>
      <family val="2"/>
    </font>
    <font>
      <sz val="11"/>
      <color indexed="81"/>
      <name val="Tahoma"/>
      <family val="2"/>
    </font>
    <font>
      <b/>
      <sz val="14"/>
      <color indexed="8"/>
      <name val="Arial"/>
      <family val="2"/>
    </font>
    <font>
      <b/>
      <sz val="18"/>
      <name val="Arial"/>
      <family val="2"/>
    </font>
    <font>
      <sz val="12"/>
      <color indexed="8"/>
      <name val="Arial"/>
      <family val="2"/>
    </font>
    <font>
      <sz val="17"/>
      <color indexed="8"/>
      <name val="Arial"/>
      <family val="2"/>
    </font>
    <font>
      <b/>
      <sz val="17"/>
      <color indexed="8"/>
      <name val="Arial"/>
      <family val="2"/>
    </font>
    <font>
      <sz val="36"/>
      <name val="Arial"/>
      <family val="2"/>
    </font>
    <font>
      <sz val="12"/>
      <name val="Cambria"/>
      <family val="1"/>
      <scheme val="major"/>
    </font>
    <font>
      <b/>
      <sz val="18"/>
      <color theme="1"/>
      <name val="Calibri"/>
      <family val="2"/>
      <scheme val="minor"/>
    </font>
    <font>
      <b/>
      <sz val="18"/>
      <name val="Calibri"/>
      <family val="2"/>
      <scheme val="minor"/>
    </font>
    <font>
      <sz val="32"/>
      <name val="Arial"/>
      <family val="2"/>
    </font>
    <font>
      <b/>
      <sz val="20"/>
      <name val="Arial"/>
      <family val="2"/>
    </font>
    <font>
      <sz val="10"/>
      <color theme="0"/>
      <name val="Helv"/>
    </font>
    <font>
      <sz val="12"/>
      <color indexed="81"/>
      <name val="Tahoma"/>
      <family val="2"/>
    </font>
    <font>
      <b/>
      <sz val="10"/>
      <color theme="0"/>
      <name val="Helv"/>
    </font>
    <font>
      <sz val="28"/>
      <name val="Segoe UI Light"/>
      <family val="2"/>
    </font>
    <font>
      <sz val="9"/>
      <name val="Arial"/>
      <family val="2"/>
    </font>
    <font>
      <sz val="10"/>
      <color rgb="FF000000"/>
      <name val="Helv"/>
    </font>
    <font>
      <b/>
      <sz val="14"/>
      <name val="Arial"/>
      <family val="2"/>
    </font>
    <font>
      <sz val="14"/>
      <color indexed="8"/>
      <name val="Arial"/>
      <family val="2"/>
    </font>
    <font>
      <b/>
      <sz val="16"/>
      <color indexed="8"/>
      <name val="Arial"/>
      <family val="2"/>
    </font>
    <font>
      <sz val="16"/>
      <color indexed="8"/>
      <name val="Arial"/>
      <family val="2"/>
    </font>
    <font>
      <b/>
      <sz val="16"/>
      <color theme="1"/>
      <name val="Arial"/>
      <family val="2"/>
    </font>
    <font>
      <b/>
      <sz val="16"/>
      <name val="Arial"/>
      <family val="2"/>
    </font>
    <font>
      <sz val="11"/>
      <color rgb="FF000000"/>
      <name val="Tahoma"/>
      <family val="2"/>
    </font>
    <font>
      <sz val="12"/>
      <color rgb="FF000000"/>
      <name val="Tahoma"/>
      <family val="2"/>
    </font>
    <font>
      <sz val="14"/>
      <name val="Arial"/>
      <family val="2"/>
    </font>
    <font>
      <sz val="8"/>
      <name val="Helv"/>
    </font>
    <font>
      <b/>
      <sz val="14"/>
      <color rgb="FF000000"/>
      <name val="Arial"/>
      <family val="2"/>
    </font>
    <font>
      <sz val="10"/>
      <color rgb="FF000000"/>
      <name val="Tahoma"/>
      <family val="2"/>
    </font>
    <font>
      <b/>
      <sz val="14"/>
      <color theme="1"/>
      <name val="Arial"/>
      <family val="2"/>
    </font>
    <font>
      <sz val="16"/>
      <color theme="1"/>
      <name val="Arial"/>
      <family val="2"/>
    </font>
    <font>
      <sz val="16"/>
      <name val="Arial"/>
      <family val="2"/>
    </font>
    <font>
      <b/>
      <sz val="12"/>
      <color theme="1"/>
      <name val="Arial"/>
      <family val="2"/>
    </font>
    <font>
      <sz val="14"/>
      <color theme="0"/>
      <name val="Arial"/>
      <family val="2"/>
    </font>
    <font>
      <b/>
      <sz val="12"/>
      <color theme="0"/>
      <name val="Calibri"/>
      <family val="2"/>
      <scheme val="minor"/>
    </font>
    <font>
      <sz val="12"/>
      <color theme="0"/>
      <name val="Calibri"/>
      <family val="2"/>
      <scheme val="minor"/>
    </font>
    <font>
      <b/>
      <sz val="12"/>
      <color theme="0"/>
      <name val="Arial"/>
      <family val="2"/>
    </font>
    <font>
      <b/>
      <sz val="18"/>
      <color theme="0"/>
      <name val="Calibri"/>
      <family val="2"/>
      <scheme val="minor"/>
    </font>
    <font>
      <sz val="12"/>
      <color theme="0"/>
      <name val="Cambria"/>
      <family val="1"/>
      <scheme val="major"/>
    </font>
    <font>
      <b/>
      <sz val="12"/>
      <color rgb="FF000000"/>
      <name val="Arial"/>
      <family val="2"/>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1"/>
      <color rgb="FF243746"/>
      <name val="Arial"/>
    </font>
    <font>
      <b/>
      <sz val="20"/>
      <color rgb="FF243746"/>
      <name val="Arial"/>
    </font>
    <font>
      <sz val="11"/>
      <color rgb="FF52616B"/>
      <name val="Arial"/>
    </font>
    <font>
      <b/>
      <sz val="11"/>
      <color rgb="FFFFFFFF"/>
      <name val="Arial"/>
    </font>
    <font>
      <b/>
      <sz val="11"/>
      <color rgb="FF243746"/>
      <name val="Arial"/>
    </font>
    <font>
      <sz val="10"/>
      <color rgb="FF52616B"/>
      <name val="Arial"/>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0"/>
      <name val="Helv"/>
    </font>
    <font>
      <sz val="10"/>
      <name val="Helv"/>
    </font>
    <font>
      <b/>
      <sz val="12"/>
      <name val="Arial"/>
    </font>
    <font>
      <sz val="10"/>
      <color theme="10"/>
      <name val="Helv"/>
    </font>
    <font>
      <sz val="10"/>
      <color theme="11"/>
      <name val="Helv"/>
    </font>
    <font>
      <sz val="9"/>
      <color indexed="8"/>
      <name val="Arial"/>
    </font>
    <font>
      <b/>
      <sz val="9"/>
      <color indexed="8"/>
      <name val="Arial"/>
    </font>
    <font>
      <b/>
      <sz val="12"/>
      <color indexed="8"/>
      <name val="Arial"/>
    </font>
    <font>
      <sz val="13"/>
      <color indexed="8"/>
      <name val="Arial"/>
    </font>
    <font>
      <b/>
      <sz val="16"/>
      <color theme="1"/>
      <name val="Calibri"/>
    </font>
    <font>
      <b/>
      <sz val="20"/>
      <color theme="1"/>
      <name val="Calibri"/>
    </font>
    <font>
      <b/>
      <sz val="12"/>
      <color theme="1"/>
      <name val="Calibri"/>
    </font>
    <font>
      <b/>
      <sz val="12"/>
      <name val="Calibri"/>
    </font>
    <font>
      <sz val="12"/>
      <name val="Calibri"/>
    </font>
    <font>
      <sz val="12"/>
      <name val="Arial"/>
    </font>
    <font>
      <sz val="11"/>
      <color indexed="81"/>
      <name val="Tahoma"/>
    </font>
    <font>
      <b/>
      <sz val="14"/>
      <color indexed="8"/>
      <name val="Arial"/>
    </font>
    <font>
      <b/>
      <sz val="18"/>
      <name val="Arial"/>
    </font>
    <font>
      <sz val="12"/>
      <color indexed="8"/>
      <name val="Arial"/>
    </font>
    <font>
      <sz val="17"/>
      <color indexed="8"/>
      <name val="Arial"/>
    </font>
    <font>
      <b/>
      <sz val="17"/>
      <color indexed="8"/>
      <name val="Arial"/>
    </font>
    <font>
      <sz val="36"/>
      <name val="Arial"/>
    </font>
    <font>
      <sz val="12"/>
      <name val="Cambria"/>
    </font>
    <font>
      <b/>
      <sz val="18"/>
      <color theme="1"/>
      <name val="Calibri"/>
    </font>
    <font>
      <b/>
      <sz val="18"/>
      <name val="Calibri"/>
    </font>
    <font>
      <sz val="32"/>
      <name val="Arial"/>
    </font>
    <font>
      <b/>
      <sz val="20"/>
      <name val="Arial"/>
    </font>
    <font>
      <sz val="10"/>
      <color theme="0"/>
      <name val="Helv"/>
    </font>
    <font>
      <sz val="12"/>
      <color indexed="81"/>
      <name val="Tahoma"/>
    </font>
    <font>
      <b/>
      <sz val="10"/>
      <color theme="0"/>
      <name val="Helv"/>
    </font>
    <font>
      <sz val="28"/>
      <name val="Segoe UI Light"/>
    </font>
    <font>
      <sz val="9"/>
      <name val="Arial"/>
    </font>
    <font>
      <sz val="10"/>
      <color rgb="FF000000"/>
      <name val="Helv"/>
    </font>
    <font>
      <b/>
      <sz val="14"/>
      <name val="Arial"/>
    </font>
    <font>
      <sz val="14"/>
      <color indexed="8"/>
      <name val="Arial"/>
    </font>
    <font>
      <b/>
      <sz val="16"/>
      <color indexed="8"/>
      <name val="Arial"/>
    </font>
    <font>
      <sz val="16"/>
      <color indexed="8"/>
      <name val="Arial"/>
    </font>
    <font>
      <b/>
      <sz val="16"/>
      <color theme="1"/>
      <name val="Arial"/>
    </font>
    <font>
      <b/>
      <sz val="16"/>
      <name val="Arial"/>
    </font>
    <font>
      <sz val="11"/>
      <color rgb="FF000000"/>
      <name val="Tahoma"/>
    </font>
    <font>
      <sz val="12"/>
      <color rgb="FF000000"/>
      <name val="Tahoma"/>
    </font>
    <font>
      <sz val="14"/>
      <name val="Arial"/>
    </font>
    <font>
      <sz val="8"/>
      <name val="Helv"/>
    </font>
    <font>
      <b/>
      <sz val="14"/>
      <color rgb="FF000000"/>
      <name val="Arial"/>
    </font>
    <font>
      <sz val="10"/>
      <color rgb="FF000000"/>
      <name val="Tahoma"/>
    </font>
    <font>
      <b/>
      <sz val="14"/>
      <color theme="1"/>
      <name val="Arial"/>
    </font>
    <font>
      <sz val="16"/>
      <color theme="1"/>
      <name val="Arial"/>
    </font>
    <font>
      <sz val="16"/>
      <name val="Arial"/>
    </font>
    <font>
      <b/>
      <sz val="12"/>
      <color theme="1"/>
      <name val="Arial"/>
    </font>
    <font>
      <sz val="14"/>
      <color theme="0"/>
      <name val="Arial"/>
    </font>
    <font>
      <b/>
      <sz val="12"/>
      <color theme="0"/>
      <name val="Calibri"/>
    </font>
    <font>
      <sz val="12"/>
      <color theme="0"/>
      <name val="Calibri"/>
    </font>
    <font>
      <b/>
      <sz val="12"/>
      <color theme="0"/>
      <name val="Arial"/>
    </font>
    <font>
      <b/>
      <sz val="18"/>
      <color theme="0"/>
      <name val="Calibri"/>
    </font>
    <font>
      <sz val="12"/>
      <color theme="0"/>
      <name val="Cambria"/>
    </font>
    <font>
      <b/>
      <sz val="12"/>
      <color rgb="FF000000"/>
      <name val="Arial"/>
    </font>
    <font>
      <sz val="11"/>
      <color rgb="FF243746"/>
      <name val="Arial"/>
    </font>
    <font>
      <b/>
      <sz val="20"/>
      <color rgb="FF243746"/>
      <name val="Arial"/>
    </font>
    <font>
      <sz val="11"/>
      <color rgb="FF52616B"/>
      <name val="Arial"/>
    </font>
    <font>
      <b/>
      <sz val="11"/>
      <color rgb="FFFFFFFF"/>
      <name val="Arial"/>
    </font>
    <font>
      <b/>
      <sz val="11"/>
      <color rgb="FF243746"/>
      <name val="Arial"/>
    </font>
    <font>
      <sz val="10"/>
      <color rgb="FF52616B"/>
      <name val="Arial"/>
    </font>
    <font>
      <sz val="11"/>
      <color rgb="FF000000"/>
      <name val="Arial"/>
    </font>
    <font>
      <b/>
      <sz val="11"/>
      <color rgb="FF000000"/>
      <name val="Arial"/>
    </font>
    <font>
      <sz val="11"/>
      <color rgb="FF000000"/>
      <name val="Arial"/>
    </font>
    <font>
      <b/>
      <sz val="18"/>
      <color rgb="FF000000"/>
      <name val="Arial"/>
    </font>
    <font>
      <b/>
      <sz val="12"/>
      <color rgb="FFFFFFFF"/>
      <name val="Arial"/>
    </font>
    <font>
      <b/>
      <sz val="11"/>
      <color rgb="FF404040"/>
      <name val="Arial"/>
    </font>
    <font>
      <b/>
      <sz val="22"/>
      <color rgb="FF000000"/>
      <name val="Arial"/>
    </font>
    <font>
      <sz val="10"/>
      <color rgb="FF404040"/>
      <name val="Arial"/>
    </font>
    <font>
      <sz val="10"/>
      <color rgb="FF404040"/>
      <name val="Arial"/>
    </font>
  </fonts>
  <fills count="237">
    <fill>
      <patternFill patternType="none"/>
    </fill>
    <fill>
      <patternFill patternType="gray125"/>
    </fill>
    <fill>
      <patternFill patternType="gray0625"/>
    </fill>
    <fill>
      <patternFill patternType="lightGray"/>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rgb="FF7030A0"/>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59999389629810485"/>
        <bgColor theme="0"/>
      </patternFill>
    </fill>
    <fill>
      <patternFill patternType="solid">
        <fgColor theme="6" tint="0.59999389629810485"/>
        <bgColor theme="0"/>
      </patternFill>
    </fill>
    <fill>
      <patternFill patternType="solid">
        <fgColor theme="7" tint="0.59999389629810485"/>
        <bgColor theme="0"/>
      </patternFill>
    </fill>
    <fill>
      <patternFill patternType="solid">
        <fgColor theme="0"/>
        <bgColor theme="0"/>
      </patternFill>
    </fill>
    <fill>
      <patternFill patternType="solid">
        <fgColor indexed="65"/>
        <bgColor theme="0"/>
      </patternFill>
    </fill>
    <fill>
      <patternFill patternType="solid">
        <fgColor theme="4" tint="0.79998168889431442"/>
        <bgColor theme="0"/>
      </patternFill>
    </fill>
    <fill>
      <patternFill patternType="solid">
        <fgColor theme="0"/>
        <bgColor theme="0" tint="-0.34998626667073579"/>
      </patternFill>
    </fill>
    <fill>
      <patternFill patternType="solid">
        <fgColor theme="9" tint="0.59999389629810485"/>
        <bgColor theme="0" tint="-0.34998626667073579"/>
      </patternFill>
    </fill>
    <fill>
      <patternFill patternType="solid">
        <fgColor theme="6" tint="0.59999389629810485"/>
        <bgColor theme="0" tint="-0.34998626667073579"/>
      </patternFill>
    </fill>
    <fill>
      <patternFill patternType="solid">
        <fgColor theme="7" tint="0.59999389629810485"/>
        <bgColor theme="0" tint="-0.34998626667073579"/>
      </patternFill>
    </fill>
    <fill>
      <patternFill patternType="solid">
        <fgColor indexed="65"/>
        <bgColor theme="0" tint="-0.34998626667073579"/>
      </patternFill>
    </fill>
    <fill>
      <patternFill patternType="solid">
        <fgColor theme="4" tint="0.79998168889431442"/>
        <bgColor theme="0" tint="-0.34998626667073579"/>
      </patternFill>
    </fill>
    <fill>
      <patternFill patternType="solid">
        <fgColor theme="4" tint="0.79995117038483843"/>
        <bgColor theme="0" tint="-0.34998626667073579"/>
      </patternFill>
    </fill>
    <fill>
      <patternFill patternType="solid">
        <fgColor theme="8" tint="0.59999389629810485"/>
        <bgColor indexed="64"/>
      </patternFill>
    </fill>
    <fill>
      <patternFill patternType="solid">
        <fgColor theme="8" tint="0.59999389629810485"/>
        <bgColor theme="0"/>
      </patternFill>
    </fill>
    <fill>
      <patternFill patternType="solid">
        <fgColor theme="4"/>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
      <patternFill patternType="solid">
        <fgColor rgb="FFED7D31"/>
        <bgColor indexed="64"/>
      </patternFill>
    </fill>
    <fill>
      <patternFill patternType="solid">
        <fgColor rgb="FF70AD47"/>
        <bgColor indexed="64"/>
      </patternFill>
    </fill>
    <fill>
      <patternFill patternType="solid">
        <fgColor indexed="65"/>
        <bgColor indexed="64"/>
      </patternFill>
    </fill>
    <fill>
      <patternFill patternType="solid">
        <fgColor theme="8" tint="0.59999389629810485"/>
        <bgColor theme="0" tint="-0.34998626667073579"/>
      </patternFill>
    </fill>
    <fill>
      <patternFill patternType="solid">
        <fgColor theme="2"/>
        <bgColor indexed="64"/>
      </patternFill>
    </fill>
    <fill>
      <patternFill patternType="solid">
        <fgColor theme="2"/>
        <bgColor theme="0" tint="-0.34998626667073579"/>
      </patternFill>
    </fill>
    <fill>
      <patternFill patternType="solid">
        <fgColor rgb="FFCCC0DA"/>
        <bgColor rgb="FF000000"/>
      </patternFill>
    </fill>
    <fill>
      <patternFill patternType="solid">
        <fgColor theme="0" tint="-0.14999847407452621"/>
        <bgColor rgb="FF000000"/>
      </patternFill>
    </fill>
    <fill>
      <patternFill patternType="solid">
        <fgColor theme="8"/>
        <bgColor indexed="64"/>
      </patternFill>
    </fill>
    <fill>
      <patternFill patternType="solid">
        <fgColor theme="8"/>
        <bgColor rgb="FF000000"/>
      </patternFill>
    </fill>
    <fill>
      <patternFill patternType="solid">
        <fgColor theme="8"/>
        <bgColor theme="0"/>
      </patternFill>
    </fill>
    <fill>
      <patternFill patternType="solid">
        <fgColor theme="8"/>
        <bgColor theme="0" tint="-0.34998626667073579"/>
      </patternFill>
    </fill>
    <fill>
      <patternFill patternType="solid">
        <fgColor theme="0" tint="-0.14999847407452621"/>
        <bgColor theme="0" tint="-0.34998626667073579"/>
      </patternFill>
    </fill>
    <fill>
      <patternFill patternType="solid">
        <fgColor theme="0" tint="-0.14999847407452621"/>
        <bgColor theme="0"/>
      </patternFill>
    </fill>
    <fill>
      <patternFill patternType="solid">
        <fgColor theme="8" tint="0.39997558519241921"/>
        <bgColor indexed="64"/>
      </patternFill>
    </fill>
    <fill>
      <patternFill patternType="solid">
        <fgColor theme="8" tint="0.39997558519241921"/>
        <bgColor theme="0" tint="-0.34998626667073579"/>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solid">
        <fgColor rgb="FF344B5C"/>
      </patternFill>
    </fill>
    <fill>
      <patternFill patternType="solid">
        <fgColor rgb="FFE5EBEF"/>
      </patternFill>
    </fill>
    <fill>
      <patternFill patternType="solid">
        <fgColor rgb="FFF3F6F8"/>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none"/>
    </fill>
    <fill>
      <patternFill patternType="gray125"/>
    </fill>
    <fill>
      <patternFill patternType="gray0625"/>
    </fill>
    <fill>
      <patternFill patternType="lightGray"/>
    </fill>
    <fill>
      <patternFill patternType="solid">
        <fgColor theme="0"/>
      </patternFill>
    </fill>
    <fill>
      <patternFill patternType="solid">
        <fgColor theme="0" tint="-0.15"/>
      </patternFill>
    </fill>
    <fill>
      <patternFill patternType="solid">
        <fgColor theme="5" tint="0.59999"/>
      </patternFill>
    </fill>
    <fill>
      <patternFill patternType="solid">
        <fgColor rgb="FFFF0000"/>
      </patternFill>
    </fill>
    <fill>
      <patternFill patternType="solid">
        <fgColor rgb="FFFFFF00"/>
      </patternFill>
    </fill>
    <fill>
      <patternFill patternType="solid">
        <fgColor rgb="FF92D050"/>
      </patternFill>
    </fill>
    <fill>
      <patternFill patternType="solid">
        <fgColor theme="3" tint="0.39998"/>
      </patternFill>
    </fill>
    <fill>
      <patternFill patternType="solid">
        <fgColor rgb="FF7030A0"/>
      </patternFill>
    </fill>
    <fill>
      <patternFill patternType="solid">
        <fgColor theme="0" tint="-0.24998"/>
      </patternFill>
    </fill>
    <fill>
      <patternFill patternType="solid">
        <fgColor theme="9" tint="-0.24998"/>
      </patternFill>
    </fill>
    <fill>
      <patternFill patternType="solid">
        <fgColor theme="9" tint="0.59999"/>
      </patternFill>
    </fill>
    <fill>
      <patternFill patternType="solid">
        <fgColor theme="6" tint="0.59999"/>
      </patternFill>
    </fill>
    <fill>
      <patternFill patternType="solid">
        <fgColor theme="4" tint="0.79998"/>
      </patternFill>
    </fill>
    <fill>
      <patternFill patternType="solid">
        <fgColor theme="7" tint="0.59999"/>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theme="0"/>
      </patternFill>
    </fill>
    <fill>
      <patternFill patternType="solid">
        <fgColor indexed="65"/>
      </patternFill>
    </fill>
    <fill>
      <patternFill patternType="solid">
        <fgColor theme="4" tint="0.79998"/>
      </patternFill>
    </fill>
    <fill>
      <patternFill patternType="solid">
        <fgColor theme="0"/>
      </patternFill>
    </fill>
    <fill>
      <patternFill patternType="solid">
        <fgColor theme="9" tint="0.59999"/>
      </patternFill>
    </fill>
    <fill>
      <patternFill patternType="solid">
        <fgColor theme="6" tint="0.59999"/>
      </patternFill>
    </fill>
    <fill>
      <patternFill patternType="solid">
        <fgColor theme="7" tint="0.59999"/>
      </patternFill>
    </fill>
    <fill>
      <patternFill patternType="solid">
        <fgColor indexed="65"/>
      </patternFill>
    </fill>
    <fill>
      <patternFill patternType="solid">
        <fgColor theme="4" tint="0.79998"/>
      </patternFill>
    </fill>
    <fill>
      <patternFill patternType="solid">
        <fgColor theme="4" tint="0.79995"/>
      </patternFill>
    </fill>
    <fill>
      <patternFill patternType="solid">
        <fgColor theme="8" tint="0.59999"/>
      </patternFill>
    </fill>
    <fill>
      <patternFill patternType="solid">
        <fgColor theme="8" tint="0.59999"/>
      </patternFill>
    </fill>
    <fill>
      <patternFill patternType="solid">
        <fgColor theme="4"/>
      </patternFill>
    </fill>
    <fill>
      <patternFill patternType="solid">
        <fgColor theme="9"/>
      </patternFill>
    </fill>
    <fill>
      <patternFill patternType="solid">
        <fgColor rgb="FF00B0F0"/>
      </patternFill>
    </fill>
    <fill>
      <patternFill patternType="solid">
        <fgColor theme="7"/>
      </patternFill>
    </fill>
    <fill>
      <patternFill patternType="solid">
        <fgColor rgb="FFED7D31"/>
      </patternFill>
    </fill>
    <fill>
      <patternFill patternType="solid">
        <fgColor rgb="FF70AD47"/>
      </patternFill>
    </fill>
    <fill>
      <patternFill patternType="solid">
        <fgColor indexed="65"/>
      </patternFill>
    </fill>
    <fill>
      <patternFill patternType="solid">
        <fgColor theme="8" tint="0.59999"/>
      </patternFill>
    </fill>
    <fill>
      <patternFill patternType="solid">
        <fgColor theme="2"/>
      </patternFill>
    </fill>
    <fill>
      <patternFill patternType="solid">
        <fgColor theme="2"/>
      </patternFill>
    </fill>
    <fill>
      <patternFill patternType="solid">
        <fgColor rgb="FFCCC0DA"/>
      </patternFill>
    </fill>
    <fill>
      <patternFill patternType="solid">
        <fgColor theme="0" tint="-0.15"/>
      </patternFill>
    </fill>
    <fill>
      <patternFill patternType="solid">
        <fgColor theme="8"/>
      </patternFill>
    </fill>
    <fill>
      <patternFill patternType="solid">
        <fgColor theme="8"/>
      </patternFill>
    </fill>
    <fill>
      <patternFill patternType="solid">
        <fgColor theme="8"/>
      </patternFill>
    </fill>
    <fill>
      <patternFill patternType="solid">
        <fgColor theme="8"/>
      </patternFill>
    </fill>
    <fill>
      <patternFill patternType="solid">
        <fgColor theme="0" tint="-0.15"/>
      </patternFill>
    </fill>
    <fill>
      <patternFill patternType="solid">
        <fgColor theme="0" tint="-0.15"/>
      </patternFill>
    </fill>
    <fill>
      <patternFill patternType="solid">
        <fgColor theme="8" tint="0.39998"/>
      </patternFill>
    </fill>
    <fill>
      <patternFill patternType="solid">
        <fgColor theme="8" tint="0.39998"/>
      </patternFill>
    </fill>
    <fill>
      <patternFill patternType="solid">
        <fgColor rgb="FF344B5C"/>
      </patternFill>
    </fill>
    <fill>
      <patternFill patternType="solid">
        <fgColor rgb="FFE5EBEF"/>
      </patternFill>
    </fill>
    <fill>
      <patternFill patternType="solid">
        <fgColor rgb="FFF3F6F8"/>
      </patternFill>
    </fill>
    <fill>
      <patternFill patternType="solid">
        <fgColor rgb="FFD9D9D9"/>
      </patternFill>
    </fill>
    <fill>
      <patternFill patternType="solid">
        <fgColor rgb="FF4F81BD"/>
      </patternFill>
    </fill>
    <fill>
      <patternFill patternType="solid">
        <fgColor rgb="FF4BACC6"/>
      </patternFill>
    </fill>
    <fill>
      <patternFill patternType="solid">
        <fgColor rgb="FFCCC1DA"/>
      </patternFill>
    </fill>
    <fill>
      <patternFill patternType="solid">
        <fgColor rgb="FFE6B9B8"/>
      </patternFill>
    </fill>
    <fill>
      <patternFill patternType="solid">
        <fgColor rgb="FFF2F2F2"/>
      </patternFill>
    </fill>
    <fill>
      <patternFill patternType="solid">
        <fgColor rgb="FFFFFFFF"/>
      </patternFill>
    </fill>
    <fill>
      <patternFill patternType="solid">
        <fgColor rgb="FFFFF2CC"/>
      </patternFill>
    </fill>
    <fill>
      <patternFill patternType="solid">
        <fgColor rgb="FFF79646"/>
      </patternFill>
    </fill>
    <fill>
      <patternFill patternType="solid">
        <fgColor rgb="FF9BBB59"/>
      </patternFill>
    </fill>
    <fill>
      <patternFill patternType="solid">
        <fgColor rgb="FF00B0F0"/>
      </patternFill>
    </fill>
    <fill>
      <patternFill patternType="solid">
        <fgColor rgb="FF8064A2"/>
      </patternFill>
    </fill>
    <fill>
      <patternFill patternType="solid">
        <fgColor rgb="FFFF0000"/>
      </patternFill>
    </fill>
    <fill>
      <patternFill patternType="solid">
        <fgColor rgb="FFFFC000"/>
      </patternFill>
    </fill>
    <fill>
      <patternFill patternType="solid">
        <fgColor rgb="FFFFFF00"/>
      </patternFill>
    </fill>
    <fill>
      <patternFill patternType="solid">
        <fgColor rgb="FF00B050"/>
      </patternFill>
    </fill>
    <fill>
      <patternFill patternType="solid">
        <fgColor rgb="FFD9EAD3"/>
      </patternFill>
    </fill>
    <fill>
      <patternFill patternType="solid">
        <fgColor rgb="FF92D050"/>
      </patternFill>
    </fill>
    <fill>
      <patternFill patternType="solid">
        <fgColor rgb="FFF2EDF6"/>
      </patternFill>
    </fill>
  </fills>
  <borders count="228">
    <border>
      <left/>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top style="thin">
        <color auto="1"/>
      </top>
      <bottom style="thin">
        <color auto="1"/>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auto="1"/>
      </right>
      <top/>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style="thin">
        <color auto="1"/>
      </top>
      <bottom style="medium">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medium">
        <color indexed="64"/>
      </top>
      <bottom style="thin">
        <color auto="1"/>
      </bottom>
      <diagonal/>
    </border>
    <border>
      <left style="thin">
        <color auto="1"/>
      </left>
      <right style="double">
        <color indexed="64"/>
      </right>
      <top style="thin">
        <color auto="1"/>
      </top>
      <bottom style="thin">
        <color auto="1"/>
      </bottom>
      <diagonal/>
    </border>
    <border>
      <left style="medium">
        <color indexed="64"/>
      </left>
      <right/>
      <top/>
      <bottom/>
      <diagonal/>
    </border>
    <border>
      <left style="thin">
        <color auto="1"/>
      </left>
      <right style="double">
        <color indexed="64"/>
      </right>
      <top style="medium">
        <color indexed="64"/>
      </top>
      <bottom style="thin">
        <color auto="1"/>
      </bottom>
      <diagonal/>
    </border>
    <border>
      <left/>
      <right style="thin">
        <color auto="1"/>
      </right>
      <top style="medium">
        <color indexed="64"/>
      </top>
      <bottom/>
      <diagonal/>
    </border>
    <border>
      <left/>
      <right style="medium">
        <color indexed="64"/>
      </right>
      <top style="thin">
        <color auto="1"/>
      </top>
      <bottom style="medium">
        <color indexed="64"/>
      </bottom>
      <diagonal/>
    </border>
    <border>
      <left style="thin">
        <color auto="1"/>
      </left>
      <right/>
      <top/>
      <bottom style="thin">
        <color auto="1"/>
      </bottom>
      <diagonal/>
    </border>
    <border>
      <left style="thin">
        <color auto="1"/>
      </left>
      <right style="medium">
        <color indexed="64"/>
      </right>
      <top style="medium">
        <color indexed="64"/>
      </top>
      <bottom/>
      <diagonal/>
    </border>
    <border>
      <left style="thin">
        <color rgb="FF000000"/>
      </left>
      <right/>
      <top style="thin">
        <color rgb="FF000000"/>
      </top>
      <bottom style="thin">
        <color rgb="FF000000"/>
      </bottom>
      <diagonal/>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border>
      <left style="medium">
        <color auto="1"/>
      </left>
      <top style="medium">
        <color auto="1"/>
      </top>
      <bottom style="medium">
        <color auto="1"/>
      </bottom>
    </border>
    <border>
      <left style="medium">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top style="thin">
        <color auto="1"/>
      </top>
      <bottom style="medium">
        <color auto="1"/>
      </bottom>
    </border>
    <border>
      <left style="thin">
        <color auto="1"/>
      </left>
      <right style="medium">
        <color auto="1"/>
      </right>
      <top style="thin">
        <color auto="1"/>
      </top>
      <bottom style="medium">
        <color auto="1"/>
      </bottom>
    </border>
    <border>
      <top style="medium">
        <color auto="1"/>
      </top>
    </border>
    <border>
      <right style="medium">
        <color auto="1"/>
      </right>
      <top style="medium">
        <color auto="1"/>
      </top>
      <bottom style="medium">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style="thin">
        <color auto="1"/>
      </right>
      <top style="thin">
        <color auto="1"/>
      </top>
      <bottom style="medium">
        <color indexed="64"/>
      </bottom>
    </border>
    <border>
      <left style="medium">
        <color auto="1"/>
      </left>
      <right style="thin">
        <color auto="1"/>
      </right>
      <top style="thin">
        <color auto="1"/>
      </top>
    </border>
    <border>
      <left style="thin">
        <color auto="1"/>
      </left>
      <right style="thin">
        <color auto="1"/>
      </right>
      <top style="thin">
        <color auto="1"/>
      </top>
    </border>
    <border>
      <left style="thin">
        <color auto="1"/>
      </left>
      <right style="medium">
        <color auto="1"/>
      </right>
      <top style="thin">
        <color auto="1"/>
      </top>
    </border>
    <border>
      <left style="medium">
        <color auto="1"/>
      </left>
      <top style="medium">
        <color auto="1"/>
      </top>
      <bottom style="thin">
        <color auto="1"/>
      </bottom>
    </border>
    <border>
      <left style="medium">
        <color auto="1"/>
      </left>
      <top style="thin">
        <color auto="1"/>
      </top>
      <bottom style="thin">
        <color auto="1"/>
      </bottom>
    </border>
    <border>
      <left style="medium">
        <color auto="1"/>
      </left>
      <top style="thin">
        <color auto="1"/>
      </top>
      <bottom style="medium">
        <color auto="1"/>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auto="1"/>
      </left>
      <top style="thin">
        <color auto="1"/>
      </top>
      <bottom style="thin">
        <color auto="1"/>
      </bottom>
    </border>
    <border>
      <top style="medium">
        <color indexed="64"/>
      </top>
      <bottom style="medium">
        <color indexed="64"/>
      </bottom>
    </border>
    <border>
      <right style="thin">
        <color auto="1"/>
      </right>
      <top style="thin">
        <color auto="1"/>
      </top>
      <bottom style="thin">
        <color auto="1"/>
      </bottom>
    </border>
    <border>
      <left style="medium">
        <color auto="1"/>
      </left>
      <right style="thin">
        <color auto="1"/>
      </right>
      <bottom style="thin">
        <color auto="1"/>
      </bottom>
    </border>
    <border>
      <left style="thin">
        <color auto="1"/>
      </left>
      <right style="thin">
        <color auto="1"/>
      </right>
      <bottom style="thin">
        <color auto="1"/>
      </bottom>
    </border>
    <border>
      <left style="medium">
        <color indexed="64"/>
      </left>
      <right style="thin">
        <color auto="1"/>
      </right>
      <top style="medium">
        <color indexed="64"/>
      </top>
      <bottom style="medium">
        <color indexed="64"/>
      </bottom>
    </border>
    <border>
      <left style="thin">
        <color auto="1"/>
      </left>
      <right style="thin">
        <color auto="1"/>
      </right>
      <top style="medium">
        <color indexed="64"/>
      </top>
      <bottom style="medium">
        <color indexed="64"/>
      </bottom>
    </border>
    <border>
      <left style="thin">
        <color auto="1"/>
      </left>
      <right style="medium">
        <color indexed="64"/>
      </right>
      <top style="medium">
        <color indexed="64"/>
      </top>
      <bottom style="medium">
        <color indexed="64"/>
      </bottom>
    </border>
    <border>
      <right style="thin">
        <color auto="1"/>
      </right>
      <top style="medium">
        <color indexed="64"/>
      </top>
      <bottom style="thin">
        <color auto="1"/>
      </bottom>
    </border>
    <border>
      <left style="medium">
        <color auto="1"/>
      </left>
      <bottom style="thin">
        <color auto="1"/>
      </bottom>
    </border>
    <border>
      <bottom style="thin">
        <color auto="1"/>
      </bottom>
    </border>
    <border>
      <right style="thin">
        <color auto="1"/>
      </right>
      <top style="thin">
        <color auto="1"/>
      </top>
      <bottom style="medium">
        <color auto="1"/>
      </bottom>
    </border>
    <border>
      <left style="thin">
        <color auto="1"/>
      </left>
      <right style="thin">
        <color auto="1"/>
      </right>
      <top style="medium">
        <color indexed="64"/>
      </top>
    </border>
    <border>
      <left style="medium">
        <color indexed="64"/>
      </left>
      <right style="thin">
        <color indexed="64"/>
      </right>
    </border>
    <border>
      <left style="thin">
        <color indexed="64"/>
      </left>
      <right style="medium">
        <color indexed="64"/>
      </right>
    </border>
    <border>
      <right style="medium">
        <color auto="1"/>
      </right>
    </border>
    <border>
      <left style="thin">
        <color auto="1"/>
      </left>
      <top style="medium">
        <color auto="1"/>
      </top>
      <bottom style="thin">
        <color auto="1"/>
      </bottom>
    </border>
    <border>
      <left style="thin">
        <color auto="1"/>
      </left>
      <top style="thin">
        <color auto="1"/>
      </top>
    </border>
    <border>
      <left style="thin">
        <color auto="1"/>
      </left>
      <top style="thin">
        <color auto="1"/>
      </top>
      <bottom style="medium">
        <color indexed="64"/>
      </bottom>
    </border>
    <border>
      <left style="medium">
        <color auto="1"/>
      </left>
      <top style="medium">
        <color auto="1"/>
      </top>
    </border>
    <border>
      <right style="medium">
        <color auto="1"/>
      </right>
      <top style="medium">
        <color auto="1"/>
      </top>
    </border>
    <border>
      <left style="medium">
        <color auto="1"/>
      </left>
      <bottom style="medium">
        <color auto="1"/>
      </bottom>
    </border>
    <border>
      <right style="medium">
        <color auto="1"/>
      </right>
      <bottom style="medium">
        <color auto="1"/>
      </bottom>
    </border>
    <border>
      <top style="medium">
        <color indexed="64"/>
      </top>
      <bottom style="thin">
        <color auto="1"/>
      </bottom>
    </border>
    <border>
      <left style="thin">
        <color auto="1"/>
      </left>
      <right style="double">
        <color indexed="64"/>
      </right>
      <top style="thin">
        <color auto="1"/>
      </top>
      <bottom style="thin">
        <color auto="1"/>
      </bottom>
    </border>
    <border>
      <left style="medium">
        <color indexed="64"/>
      </left>
    </border>
    <border>
      <left style="thin">
        <color auto="1"/>
      </left>
      <right style="double">
        <color indexed="64"/>
      </right>
      <top style="medium">
        <color indexed="64"/>
      </top>
      <bottom style="thin">
        <color auto="1"/>
      </bottom>
    </border>
    <border>
      <right style="thin">
        <color auto="1"/>
      </right>
      <top style="medium">
        <color indexed="64"/>
      </top>
    </border>
    <border>
      <right style="medium">
        <color indexed="64"/>
      </right>
      <top style="thin">
        <color auto="1"/>
      </top>
      <bottom style="medium">
        <color indexed="64"/>
      </bottom>
    </border>
    <border>
      <left style="thin">
        <color auto="1"/>
      </left>
      <bottom style="thin">
        <color auto="1"/>
      </bottom>
    </border>
    <border>
      <left style="thin">
        <color auto="1"/>
      </left>
      <right style="medium">
        <color indexed="64"/>
      </right>
      <top style="medium">
        <color indexed="64"/>
      </top>
    </border>
    <border>
      <left style="thin">
        <color rgb="FF000000"/>
      </left>
      <top style="thin">
        <color rgb="FF000000"/>
      </top>
      <bottom style="thin">
        <color rgb="FF000000"/>
      </bottom>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thin">
        <color rgb="FF777777"/>
      </left>
      <right style="thin">
        <color rgb="FF777777"/>
      </right>
      <top style="thin">
        <color rgb="FF777777"/>
      </top>
      <bottom style="thin">
        <color rgb="FF777777"/>
      </bottom>
    </border>
    <border>
      <left style="thin">
        <color rgb="FFA6A6A6"/>
      </left>
      <right style="thin">
        <color rgb="FFA6A6A6"/>
      </right>
      <top style="thin">
        <color rgb="FFA6A6A6"/>
      </top>
      <bottom style="thin">
        <color rgb="FFA6A6A6"/>
      </bottom>
    </border>
    <border>
      <left style="thin">
        <color rgb="FF777777"/>
      </left>
      <top style="thin">
        <color rgb="FF777777"/>
      </top>
    </border>
    <border>
      <top style="thin">
        <color rgb="FF777777"/>
      </top>
    </border>
    <border>
      <right style="thin">
        <color rgb="FF777777"/>
      </right>
      <top style="thin">
        <color rgb="FF777777"/>
      </top>
    </border>
    <border>
      <left style="thin">
        <color rgb="FF777777"/>
      </left>
    </border>
    <border>
      <right style="thin">
        <color rgb="FF777777"/>
      </right>
    </border>
    <border>
      <left style="thin">
        <color rgb="FF777777"/>
      </left>
      <bottom style="thin">
        <color rgb="FF777777"/>
      </bottom>
    </border>
    <border>
      <bottom style="thin">
        <color rgb="FF777777"/>
      </bottom>
    </border>
    <border>
      <right style="thin">
        <color rgb="FF777777"/>
      </right>
      <bottom style="thin">
        <color rgb="FF777777"/>
      </bottom>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s>
  <cellStyleXfs count="80">
    <xf numFmtId="0" fontId="0" fillId="0" borderId="0"/>
    <xf numFmtId="4" fontId="1" fillId="0" borderId="0" applyFont="0" applyFill="0" applyBorder="0" applyAlignment="0" applyProtection="0"/>
    <xf numFmtId="0" fontId="1" fillId="2" borderId="0" applyNumberFormat="0" applyFont="0" applyBorder="0" applyAlignment="0" applyProtection="0"/>
    <xf numFmtId="0" fontId="1" fillId="1" borderId="0" applyNumberFormat="0" applyFont="0" applyBorder="0" applyAlignment="0" applyProtection="0"/>
    <xf numFmtId="0" fontId="1" fillId="3" borderId="0" applyNumberFormat="0" applyFont="0" applyBorder="0" applyAlignment="0" applyProtection="0"/>
    <xf numFmtId="0" fontId="1" fillId="0" borderId="0" applyNumberFormat="0" applyFont="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6" fillId="53" borderId="53"/>
    <xf numFmtId="4" fontId="57" fillId="53" borderId="53" applyFont="0" applyFill="0" applyBorder="0" applyAlignment="0" applyProtection="0"/>
    <xf numFmtId="0" fontId="57" fillId="55" borderId="53" applyNumberFormat="0" applyFont="0" applyBorder="0" applyAlignment="0" applyProtection="0"/>
    <xf numFmtId="0" fontId="57" fillId="54" borderId="53" applyNumberFormat="0" applyFont="0" applyBorder="0" applyAlignment="0" applyProtection="0"/>
    <xf numFmtId="0" fontId="57" fillId="56" borderId="53" applyNumberFormat="0" applyFont="0" applyBorder="0" applyAlignment="0" applyProtection="0"/>
    <xf numFmtId="0" fontId="57" fillId="53" borderId="53" applyNumberFormat="0" applyFont="0" applyBorder="0" applyAlignment="0" applyProtection="0"/>
    <xf numFmtId="0" fontId="59" fillId="53" borderId="53" applyNumberFormat="0" applyFill="0" applyBorder="0" applyAlignment="0" applyProtection="0"/>
    <xf numFmtId="0" fontId="60" fillId="53" borderId="53" applyNumberFormat="0" applyFill="0" applyBorder="0" applyAlignment="0" applyProtection="0"/>
    <xf numFmtId="0" fontId="59" fillId="53" borderId="53" applyNumberFormat="0" applyFill="0" applyBorder="0" applyAlignment="0" applyProtection="0"/>
    <xf numFmtId="0" fontId="60" fillId="53" borderId="53" applyNumberFormat="0" applyFill="0" applyBorder="0" applyAlignment="0" applyProtection="0"/>
    <xf numFmtId="0" fontId="59" fillId="53" borderId="53" applyNumberFormat="0" applyFill="0" applyBorder="0" applyAlignment="0" applyProtection="0"/>
    <xf numFmtId="0" fontId="60" fillId="53" borderId="53" applyNumberFormat="0" applyFill="0" applyBorder="0" applyAlignment="0" applyProtection="0"/>
    <xf numFmtId="0" fontId="59" fillId="53" borderId="53" applyNumberFormat="0" applyFill="0" applyBorder="0" applyAlignment="0" applyProtection="0"/>
    <xf numFmtId="0" fontId="60" fillId="53" borderId="53" applyNumberFormat="0" applyFill="0" applyBorder="0" applyAlignment="0" applyProtection="0"/>
    <xf numFmtId="0" fontId="59" fillId="53" borderId="53" applyNumberFormat="0" applyFill="0" applyBorder="0" applyAlignment="0" applyProtection="0"/>
    <xf numFmtId="0" fontId="60" fillId="53" borderId="53" applyNumberFormat="0" applyFill="0" applyBorder="0" applyAlignment="0" applyProtection="0"/>
    <xf numFmtId="0" fontId="59" fillId="53" borderId="53" applyNumberFormat="0" applyFill="0" applyBorder="0" applyAlignment="0" applyProtection="0"/>
    <xf numFmtId="0" fontId="60" fillId="53" borderId="53" applyNumberFormat="0" applyFill="0" applyBorder="0" applyAlignment="0" applyProtection="0"/>
    <xf numFmtId="0" fontId="59" fillId="53" borderId="53" applyNumberFormat="0" applyFill="0" applyBorder="0" applyAlignment="0" applyProtection="0"/>
    <xf numFmtId="0" fontId="60" fillId="53" borderId="53" applyNumberFormat="0" applyFill="0" applyBorder="0" applyAlignment="0" applyProtection="0"/>
    <xf numFmtId="0" fontId="118" fillId="109" borderId="106"/>
    <xf numFmtId="4" fontId="119" fillId="109" borderId="106" applyFont="0" applyFill="0" applyBorder="0" applyAlignment="0" applyProtection="0"/>
    <xf numFmtId="0" fontId="119" fillId="111" borderId="106" applyNumberFormat="0" applyFont="0" applyBorder="0" applyAlignment="0" applyProtection="0"/>
    <xf numFmtId="0" fontId="119" fillId="110" borderId="106" applyNumberFormat="0" applyFont="0" applyBorder="0" applyAlignment="0" applyProtection="0"/>
    <xf numFmtId="0" fontId="119" fillId="112" borderId="106" applyNumberFormat="0" applyFont="0" applyBorder="0" applyAlignment="0" applyProtection="0"/>
    <xf numFmtId="0" fontId="119" fillId="109" borderId="106" applyNumberFormat="0" applyFont="0" applyBorder="0" applyAlignment="0" applyProtection="0"/>
    <xf numFmtId="0" fontId="121" fillId="109" borderId="106" applyNumberFormat="0" applyFill="0" applyBorder="0" applyAlignment="0" applyProtection="0"/>
    <xf numFmtId="0" fontId="122" fillId="109" borderId="106" applyNumberFormat="0" applyFill="0" applyBorder="0" applyAlignment="0" applyProtection="0"/>
    <xf numFmtId="0" fontId="121" fillId="109" borderId="106" applyNumberFormat="0" applyFill="0" applyBorder="0" applyAlignment="0" applyProtection="0"/>
    <xf numFmtId="0" fontId="122" fillId="109" borderId="106" applyNumberFormat="0" applyFill="0" applyBorder="0" applyAlignment="0" applyProtection="0"/>
    <xf numFmtId="0" fontId="121" fillId="109" borderId="106" applyNumberFormat="0" applyFill="0" applyBorder="0" applyAlignment="0" applyProtection="0"/>
    <xf numFmtId="0" fontId="122" fillId="109" borderId="106" applyNumberFormat="0" applyFill="0" applyBorder="0" applyAlignment="0" applyProtection="0"/>
    <xf numFmtId="0" fontId="121" fillId="109" borderId="106" applyNumberFormat="0" applyFill="0" applyBorder="0" applyAlignment="0" applyProtection="0"/>
    <xf numFmtId="0" fontId="122" fillId="109" borderId="106" applyNumberFormat="0" applyFill="0" applyBorder="0" applyAlignment="0" applyProtection="0"/>
    <xf numFmtId="0" fontId="121" fillId="109" borderId="106" applyNumberFormat="0" applyFill="0" applyBorder="0" applyAlignment="0" applyProtection="0"/>
    <xf numFmtId="0" fontId="122" fillId="109" borderId="106" applyNumberFormat="0" applyFill="0" applyBorder="0" applyAlignment="0" applyProtection="0"/>
    <xf numFmtId="0" fontId="121" fillId="109" borderId="106" applyNumberFormat="0" applyFill="0" applyBorder="0" applyAlignment="0" applyProtection="0"/>
    <xf numFmtId="0" fontId="122" fillId="109" borderId="106" applyNumberFormat="0" applyFill="0" applyBorder="0" applyAlignment="0" applyProtection="0"/>
    <xf numFmtId="0" fontId="121" fillId="109" borderId="106" applyNumberFormat="0" applyFill="0" applyBorder="0" applyAlignment="0" applyProtection="0"/>
    <xf numFmtId="0" fontId="122" fillId="109" borderId="106" applyNumberFormat="0" applyFill="0" applyBorder="0" applyAlignment="0" applyProtection="0"/>
    <xf numFmtId="0" fontId="174" fillId="162" borderId="159"/>
    <xf numFmtId="4" fontId="175" fillId="162" borderId="159" applyFont="0" applyFill="0" applyBorder="0" applyAlignment="0" applyProtection="0"/>
    <xf numFmtId="0" fontId="175" fillId="164" borderId="159" applyNumberFormat="0" applyFont="0" applyBorder="0" applyAlignment="0" applyProtection="0"/>
    <xf numFmtId="0" fontId="175" fillId="163" borderId="159" applyNumberFormat="0" applyFont="0" applyBorder="0" applyAlignment="0" applyProtection="0"/>
    <xf numFmtId="0" fontId="175" fillId="165" borderId="159" applyNumberFormat="0" applyFont="0" applyBorder="0" applyAlignment="0" applyProtection="0"/>
    <xf numFmtId="0" fontId="175" fillId="162" borderId="159" applyNumberFormat="0" applyFont="0" applyBorder="0" applyAlignment="0" applyProtection="0"/>
    <xf numFmtId="0" fontId="177" fillId="162" borderId="159" applyNumberFormat="0" applyFill="0" applyBorder="0" applyAlignment="0" applyProtection="0"/>
    <xf numFmtId="0" fontId="178" fillId="162" borderId="159" applyNumberFormat="0" applyFill="0" applyBorder="0" applyAlignment="0" applyProtection="0"/>
    <xf numFmtId="0" fontId="177" fillId="162" borderId="159" applyNumberFormat="0" applyFill="0" applyBorder="0" applyAlignment="0" applyProtection="0"/>
    <xf numFmtId="0" fontId="178" fillId="162" borderId="159" applyNumberFormat="0" applyFill="0" applyBorder="0" applyAlignment="0" applyProtection="0"/>
    <xf numFmtId="0" fontId="177" fillId="162" borderId="159" applyNumberFormat="0" applyFill="0" applyBorder="0" applyAlignment="0" applyProtection="0"/>
    <xf numFmtId="0" fontId="178" fillId="162" borderId="159" applyNumberFormat="0" applyFill="0" applyBorder="0" applyAlignment="0" applyProtection="0"/>
    <xf numFmtId="0" fontId="177" fillId="162" borderId="159" applyNumberFormat="0" applyFill="0" applyBorder="0" applyAlignment="0" applyProtection="0"/>
    <xf numFmtId="0" fontId="178" fillId="162" borderId="159" applyNumberFormat="0" applyFill="0" applyBorder="0" applyAlignment="0" applyProtection="0"/>
    <xf numFmtId="0" fontId="177" fillId="162" borderId="159" applyNumberFormat="0" applyFill="0" applyBorder="0" applyAlignment="0" applyProtection="0"/>
    <xf numFmtId="0" fontId="178" fillId="162" borderId="159" applyNumberFormat="0" applyFill="0" applyBorder="0" applyAlignment="0" applyProtection="0"/>
    <xf numFmtId="0" fontId="177" fillId="162" borderId="159" applyNumberFormat="0" applyFill="0" applyBorder="0" applyAlignment="0" applyProtection="0"/>
    <xf numFmtId="0" fontId="178" fillId="162" borderId="159" applyNumberFormat="0" applyFill="0" applyBorder="0" applyAlignment="0" applyProtection="0"/>
    <xf numFmtId="0" fontId="177" fillId="162" borderId="159" applyNumberFormat="0" applyFill="0" applyBorder="0" applyAlignment="0" applyProtection="0"/>
    <xf numFmtId="0" fontId="178" fillId="162" borderId="159" applyNumberFormat="0" applyFill="0" applyBorder="0" applyAlignment="0" applyProtection="0"/>
  </cellStyleXfs>
  <cellXfs count="2042">
    <xf numFmtId="0" fontId="0" fillId="0" borderId="0" xfId="0"/>
    <xf numFmtId="0" fontId="0" fillId="4" borderId="0" xfId="0" applyFill="1"/>
    <xf numFmtId="0" fontId="9" fillId="4" borderId="0" xfId="0" applyFont="1" applyFill="1"/>
    <xf numFmtId="0" fontId="9" fillId="0" borderId="16" xfId="0" applyFont="1" applyBorder="1" applyAlignment="1">
      <alignment horizontal="center" vertical="center"/>
    </xf>
    <xf numFmtId="0" fontId="0" fillId="7" borderId="2" xfId="0" applyFill="1" applyBorder="1"/>
    <xf numFmtId="0" fontId="0" fillId="8" borderId="10" xfId="0" applyFill="1" applyBorder="1"/>
    <xf numFmtId="0" fontId="11" fillId="9" borderId="3" xfId="0" applyFont="1" applyFill="1" applyBorder="1" applyAlignment="1">
      <alignment horizontal="center" vertical="center" wrapText="1"/>
    </xf>
    <xf numFmtId="0" fontId="0" fillId="4" borderId="0" xfId="0" applyFill="1" applyAlignment="1">
      <alignment horizontal="left" vertical="center"/>
    </xf>
    <xf numFmtId="0" fontId="11" fillId="7" borderId="9"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9" fillId="0" borderId="17" xfId="0" applyFont="1" applyBorder="1" applyAlignment="1">
      <alignment horizontal="center" vertical="center"/>
    </xf>
    <xf numFmtId="0" fontId="0" fillId="8" borderId="9" xfId="0" applyFill="1" applyBorder="1"/>
    <xf numFmtId="0" fontId="0" fillId="10" borderId="9" xfId="0" applyFill="1" applyBorder="1"/>
    <xf numFmtId="0" fontId="0" fillId="11" borderId="11" xfId="0" applyFill="1" applyBorder="1"/>
    <xf numFmtId="0" fontId="11" fillId="8" borderId="9" xfId="0" applyFont="1" applyFill="1" applyBorder="1" applyAlignment="1">
      <alignment horizontal="center" vertical="center" wrapText="1"/>
    </xf>
    <xf numFmtId="0" fontId="11" fillId="11" borderId="9" xfId="0" applyFont="1" applyFill="1" applyBorder="1" applyAlignment="1">
      <alignment horizontal="center" vertical="center" wrapText="1"/>
    </xf>
    <xf numFmtId="0" fontId="0" fillId="11" borderId="9" xfId="0" applyFill="1" applyBorder="1"/>
    <xf numFmtId="0" fontId="11" fillId="10" borderId="9" xfId="0" applyFont="1" applyFill="1" applyBorder="1" applyAlignment="1">
      <alignment horizontal="center" vertical="center" wrapText="1"/>
    </xf>
    <xf numFmtId="0" fontId="11" fillId="12" borderId="9" xfId="0" applyFont="1" applyFill="1" applyBorder="1" applyAlignment="1">
      <alignment horizontal="center" vertical="center" wrapText="1"/>
    </xf>
    <xf numFmtId="0" fontId="9" fillId="0" borderId="18" xfId="0" applyFont="1" applyBorder="1" applyAlignment="1">
      <alignment horizontal="center" vertical="center"/>
    </xf>
    <xf numFmtId="0" fontId="11" fillId="12" borderId="4"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9" fillId="0" borderId="0" xfId="0" applyFont="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0" fillId="13" borderId="10" xfId="0" applyFill="1" applyBorder="1"/>
    <xf numFmtId="0" fontId="12" fillId="13" borderId="9" xfId="0" applyFont="1" applyFill="1" applyBorder="1" applyAlignment="1">
      <alignment horizontal="center" vertical="center" wrapText="1"/>
    </xf>
    <xf numFmtId="0" fontId="0" fillId="13" borderId="8" xfId="0" applyFill="1" applyBorder="1"/>
    <xf numFmtId="0" fontId="0" fillId="10" borderId="8" xfId="0" applyFill="1" applyBorder="1"/>
    <xf numFmtId="0" fontId="0" fillId="9" borderId="9" xfId="0" applyFill="1" applyBorder="1"/>
    <xf numFmtId="0" fontId="2" fillId="4" borderId="0" xfId="0" applyFont="1" applyFill="1" applyAlignment="1">
      <alignment horizontal="left" vertical="center"/>
    </xf>
    <xf numFmtId="0" fontId="2" fillId="4" borderId="0" xfId="0" applyFont="1" applyFill="1" applyAlignment="1">
      <alignment horizontal="left" vertical="center" wrapText="1"/>
    </xf>
    <xf numFmtId="0" fontId="2" fillId="4" borderId="2" xfId="0" applyFont="1" applyFill="1" applyBorder="1" applyAlignment="1">
      <alignment horizontal="left" vertical="center" wrapText="1"/>
    </xf>
    <xf numFmtId="0" fontId="14" fillId="4" borderId="3" xfId="0" applyFont="1" applyFill="1" applyBorder="1" applyAlignment="1" applyProtection="1">
      <alignment horizontal="left" vertical="center" wrapText="1"/>
      <protection locked="0"/>
    </xf>
    <xf numFmtId="0" fontId="2" fillId="4" borderId="13" xfId="0" applyFont="1" applyFill="1" applyBorder="1" applyAlignment="1">
      <alignment horizontal="left" vertical="center" wrapText="1"/>
    </xf>
    <xf numFmtId="0" fontId="14" fillId="4" borderId="15" xfId="0" applyFont="1" applyFill="1" applyBorder="1" applyAlignment="1" applyProtection="1">
      <alignment horizontal="left" vertical="center" wrapText="1"/>
      <protection locked="0"/>
    </xf>
    <xf numFmtId="0" fontId="2" fillId="4" borderId="8" xfId="0" applyFont="1" applyFill="1" applyBorder="1" applyAlignment="1">
      <alignment horizontal="left" vertical="center" wrapText="1"/>
    </xf>
    <xf numFmtId="0" fontId="14" fillId="4" borderId="11" xfId="0" applyFont="1" applyFill="1" applyBorder="1" applyAlignment="1" applyProtection="1">
      <alignment horizontal="left" vertical="center" wrapText="1"/>
      <protection locked="0"/>
    </xf>
    <xf numFmtId="0" fontId="2" fillId="4" borderId="34" xfId="0" applyFont="1" applyFill="1" applyBorder="1" applyAlignment="1">
      <alignment horizontal="left" vertical="center" wrapText="1"/>
    </xf>
    <xf numFmtId="0" fontId="14" fillId="4" borderId="35" xfId="0" applyFont="1" applyFill="1" applyBorder="1" applyAlignment="1" applyProtection="1">
      <alignment horizontal="left" vertical="center" wrapText="1"/>
      <protection locked="0"/>
    </xf>
    <xf numFmtId="0" fontId="2" fillId="4" borderId="4" xfId="0" applyFont="1" applyFill="1" applyBorder="1" applyAlignment="1">
      <alignment horizontal="left" vertical="center" wrapText="1"/>
    </xf>
    <xf numFmtId="0" fontId="14" fillId="4" borderId="5" xfId="0" applyFont="1" applyFill="1" applyBorder="1" applyAlignment="1" applyProtection="1">
      <alignment horizontal="left" vertical="center" wrapText="1"/>
      <protection locked="0"/>
    </xf>
    <xf numFmtId="164" fontId="14" fillId="4" borderId="5" xfId="0" applyNumberFormat="1" applyFont="1" applyFill="1" applyBorder="1" applyAlignment="1" applyProtection="1">
      <alignment horizontal="left" vertical="center" wrapText="1"/>
      <protection locked="0"/>
    </xf>
    <xf numFmtId="0" fontId="22" fillId="0" borderId="9" xfId="0" applyFont="1" applyBorder="1" applyAlignment="1">
      <alignment horizontal="center" vertical="center"/>
    </xf>
    <xf numFmtId="0" fontId="23" fillId="12" borderId="9" xfId="0" applyFont="1" applyFill="1" applyBorder="1" applyAlignment="1">
      <alignment horizontal="center" vertical="center" wrapText="1"/>
    </xf>
    <xf numFmtId="0" fontId="5" fillId="4" borderId="0" xfId="0" applyFont="1" applyFill="1"/>
    <xf numFmtId="0" fontId="5" fillId="4" borderId="0" xfId="0" applyFont="1" applyFill="1" applyAlignment="1">
      <alignment horizontal="center" vertical="center" wrapText="1"/>
    </xf>
    <xf numFmtId="0" fontId="5" fillId="4" borderId="0" xfId="0" applyFont="1" applyFill="1" applyAlignment="1">
      <alignment horizontal="left" vertical="top" wrapText="1"/>
    </xf>
    <xf numFmtId="0" fontId="5" fillId="4" borderId="0" xfId="0" applyFont="1" applyFill="1" applyAlignment="1">
      <alignment horizontal="justify"/>
    </xf>
    <xf numFmtId="0" fontId="5" fillId="4" borderId="0" xfId="0" applyFont="1" applyFill="1" applyAlignment="1">
      <alignment horizontal="center" vertical="center"/>
    </xf>
    <xf numFmtId="0" fontId="5" fillId="0" borderId="0" xfId="0" applyFont="1"/>
    <xf numFmtId="0" fontId="6" fillId="4" borderId="0" xfId="0" applyFont="1" applyFill="1" applyAlignment="1">
      <alignment vertical="center"/>
    </xf>
    <xf numFmtId="0" fontId="6"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horizontal="left" vertical="top" wrapText="1"/>
    </xf>
    <xf numFmtId="0" fontId="5" fillId="0" borderId="0" xfId="0" applyFont="1" applyAlignment="1">
      <alignment horizontal="justify"/>
    </xf>
    <xf numFmtId="0" fontId="5" fillId="0" borderId="0" xfId="0" applyFont="1" applyAlignment="1">
      <alignment horizontal="center" vertical="center"/>
    </xf>
    <xf numFmtId="0" fontId="14" fillId="4" borderId="0" xfId="0" applyFont="1" applyFill="1" applyAlignment="1">
      <alignment horizontal="left" vertical="center" wrapText="1"/>
    </xf>
    <xf numFmtId="0" fontId="8" fillId="4" borderId="0" xfId="0" applyFont="1" applyFill="1" applyAlignment="1">
      <alignment horizontal="left" vertical="center"/>
    </xf>
    <xf numFmtId="0" fontId="8" fillId="0" borderId="0" xfId="0" applyFont="1"/>
    <xf numFmtId="0" fontId="27" fillId="0" borderId="0" xfId="0" applyFont="1"/>
    <xf numFmtId="0" fontId="27" fillId="4" borderId="0" xfId="0" applyFont="1" applyFill="1"/>
    <xf numFmtId="0" fontId="23" fillId="12" borderId="23" xfId="0" applyFont="1" applyFill="1" applyBorder="1" applyAlignment="1">
      <alignment horizontal="center" vertical="center" wrapText="1"/>
    </xf>
    <xf numFmtId="0" fontId="22" fillId="0" borderId="23" xfId="0" applyFont="1" applyBorder="1" applyAlignment="1">
      <alignment horizontal="center" vertical="center"/>
    </xf>
    <xf numFmtId="0" fontId="23" fillId="12" borderId="45" xfId="0" applyFont="1" applyFill="1" applyBorder="1" applyAlignment="1">
      <alignment horizontal="center" vertical="center" wrapText="1"/>
    </xf>
    <xf numFmtId="0" fontId="22" fillId="0" borderId="45" xfId="0" applyFont="1" applyBorder="1" applyAlignment="1">
      <alignment horizontal="center" vertical="center"/>
    </xf>
    <xf numFmtId="0" fontId="11" fillId="12" borderId="10" xfId="0" applyFont="1" applyFill="1" applyBorder="1" applyAlignment="1">
      <alignment horizontal="center" vertical="center" wrapText="1"/>
    </xf>
    <xf numFmtId="0" fontId="11" fillId="12" borderId="47" xfId="0" applyFont="1" applyFill="1" applyBorder="1" applyAlignment="1">
      <alignment horizontal="center" vertical="center" wrapText="1"/>
    </xf>
    <xf numFmtId="0" fontId="11" fillId="12" borderId="29" xfId="0" applyFont="1" applyFill="1" applyBorder="1" applyAlignment="1">
      <alignment horizontal="center" vertical="center" wrapText="1"/>
    </xf>
    <xf numFmtId="0" fontId="13" fillId="0" borderId="8" xfId="0" applyFont="1" applyBorder="1" applyAlignment="1">
      <alignment vertical="top" wrapText="1"/>
    </xf>
    <xf numFmtId="0" fontId="22" fillId="0" borderId="11" xfId="0" applyFont="1" applyBorder="1" applyAlignment="1">
      <alignment horizontal="center" vertical="center"/>
    </xf>
    <xf numFmtId="0" fontId="13" fillId="0" borderId="24" xfId="0" applyFont="1" applyBorder="1" applyAlignment="1">
      <alignment vertical="top" wrapText="1"/>
    </xf>
    <xf numFmtId="0" fontId="0" fillId="33" borderId="46" xfId="0" applyFill="1" applyBorder="1" applyAlignment="1">
      <alignment horizontal="center"/>
    </xf>
    <xf numFmtId="0" fontId="0" fillId="37" borderId="46" xfId="0" applyFill="1" applyBorder="1" applyAlignment="1">
      <alignment horizontal="center"/>
    </xf>
    <xf numFmtId="0" fontId="0" fillId="38" borderId="46" xfId="0" applyFill="1" applyBorder="1" applyAlignment="1">
      <alignment horizontal="center"/>
    </xf>
    <xf numFmtId="0" fontId="0" fillId="35" borderId="46" xfId="0" applyFill="1" applyBorder="1" applyAlignment="1">
      <alignment horizontal="center"/>
    </xf>
    <xf numFmtId="0" fontId="0" fillId="11" borderId="46" xfId="0" applyFill="1" applyBorder="1" applyAlignment="1">
      <alignment horizontal="center"/>
    </xf>
    <xf numFmtId="0" fontId="31" fillId="0" borderId="0" xfId="0" applyFont="1" applyAlignment="1">
      <alignment readingOrder="1"/>
    </xf>
    <xf numFmtId="0" fontId="33" fillId="6" borderId="2" xfId="0" applyFont="1" applyFill="1" applyBorder="1" applyAlignment="1">
      <alignment horizontal="center" vertical="center" wrapText="1"/>
    </xf>
    <xf numFmtId="0" fontId="33" fillId="6" borderId="44" xfId="0" applyFont="1" applyFill="1" applyBorder="1" applyAlignment="1">
      <alignment vertical="center" wrapText="1"/>
    </xf>
    <xf numFmtId="0" fontId="16" fillId="17" borderId="4" xfId="0" applyFont="1" applyFill="1" applyBorder="1" applyAlignment="1">
      <alignment horizontal="center" vertical="center" textRotation="90" wrapText="1"/>
    </xf>
    <xf numFmtId="0" fontId="16" fillId="17" borderId="5"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34" fillId="0" borderId="12" xfId="0" applyFont="1" applyBorder="1" applyAlignment="1">
      <alignment textRotation="90"/>
    </xf>
    <xf numFmtId="0" fontId="34" fillId="4" borderId="12" xfId="0" applyFont="1" applyFill="1" applyBorder="1" applyAlignment="1">
      <alignment textRotation="90"/>
    </xf>
    <xf numFmtId="0" fontId="16" fillId="16" borderId="12" xfId="0" applyFont="1" applyFill="1" applyBorder="1" applyAlignment="1">
      <alignment horizontal="center" vertical="center" wrapText="1"/>
    </xf>
    <xf numFmtId="0" fontId="16" fillId="16" borderId="5" xfId="0" applyFont="1" applyFill="1" applyBorder="1" applyAlignment="1">
      <alignment horizontal="center" vertical="center" wrapText="1"/>
    </xf>
    <xf numFmtId="0" fontId="34" fillId="0" borderId="9" xfId="0" applyFont="1" applyBorder="1"/>
    <xf numFmtId="0" fontId="34" fillId="0" borderId="9" xfId="0" applyFont="1" applyBorder="1" applyAlignment="1">
      <alignment textRotation="90" wrapText="1"/>
    </xf>
    <xf numFmtId="0" fontId="34" fillId="0" borderId="9" xfId="0" applyFont="1" applyBorder="1" applyAlignment="1">
      <alignment wrapText="1"/>
    </xf>
    <xf numFmtId="0" fontId="34" fillId="4" borderId="9" xfId="0" applyFont="1" applyFill="1" applyBorder="1"/>
    <xf numFmtId="0" fontId="34" fillId="28" borderId="9" xfId="0" applyFont="1" applyFill="1" applyBorder="1"/>
    <xf numFmtId="0" fontId="34" fillId="28" borderId="9" xfId="0" applyFont="1" applyFill="1" applyBorder="1" applyAlignment="1">
      <alignment textRotation="90" wrapText="1"/>
    </xf>
    <xf numFmtId="0" fontId="34" fillId="28" borderId="9" xfId="0" applyFont="1" applyFill="1" applyBorder="1" applyAlignment="1">
      <alignment wrapText="1"/>
    </xf>
    <xf numFmtId="0" fontId="34" fillId="24" borderId="9" xfId="0" applyFont="1" applyFill="1" applyBorder="1"/>
    <xf numFmtId="0" fontId="34" fillId="22" borderId="9" xfId="0" applyFont="1" applyFill="1" applyBorder="1"/>
    <xf numFmtId="0" fontId="34" fillId="22" borderId="9" xfId="0" applyFont="1" applyFill="1" applyBorder="1" applyAlignment="1">
      <alignment textRotation="90" wrapText="1"/>
    </xf>
    <xf numFmtId="0" fontId="34" fillId="22" borderId="9" xfId="0" applyFont="1" applyFill="1" applyBorder="1" applyAlignment="1">
      <alignment wrapText="1"/>
    </xf>
    <xf numFmtId="0" fontId="34" fillId="21" borderId="9" xfId="0" applyFont="1" applyFill="1" applyBorder="1"/>
    <xf numFmtId="0" fontId="35" fillId="6" borderId="4" xfId="0" applyFont="1" applyFill="1" applyBorder="1" applyAlignment="1">
      <alignment horizontal="center" vertical="center" wrapText="1"/>
    </xf>
    <xf numFmtId="0" fontId="36" fillId="0" borderId="12" xfId="0" applyFont="1" applyBorder="1" applyAlignment="1">
      <alignment textRotation="90"/>
    </xf>
    <xf numFmtId="0" fontId="36" fillId="4" borderId="12" xfId="0" applyFont="1" applyFill="1" applyBorder="1" applyAlignment="1">
      <alignment textRotation="90"/>
    </xf>
    <xf numFmtId="0" fontId="35" fillId="16" borderId="12" xfId="0" applyFont="1" applyFill="1" applyBorder="1" applyAlignment="1">
      <alignment horizontal="center" vertical="center" wrapText="1"/>
    </xf>
    <xf numFmtId="0" fontId="34" fillId="41" borderId="9" xfId="0" applyFont="1" applyFill="1" applyBorder="1"/>
    <xf numFmtId="0" fontId="34" fillId="41" borderId="9" xfId="0" applyFont="1" applyFill="1" applyBorder="1" applyAlignment="1">
      <alignment textRotation="90" wrapText="1"/>
    </xf>
    <xf numFmtId="0" fontId="34" fillId="41" borderId="9" xfId="0" applyFont="1" applyFill="1" applyBorder="1" applyAlignment="1">
      <alignment wrapText="1"/>
    </xf>
    <xf numFmtId="0" fontId="34" fillId="42" borderId="9" xfId="0" applyFont="1" applyFill="1" applyBorder="1"/>
    <xf numFmtId="0" fontId="34" fillId="42" borderId="9" xfId="0" applyFont="1" applyFill="1" applyBorder="1" applyAlignment="1">
      <alignment textRotation="90" wrapText="1"/>
    </xf>
    <xf numFmtId="0" fontId="34" fillId="42" borderId="9" xfId="0" applyFont="1" applyFill="1" applyBorder="1" applyAlignment="1">
      <alignment wrapText="1"/>
    </xf>
    <xf numFmtId="0" fontId="34" fillId="4" borderId="9"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44" xfId="0" applyFont="1" applyFill="1" applyBorder="1" applyAlignment="1">
      <alignment horizontal="center" vertical="center" wrapText="1"/>
    </xf>
    <xf numFmtId="0" fontId="6" fillId="4" borderId="0" xfId="0" applyFont="1" applyFill="1" applyAlignment="1">
      <alignment horizontal="center" vertical="center"/>
    </xf>
    <xf numFmtId="0" fontId="6" fillId="0" borderId="0" xfId="0" applyFont="1" applyAlignment="1">
      <alignment horizontal="center" vertical="center"/>
    </xf>
    <xf numFmtId="0" fontId="19" fillId="4" borderId="0" xfId="0" applyFont="1" applyFill="1" applyAlignment="1">
      <alignment horizontal="center" vertical="center"/>
    </xf>
    <xf numFmtId="0" fontId="19" fillId="0" borderId="0" xfId="0" applyFont="1" applyAlignment="1">
      <alignment horizontal="center" vertical="center"/>
    </xf>
    <xf numFmtId="0" fontId="19" fillId="0" borderId="9" xfId="0" applyFont="1" applyBorder="1" applyAlignment="1">
      <alignment horizontal="center" vertical="center"/>
    </xf>
    <xf numFmtId="0" fontId="36" fillId="0" borderId="12" xfId="0" applyFont="1" applyBorder="1" applyAlignment="1">
      <alignment horizontal="center" vertical="center" textRotation="90"/>
    </xf>
    <xf numFmtId="0" fontId="36" fillId="4" borderId="12" xfId="0" applyFont="1" applyFill="1" applyBorder="1" applyAlignment="1">
      <alignment horizontal="center" vertical="center" textRotation="90"/>
    </xf>
    <xf numFmtId="0" fontId="36" fillId="15" borderId="5" xfId="0" applyFont="1" applyFill="1" applyBorder="1" applyAlignment="1">
      <alignment horizontal="center" vertical="center" wrapText="1"/>
    </xf>
    <xf numFmtId="0" fontId="36" fillId="17" borderId="4" xfId="0" applyFont="1" applyFill="1" applyBorder="1" applyAlignment="1">
      <alignment horizontal="center" vertical="center" textRotation="90" wrapText="1"/>
    </xf>
    <xf numFmtId="0" fontId="36" fillId="17" borderId="5" xfId="0" applyFont="1" applyFill="1" applyBorder="1" applyAlignment="1">
      <alignment horizontal="center" vertical="center" wrapText="1"/>
    </xf>
    <xf numFmtId="0" fontId="36" fillId="6" borderId="4" xfId="0" applyFont="1" applyFill="1" applyBorder="1" applyAlignment="1">
      <alignment horizontal="center" vertical="center" wrapText="1"/>
    </xf>
    <xf numFmtId="0" fontId="36" fillId="16" borderId="4" xfId="0" applyFont="1" applyFill="1" applyBorder="1" applyAlignment="1">
      <alignment horizontal="center" vertical="center" wrapText="1"/>
    </xf>
    <xf numFmtId="0" fontId="36" fillId="16" borderId="12" xfId="0" applyFont="1" applyFill="1" applyBorder="1" applyAlignment="1">
      <alignment horizontal="center" vertical="center" wrapText="1"/>
    </xf>
    <xf numFmtId="0" fontId="36" fillId="16" borderId="39" xfId="0" applyFont="1" applyFill="1" applyBorder="1" applyAlignment="1">
      <alignment horizontal="center" vertical="center" wrapText="1"/>
    </xf>
    <xf numFmtId="0" fontId="36" fillId="31" borderId="8" xfId="0" applyFont="1" applyFill="1" applyBorder="1" applyAlignment="1">
      <alignment horizontal="center" vertical="center" wrapText="1"/>
    </xf>
    <xf numFmtId="0" fontId="36" fillId="31" borderId="11" xfId="0" applyFont="1" applyFill="1" applyBorder="1" applyAlignment="1">
      <alignment horizontal="center" vertical="center" wrapText="1"/>
    </xf>
    <xf numFmtId="0" fontId="37" fillId="7" borderId="12" xfId="0" applyFont="1" applyFill="1" applyBorder="1" applyAlignment="1">
      <alignment horizontal="center" vertical="center" textRotation="90" wrapText="1"/>
    </xf>
    <xf numFmtId="0" fontId="38" fillId="13" borderId="12" xfId="0" applyFont="1" applyFill="1" applyBorder="1" applyAlignment="1">
      <alignment horizontal="center" vertical="center" textRotation="90" wrapText="1"/>
    </xf>
    <xf numFmtId="0" fontId="37" fillId="8" borderId="12" xfId="0" applyFont="1" applyFill="1" applyBorder="1" applyAlignment="1">
      <alignment horizontal="center" vertical="center" textRotation="90" wrapText="1"/>
    </xf>
    <xf numFmtId="0" fontId="37" fillId="10" borderId="12" xfId="0" applyFont="1" applyFill="1" applyBorder="1" applyAlignment="1">
      <alignment horizontal="center" vertical="center" textRotation="90" wrapText="1"/>
    </xf>
    <xf numFmtId="0" fontId="37" fillId="9" borderId="12" xfId="0" applyFont="1" applyFill="1" applyBorder="1" applyAlignment="1">
      <alignment horizontal="center" vertical="center" textRotation="90" wrapText="1"/>
    </xf>
    <xf numFmtId="0" fontId="37" fillId="11" borderId="12" xfId="0" applyFont="1" applyFill="1" applyBorder="1" applyAlignment="1">
      <alignment horizontal="center" vertical="center" textRotation="90" wrapText="1"/>
    </xf>
    <xf numFmtId="0" fontId="37" fillId="12" borderId="12" xfId="0" applyFont="1" applyFill="1" applyBorder="1" applyAlignment="1">
      <alignment horizontal="center" vertical="center" textRotation="90" wrapText="1"/>
    </xf>
    <xf numFmtId="0" fontId="18" fillId="4" borderId="0" xfId="0" applyFont="1" applyFill="1" applyAlignment="1">
      <alignment horizontal="left" vertical="center"/>
    </xf>
    <xf numFmtId="0" fontId="18" fillId="0" borderId="0" xfId="0" applyFont="1"/>
    <xf numFmtId="0" fontId="18" fillId="39" borderId="0" xfId="0" applyFont="1" applyFill="1"/>
    <xf numFmtId="0" fontId="34" fillId="14" borderId="9" xfId="0" applyFont="1" applyFill="1" applyBorder="1" applyAlignment="1" applyProtection="1">
      <alignment horizontal="left" vertical="center" wrapText="1"/>
      <protection locked="0"/>
    </xf>
    <xf numFmtId="0" fontId="34" fillId="17"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horizontal="left" vertical="center" wrapText="1"/>
      <protection locked="0"/>
    </xf>
    <xf numFmtId="0" fontId="34" fillId="16" borderId="9" xfId="0" applyFont="1" applyFill="1" applyBorder="1" applyAlignment="1">
      <alignment horizontal="center" vertical="center" wrapText="1"/>
    </xf>
    <xf numFmtId="0" fontId="34" fillId="16" borderId="9" xfId="0" applyFont="1" applyFill="1" applyBorder="1" applyAlignment="1" applyProtection="1">
      <alignment vertical="center" wrapText="1"/>
      <protection locked="0"/>
    </xf>
    <xf numFmtId="0" fontId="34" fillId="24" borderId="9" xfId="0" applyFont="1" applyFill="1" applyBorder="1" applyAlignment="1">
      <alignment horizontal="center" vertical="center" wrapText="1"/>
    </xf>
    <xf numFmtId="0" fontId="34" fillId="29" borderId="9" xfId="0" applyFont="1" applyFill="1" applyBorder="1" applyAlignment="1">
      <alignment horizontal="center" vertical="center" wrapText="1"/>
    </xf>
    <xf numFmtId="0" fontId="34" fillId="29" borderId="9" xfId="0" applyFont="1" applyFill="1" applyBorder="1" applyAlignment="1" applyProtection="1">
      <alignment horizontal="left" vertical="center" wrapText="1"/>
      <protection locked="0"/>
    </xf>
    <xf numFmtId="0" fontId="34" fillId="21" borderId="9"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4" fillId="23" borderId="9" xfId="0" applyFont="1" applyFill="1" applyBorder="1" applyAlignment="1" applyProtection="1">
      <alignment horizontal="left" vertical="center" wrapText="1"/>
      <protection locked="0"/>
    </xf>
    <xf numFmtId="0" fontId="34" fillId="16" borderId="9" xfId="0" applyFont="1" applyFill="1" applyBorder="1" applyAlignment="1" applyProtection="1">
      <alignment horizontal="left" vertical="center" wrapText="1"/>
      <protection locked="0"/>
    </xf>
    <xf numFmtId="0" fontId="34" fillId="41" borderId="9" xfId="0" applyFont="1" applyFill="1" applyBorder="1" applyAlignment="1" applyProtection="1">
      <alignment horizontal="center" vertical="center" wrapText="1"/>
      <protection locked="0"/>
    </xf>
    <xf numFmtId="0" fontId="34" fillId="4" borderId="24" xfId="0" applyFont="1" applyFill="1" applyBorder="1" applyAlignment="1">
      <alignment horizontal="center" vertical="center" wrapText="1"/>
    </xf>
    <xf numFmtId="0" fontId="34" fillId="4" borderId="8" xfId="0" applyFont="1" applyFill="1" applyBorder="1" applyAlignment="1">
      <alignment horizontal="center" vertical="center" wrapText="1"/>
    </xf>
    <xf numFmtId="0" fontId="34" fillId="24" borderId="8" xfId="0" applyFont="1" applyFill="1" applyBorder="1" applyAlignment="1">
      <alignment horizontal="center" vertical="center" wrapText="1"/>
    </xf>
    <xf numFmtId="0" fontId="34" fillId="4" borderId="13" xfId="0" applyFont="1" applyFill="1" applyBorder="1" applyAlignment="1">
      <alignment horizontal="center" vertical="center" wrapText="1"/>
    </xf>
    <xf numFmtId="0" fontId="43" fillId="43" borderId="32" xfId="0" applyFont="1" applyFill="1" applyBorder="1" applyAlignment="1">
      <alignment horizontal="center" vertical="center" textRotation="90" wrapText="1"/>
    </xf>
    <xf numFmtId="0" fontId="43" fillId="43" borderId="49" xfId="0" applyFont="1" applyFill="1" applyBorder="1" applyAlignment="1">
      <alignment horizontal="center" vertical="center" wrapText="1"/>
    </xf>
    <xf numFmtId="0" fontId="43" fillId="44" borderId="4" xfId="0" applyFont="1" applyFill="1" applyBorder="1" applyAlignment="1">
      <alignment horizontal="center" vertical="center" wrapText="1"/>
    </xf>
    <xf numFmtId="0" fontId="43" fillId="44" borderId="49" xfId="0" applyFont="1" applyFill="1" applyBorder="1" applyAlignment="1">
      <alignment horizontal="center" vertical="center" textRotation="90" wrapText="1"/>
    </xf>
    <xf numFmtId="0" fontId="16" fillId="5" borderId="4" xfId="0" applyFont="1" applyFill="1" applyBorder="1" applyAlignment="1">
      <alignment horizontal="center" vertical="center" wrapText="1"/>
    </xf>
    <xf numFmtId="0" fontId="16" fillId="5" borderId="5" xfId="0" applyFont="1" applyFill="1" applyBorder="1" applyAlignment="1">
      <alignment horizontal="center" vertical="center" textRotation="90" wrapText="1"/>
    </xf>
    <xf numFmtId="0" fontId="16" fillId="45" borderId="4" xfId="0" applyFont="1" applyFill="1" applyBorder="1" applyAlignment="1">
      <alignment horizontal="center" vertical="center" textRotation="90" wrapText="1"/>
    </xf>
    <xf numFmtId="0" fontId="16" fillId="45" borderId="5" xfId="0" applyFont="1" applyFill="1" applyBorder="1" applyAlignment="1">
      <alignment horizontal="center" vertical="center" wrapText="1"/>
    </xf>
    <xf numFmtId="0" fontId="43" fillId="46" borderId="32" xfId="0" applyFont="1" applyFill="1" applyBorder="1" applyAlignment="1">
      <alignment horizontal="center" vertical="center" textRotation="90" wrapText="1"/>
    </xf>
    <xf numFmtId="0" fontId="43" fillId="46" borderId="49" xfId="0" applyFont="1" applyFill="1" applyBorder="1" applyAlignment="1">
      <alignment horizontal="center" vertical="center" wrapText="1"/>
    </xf>
    <xf numFmtId="0" fontId="34" fillId="45" borderId="9" xfId="0" applyFont="1" applyFill="1" applyBorder="1" applyAlignment="1" applyProtection="1">
      <alignment horizontal="center" vertical="center" wrapText="1"/>
      <protection locked="0"/>
    </xf>
    <xf numFmtId="0" fontId="34" fillId="47" borderId="9" xfId="0" applyFont="1" applyFill="1" applyBorder="1" applyAlignment="1" applyProtection="1">
      <alignment horizontal="center" vertical="center" wrapText="1"/>
      <protection locked="0"/>
    </xf>
    <xf numFmtId="0" fontId="34" fillId="48" borderId="9" xfId="0" applyFont="1" applyFill="1" applyBorder="1" applyAlignment="1" applyProtection="1">
      <alignment horizontal="center" vertical="center" wrapText="1"/>
      <protection locked="0"/>
    </xf>
    <xf numFmtId="0" fontId="34" fillId="5" borderId="9" xfId="0" applyFont="1" applyFill="1" applyBorder="1" applyAlignment="1" applyProtection="1">
      <alignment horizontal="center" vertical="center" wrapText="1"/>
      <protection locked="0"/>
    </xf>
    <xf numFmtId="0" fontId="34" fillId="49" borderId="9" xfId="0" applyFont="1" applyFill="1" applyBorder="1" applyAlignment="1" applyProtection="1">
      <alignment horizontal="center" vertical="center" wrapText="1"/>
      <protection locked="0"/>
    </xf>
    <xf numFmtId="0" fontId="34" fillId="50" borderId="9" xfId="0" applyFont="1" applyFill="1" applyBorder="1" applyAlignment="1" applyProtection="1">
      <alignment horizontal="center" vertical="center" wrapText="1"/>
      <protection locked="0"/>
    </xf>
    <xf numFmtId="0" fontId="34" fillId="17" borderId="9" xfId="0" applyFont="1" applyFill="1" applyBorder="1" applyAlignment="1" applyProtection="1">
      <alignment vertical="center" wrapText="1"/>
      <protection locked="0"/>
    </xf>
    <xf numFmtId="0" fontId="45" fillId="7" borderId="12" xfId="0" applyFont="1" applyFill="1" applyBorder="1" applyAlignment="1">
      <alignment horizontal="center" vertical="center" textRotation="90" wrapText="1"/>
    </xf>
    <xf numFmtId="0" fontId="33" fillId="13" borderId="12" xfId="0" applyFont="1" applyFill="1" applyBorder="1" applyAlignment="1">
      <alignment horizontal="center" vertical="center" textRotation="90" wrapText="1"/>
    </xf>
    <xf numFmtId="0" fontId="45" fillId="8" borderId="12" xfId="0" applyFont="1" applyFill="1" applyBorder="1" applyAlignment="1">
      <alignment horizontal="center" vertical="center" textRotation="90" wrapText="1"/>
    </xf>
    <xf numFmtId="0" fontId="45" fillId="10" borderId="12" xfId="0" applyFont="1" applyFill="1" applyBorder="1" applyAlignment="1">
      <alignment horizontal="center" vertical="center" textRotation="90" wrapText="1"/>
    </xf>
    <xf numFmtId="0" fontId="45" fillId="9" borderId="12" xfId="0" applyFont="1" applyFill="1" applyBorder="1" applyAlignment="1">
      <alignment horizontal="center" vertical="center" textRotation="90" wrapText="1"/>
    </xf>
    <xf numFmtId="0" fontId="45" fillId="11" borderId="12" xfId="0" applyFont="1" applyFill="1" applyBorder="1" applyAlignment="1">
      <alignment horizontal="center" vertical="center" textRotation="90" wrapText="1"/>
    </xf>
    <xf numFmtId="0" fontId="45" fillId="12" borderId="12" xfId="0" applyFont="1" applyFill="1" applyBorder="1" applyAlignment="1">
      <alignment horizontal="center" vertical="center" textRotation="90" wrapText="1"/>
    </xf>
    <xf numFmtId="0" fontId="18" fillId="4" borderId="8" xfId="0" applyFont="1" applyFill="1" applyBorder="1" applyAlignment="1">
      <alignment horizontal="center" vertical="center" wrapText="1"/>
    </xf>
    <xf numFmtId="0" fontId="36" fillId="4" borderId="8" xfId="0" applyFont="1" applyFill="1" applyBorder="1" applyAlignment="1">
      <alignment horizontal="center" vertical="center" wrapText="1"/>
    </xf>
    <xf numFmtId="0" fontId="18" fillId="0" borderId="0" xfId="0" applyFont="1" applyAlignment="1">
      <alignment wrapText="1"/>
    </xf>
    <xf numFmtId="0" fontId="34" fillId="16" borderId="9" xfId="0" applyFont="1" applyFill="1" applyBorder="1" applyAlignment="1" applyProtection="1">
      <alignment horizontal="center" vertical="center" wrapText="1"/>
      <protection locked="0"/>
    </xf>
    <xf numFmtId="0" fontId="34" fillId="14" borderId="9" xfId="0" applyFont="1" applyFill="1" applyBorder="1" applyAlignment="1" applyProtection="1">
      <alignment vertical="center" wrapText="1"/>
      <protection locked="0"/>
    </xf>
    <xf numFmtId="0" fontId="46" fillId="7" borderId="12" xfId="0" applyFont="1" applyFill="1" applyBorder="1" applyAlignment="1">
      <alignment horizontal="center" vertical="center" textRotation="90" wrapText="1"/>
    </xf>
    <xf numFmtId="0" fontId="47" fillId="13" borderId="12" xfId="0" applyFont="1" applyFill="1" applyBorder="1" applyAlignment="1">
      <alignment horizontal="center" vertical="center" textRotation="90" wrapText="1"/>
    </xf>
    <xf numFmtId="0" fontId="46" fillId="8" borderId="12" xfId="0" applyFont="1" applyFill="1" applyBorder="1" applyAlignment="1">
      <alignment horizontal="center" vertical="center" textRotation="90" wrapText="1"/>
    </xf>
    <xf numFmtId="0" fontId="46" fillId="10" borderId="12" xfId="0" applyFont="1" applyFill="1" applyBorder="1" applyAlignment="1">
      <alignment horizontal="center" vertical="center" textRotation="90" wrapText="1"/>
    </xf>
    <xf numFmtId="0" fontId="46" fillId="9" borderId="12" xfId="0" applyFont="1" applyFill="1" applyBorder="1" applyAlignment="1">
      <alignment horizontal="center" vertical="center" textRotation="90" wrapText="1"/>
    </xf>
    <xf numFmtId="0" fontId="46" fillId="11" borderId="12" xfId="0" applyFont="1" applyFill="1" applyBorder="1" applyAlignment="1">
      <alignment horizontal="center" vertical="center" textRotation="90" wrapText="1"/>
    </xf>
    <xf numFmtId="0" fontId="46" fillId="12" borderId="12" xfId="0" applyFont="1" applyFill="1" applyBorder="1" applyAlignment="1">
      <alignment horizontal="center" vertical="center" textRotation="90" wrapText="1"/>
    </xf>
    <xf numFmtId="0" fontId="48" fillId="12" borderId="9" xfId="0" applyFont="1" applyFill="1" applyBorder="1" applyAlignment="1">
      <alignment horizontal="center" vertical="center" textRotation="90" wrapText="1"/>
    </xf>
    <xf numFmtId="0" fontId="48" fillId="7" borderId="9" xfId="0" applyFont="1" applyFill="1" applyBorder="1" applyAlignment="1">
      <alignment horizontal="center" vertical="center" textRotation="90" wrapText="1"/>
    </xf>
    <xf numFmtId="0" fontId="2" fillId="13" borderId="9" xfId="0" applyFont="1" applyFill="1" applyBorder="1" applyAlignment="1">
      <alignment horizontal="center" vertical="center" textRotation="90" wrapText="1"/>
    </xf>
    <xf numFmtId="0" fontId="48" fillId="8" borderId="9" xfId="0" applyFont="1" applyFill="1" applyBorder="1" applyAlignment="1">
      <alignment horizontal="center" vertical="center" textRotation="90" wrapText="1"/>
    </xf>
    <xf numFmtId="0" fontId="48" fillId="10" borderId="9" xfId="0" applyFont="1" applyFill="1" applyBorder="1" applyAlignment="1">
      <alignment horizontal="center" vertical="center" textRotation="90" wrapText="1"/>
    </xf>
    <xf numFmtId="0" fontId="48" fillId="9" borderId="9" xfId="0" applyFont="1" applyFill="1" applyBorder="1" applyAlignment="1">
      <alignment horizontal="center" vertical="center" textRotation="90" wrapText="1"/>
    </xf>
    <xf numFmtId="0" fontId="48" fillId="11" borderId="9" xfId="0" applyFont="1" applyFill="1" applyBorder="1" applyAlignment="1">
      <alignment horizontal="center" vertical="center" textRotation="90" wrapText="1"/>
    </xf>
    <xf numFmtId="0" fontId="18" fillId="4" borderId="0" xfId="0" applyFont="1" applyFill="1" applyAlignment="1">
      <alignment horizontal="center" vertical="center"/>
    </xf>
    <xf numFmtId="0" fontId="34" fillId="15" borderId="25" xfId="0" applyFont="1" applyFill="1" applyBorder="1" applyAlignment="1">
      <alignment horizontal="center" vertical="center" wrapText="1"/>
    </xf>
    <xf numFmtId="0" fontId="34" fillId="17" borderId="9" xfId="0" applyFont="1" applyFill="1" applyBorder="1" applyAlignment="1">
      <alignment horizontal="center" vertical="center" wrapText="1"/>
    </xf>
    <xf numFmtId="0" fontId="34" fillId="17" borderId="25" xfId="0" applyFont="1" applyFill="1" applyBorder="1" applyAlignment="1">
      <alignment horizontal="center" vertical="center" wrapText="1"/>
    </xf>
    <xf numFmtId="0" fontId="34" fillId="16" borderId="25" xfId="0" applyFont="1" applyFill="1" applyBorder="1" applyAlignment="1">
      <alignment horizontal="center" vertical="center" wrapText="1"/>
    </xf>
    <xf numFmtId="0" fontId="34" fillId="16" borderId="25" xfId="0" applyFont="1" applyFill="1" applyBorder="1" applyAlignment="1" applyProtection="1">
      <alignment horizontal="center" vertical="center" wrapText="1"/>
      <protection locked="0"/>
    </xf>
    <xf numFmtId="0" fontId="18" fillId="0" borderId="0" xfId="0" applyFont="1" applyAlignment="1">
      <alignment horizontal="center" vertical="center"/>
    </xf>
    <xf numFmtId="0" fontId="18" fillId="0" borderId="9" xfId="0" applyFont="1" applyBorder="1" applyAlignment="1">
      <alignment horizontal="center" vertical="center"/>
    </xf>
    <xf numFmtId="0" fontId="34" fillId="15" borderId="9" xfId="0" applyFont="1" applyFill="1" applyBorder="1" applyAlignment="1">
      <alignment horizontal="center" vertical="center" wrapText="1"/>
    </xf>
    <xf numFmtId="0" fontId="34" fillId="26" borderId="9" xfId="0" applyFont="1" applyFill="1" applyBorder="1" applyAlignment="1">
      <alignment horizontal="center" vertical="center" wrapText="1"/>
    </xf>
    <xf numFmtId="0" fontId="34" fillId="27" borderId="9" xfId="0" applyFont="1" applyFill="1" applyBorder="1" applyAlignment="1">
      <alignment horizontal="center" vertical="center" wrapText="1"/>
    </xf>
    <xf numFmtId="0" fontId="34" fillId="30" borderId="9" xfId="0" applyFont="1" applyFill="1" applyBorder="1" applyAlignment="1">
      <alignment horizontal="center" vertical="center" wrapText="1"/>
    </xf>
    <xf numFmtId="0" fontId="34" fillId="19" borderId="9" xfId="0" applyFont="1" applyFill="1" applyBorder="1" applyAlignment="1">
      <alignment horizontal="center" vertical="center" wrapText="1"/>
    </xf>
    <xf numFmtId="0" fontId="34" fillId="20" borderId="9" xfId="0" applyFont="1" applyFill="1" applyBorder="1" applyAlignment="1">
      <alignment horizontal="center" vertical="center" wrapText="1"/>
    </xf>
    <xf numFmtId="0" fontId="34" fillId="19" borderId="14" xfId="0" applyFont="1" applyFill="1" applyBorder="1" applyAlignment="1">
      <alignment horizontal="center" vertical="center" wrapText="1"/>
    </xf>
    <xf numFmtId="0" fontId="34" fillId="20" borderId="14" xfId="0" applyFont="1" applyFill="1" applyBorder="1" applyAlignment="1">
      <alignment horizontal="center" vertical="center" wrapText="1"/>
    </xf>
    <xf numFmtId="0" fontId="34" fillId="23" borderId="14" xfId="0" applyFont="1" applyFill="1" applyBorder="1" applyAlignment="1">
      <alignment horizontal="center" vertical="center" wrapText="1"/>
    </xf>
    <xf numFmtId="0" fontId="34" fillId="17" borderId="14" xfId="0" applyFont="1" applyFill="1" applyBorder="1" applyAlignment="1">
      <alignment horizontal="center" vertical="center" wrapText="1"/>
    </xf>
    <xf numFmtId="0" fontId="5" fillId="4" borderId="0" xfId="0" applyFont="1" applyFill="1" applyAlignment="1">
      <alignment horizontal="left" vertical="center" wrapText="1"/>
    </xf>
    <xf numFmtId="0" fontId="34" fillId="4" borderId="25" xfId="0" applyFont="1" applyFill="1" applyBorder="1" applyAlignment="1">
      <alignment horizontal="left" vertical="center" wrapText="1"/>
    </xf>
    <xf numFmtId="0" fontId="34" fillId="4" borderId="9" xfId="0" applyFont="1" applyFill="1" applyBorder="1" applyAlignment="1">
      <alignment horizontal="left" vertical="center" wrapText="1"/>
    </xf>
    <xf numFmtId="0" fontId="34" fillId="4" borderId="14" xfId="0" applyFont="1" applyFill="1" applyBorder="1" applyAlignment="1">
      <alignment horizontal="left" vertical="center" wrapText="1"/>
    </xf>
    <xf numFmtId="0" fontId="41" fillId="39" borderId="25" xfId="0" applyFont="1" applyFill="1" applyBorder="1" applyAlignment="1">
      <alignment horizontal="left" vertical="center" wrapText="1"/>
    </xf>
    <xf numFmtId="0" fontId="5" fillId="0" borderId="0" xfId="0" applyFont="1" applyAlignment="1">
      <alignment horizontal="left" vertical="center" wrapText="1"/>
    </xf>
    <xf numFmtId="0" fontId="34" fillId="14" borderId="25" xfId="0" applyFont="1" applyFill="1" applyBorder="1" applyAlignment="1">
      <alignment horizontal="left" vertical="center" wrapText="1"/>
    </xf>
    <xf numFmtId="0" fontId="34" fillId="17" borderId="9" xfId="0" applyFont="1" applyFill="1" applyBorder="1" applyAlignment="1">
      <alignment horizontal="left" vertical="center" wrapText="1"/>
    </xf>
    <xf numFmtId="0" fontId="34" fillId="17" borderId="25" xfId="0" applyFont="1" applyFill="1" applyBorder="1" applyAlignment="1">
      <alignment horizontal="left" vertical="center" wrapText="1"/>
    </xf>
    <xf numFmtId="0" fontId="34" fillId="39" borderId="25" xfId="0" applyFont="1" applyFill="1" applyBorder="1" applyAlignment="1">
      <alignment horizontal="left" vertical="center" wrapText="1"/>
    </xf>
    <xf numFmtId="0" fontId="34" fillId="39" borderId="25" xfId="0" applyFont="1" applyFill="1" applyBorder="1" applyAlignment="1">
      <alignment horizontal="left" vertical="center"/>
    </xf>
    <xf numFmtId="0" fontId="34" fillId="39" borderId="25" xfId="0" applyFont="1" applyFill="1" applyBorder="1" applyAlignment="1">
      <alignment horizontal="left" vertical="center" textRotation="90" wrapText="1"/>
    </xf>
    <xf numFmtId="0" fontId="34" fillId="16" borderId="25" xfId="0" applyFont="1" applyFill="1" applyBorder="1" applyAlignment="1">
      <alignment horizontal="left" vertical="center" wrapText="1"/>
    </xf>
    <xf numFmtId="0" fontId="34" fillId="31" borderId="25" xfId="0" applyFont="1" applyFill="1" applyBorder="1" applyAlignment="1">
      <alignment horizontal="left" vertical="center" wrapText="1"/>
    </xf>
    <xf numFmtId="0" fontId="34" fillId="14" borderId="9" xfId="0" applyFont="1" applyFill="1" applyBorder="1" applyAlignment="1">
      <alignment horizontal="left" vertical="center" wrapText="1"/>
    </xf>
    <xf numFmtId="0" fontId="34" fillId="39" borderId="9" xfId="0" applyFont="1" applyFill="1" applyBorder="1" applyAlignment="1">
      <alignment horizontal="left" vertical="center" wrapText="1"/>
    </xf>
    <xf numFmtId="0" fontId="34" fillId="39" borderId="9" xfId="0" applyFont="1" applyFill="1" applyBorder="1" applyAlignment="1">
      <alignment horizontal="left" vertical="center"/>
    </xf>
    <xf numFmtId="0" fontId="34" fillId="39" borderId="9" xfId="0" applyFont="1" applyFill="1" applyBorder="1" applyAlignment="1">
      <alignment horizontal="left" vertical="center" textRotation="90" wrapText="1"/>
    </xf>
    <xf numFmtId="0" fontId="34" fillId="16" borderId="9" xfId="0" applyFont="1" applyFill="1" applyBorder="1" applyAlignment="1">
      <alignment horizontal="left" vertical="center" wrapText="1"/>
    </xf>
    <xf numFmtId="0" fontId="34" fillId="31" borderId="9" xfId="0" applyFont="1" applyFill="1" applyBorder="1" applyAlignment="1">
      <alignment horizontal="left" vertical="center" wrapText="1"/>
    </xf>
    <xf numFmtId="0" fontId="34" fillId="25" borderId="9" xfId="0" applyFont="1" applyFill="1" applyBorder="1" applyAlignment="1">
      <alignment horizontal="left" vertical="center" wrapText="1"/>
    </xf>
    <xf numFmtId="0" fontId="34" fillId="24" borderId="9" xfId="0" applyFont="1" applyFill="1" applyBorder="1" applyAlignment="1">
      <alignment horizontal="left" vertical="center" wrapText="1"/>
    </xf>
    <xf numFmtId="0" fontId="34" fillId="30" borderId="9" xfId="0" applyFont="1" applyFill="1" applyBorder="1" applyAlignment="1">
      <alignment horizontal="left" vertical="center" wrapText="1"/>
    </xf>
    <xf numFmtId="0" fontId="34" fillId="18" borderId="9" xfId="0" applyFont="1" applyFill="1" applyBorder="1" applyAlignment="1">
      <alignment horizontal="left" vertical="center" wrapText="1"/>
    </xf>
    <xf numFmtId="0" fontId="34" fillId="23" borderId="9" xfId="0" applyFont="1" applyFill="1" applyBorder="1" applyAlignment="1">
      <alignment horizontal="left" vertical="center" wrapText="1"/>
    </xf>
    <xf numFmtId="0" fontId="34" fillId="4" borderId="25" xfId="0" applyFont="1" applyFill="1" applyBorder="1" applyAlignment="1">
      <alignment horizontal="left" vertical="center"/>
    </xf>
    <xf numFmtId="0" fontId="34" fillId="4" borderId="9" xfId="0" applyFont="1" applyFill="1" applyBorder="1" applyAlignment="1">
      <alignment horizontal="left" vertical="center"/>
    </xf>
    <xf numFmtId="0" fontId="34" fillId="18" borderId="14" xfId="0" applyFont="1" applyFill="1" applyBorder="1" applyAlignment="1">
      <alignment horizontal="left" vertical="center" wrapText="1"/>
    </xf>
    <xf numFmtId="0" fontId="34" fillId="20" borderId="14" xfId="0" applyFont="1" applyFill="1" applyBorder="1" applyAlignment="1">
      <alignment horizontal="left" vertical="center" wrapText="1"/>
    </xf>
    <xf numFmtId="0" fontId="34" fillId="21" borderId="14" xfId="0" applyFont="1" applyFill="1" applyBorder="1" applyAlignment="1">
      <alignment horizontal="left" vertical="center" wrapText="1"/>
    </xf>
    <xf numFmtId="0" fontId="34" fillId="22" borderId="14" xfId="0" applyFont="1" applyFill="1" applyBorder="1" applyAlignment="1">
      <alignment horizontal="left" vertical="center"/>
    </xf>
    <xf numFmtId="0" fontId="34" fillId="22" borderId="14" xfId="0" applyFont="1" applyFill="1" applyBorder="1" applyAlignment="1">
      <alignment horizontal="left" vertical="center" textRotation="90" wrapText="1"/>
    </xf>
    <xf numFmtId="0" fontId="34" fillId="22" borderId="14" xfId="0" applyFont="1" applyFill="1" applyBorder="1" applyAlignment="1">
      <alignment horizontal="left" vertical="center" wrapText="1"/>
    </xf>
    <xf numFmtId="0" fontId="34" fillId="21" borderId="14" xfId="0" applyFont="1" applyFill="1" applyBorder="1" applyAlignment="1">
      <alignment horizontal="left" vertical="center"/>
    </xf>
    <xf numFmtId="0" fontId="34" fillId="32" borderId="14" xfId="0" applyFont="1" applyFill="1" applyBorder="1" applyAlignment="1">
      <alignment horizontal="left" vertical="center" wrapText="1"/>
    </xf>
    <xf numFmtId="0" fontId="34" fillId="29" borderId="9" xfId="0" applyFont="1" applyFill="1" applyBorder="1" applyAlignment="1">
      <alignment horizontal="left" vertical="center" wrapText="1"/>
    </xf>
    <xf numFmtId="0" fontId="34" fillId="40" borderId="9" xfId="0" applyFont="1" applyFill="1" applyBorder="1" applyAlignment="1">
      <alignment horizontal="left" vertical="center" wrapText="1"/>
    </xf>
    <xf numFmtId="0" fontId="34" fillId="32" borderId="9" xfId="0" applyFont="1" applyFill="1" applyBorder="1" applyAlignment="1">
      <alignment horizontal="left" vertical="center" wrapText="1"/>
    </xf>
    <xf numFmtId="0" fontId="34" fillId="23" borderId="14" xfId="0" applyFont="1" applyFill="1" applyBorder="1" applyAlignment="1">
      <alignment horizontal="left" vertical="center" wrapText="1"/>
    </xf>
    <xf numFmtId="0" fontId="34" fillId="31" borderId="14" xfId="0" applyFont="1" applyFill="1" applyBorder="1" applyAlignment="1">
      <alignment horizontal="left" vertical="center" wrapText="1"/>
    </xf>
    <xf numFmtId="0" fontId="34" fillId="31" borderId="50" xfId="0" applyFont="1" applyFill="1" applyBorder="1" applyAlignment="1">
      <alignment horizontal="left" vertical="center" wrapText="1"/>
    </xf>
    <xf numFmtId="0" fontId="34" fillId="31" borderId="21" xfId="0" applyFont="1" applyFill="1" applyBorder="1" applyAlignment="1">
      <alignment horizontal="left" vertical="center" wrapText="1"/>
    </xf>
    <xf numFmtId="0" fontId="11"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1" fillId="0" borderId="3" xfId="0" applyFont="1" applyBorder="1" applyAlignment="1">
      <alignment horizontal="center" vertical="center" wrapText="1"/>
    </xf>
    <xf numFmtId="0" fontId="23" fillId="0" borderId="9" xfId="0" applyFont="1" applyBorder="1" applyAlignment="1">
      <alignment horizontal="center" vertical="center" wrapText="1"/>
    </xf>
    <xf numFmtId="0" fontId="24"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7" fillId="5" borderId="4" xfId="0" applyFont="1" applyFill="1" applyBorder="1" applyAlignment="1">
      <alignment horizontal="center" vertical="center" wrapText="1"/>
    </xf>
    <xf numFmtId="0" fontId="36" fillId="5" borderId="5" xfId="0" applyFont="1" applyFill="1" applyBorder="1" applyAlignment="1">
      <alignment horizontal="center" vertical="center" textRotation="90" wrapText="1"/>
    </xf>
    <xf numFmtId="0" fontId="34" fillId="5" borderId="25" xfId="0" applyFont="1" applyFill="1" applyBorder="1" applyAlignment="1">
      <alignment horizontal="center" vertical="center" wrapText="1"/>
    </xf>
    <xf numFmtId="0" fontId="34" fillId="5" borderId="9" xfId="0" applyFont="1" applyFill="1" applyBorder="1" applyAlignment="1">
      <alignment horizontal="center" vertical="center" wrapText="1"/>
    </xf>
    <xf numFmtId="0" fontId="34" fillId="49" borderId="9" xfId="0" applyFont="1" applyFill="1" applyBorder="1" applyAlignment="1">
      <alignment horizontal="center" vertical="center" wrapText="1"/>
    </xf>
    <xf numFmtId="0" fontId="34" fillId="50" borderId="9" xfId="0" applyFont="1" applyFill="1" applyBorder="1" applyAlignment="1">
      <alignment horizontal="center" vertical="center" wrapText="1"/>
    </xf>
    <xf numFmtId="0" fontId="34" fillId="50" borderId="14" xfId="0" applyFont="1" applyFill="1" applyBorder="1" applyAlignment="1">
      <alignment horizontal="center" vertical="center" wrapText="1"/>
    </xf>
    <xf numFmtId="0" fontId="34" fillId="5" borderId="14" xfId="0" applyFont="1" applyFill="1" applyBorder="1" applyAlignment="1">
      <alignment horizontal="center" vertical="center" wrapText="1"/>
    </xf>
    <xf numFmtId="0" fontId="36" fillId="45" borderId="4" xfId="0" applyFont="1" applyFill="1" applyBorder="1" applyAlignment="1">
      <alignment horizontal="center" vertical="center" textRotation="90" wrapText="1"/>
    </xf>
    <xf numFmtId="0" fontId="34" fillId="45" borderId="25" xfId="0" applyFont="1" applyFill="1" applyBorder="1" applyAlignment="1">
      <alignment horizontal="center" vertical="center" wrapText="1"/>
    </xf>
    <xf numFmtId="0" fontId="34" fillId="45" borderId="9" xfId="0" applyFont="1" applyFill="1" applyBorder="1" applyAlignment="1">
      <alignment horizontal="center" vertical="center" wrapText="1"/>
    </xf>
    <xf numFmtId="0" fontId="34" fillId="48" borderId="9" xfId="0" applyFont="1" applyFill="1" applyBorder="1" applyAlignment="1">
      <alignment horizontal="center" vertical="center" wrapText="1"/>
    </xf>
    <xf numFmtId="0" fontId="34" fillId="47" borderId="9" xfId="0" applyFont="1" applyFill="1" applyBorder="1" applyAlignment="1">
      <alignment horizontal="center" vertical="center" wrapText="1"/>
    </xf>
    <xf numFmtId="0" fontId="34" fillId="47" borderId="14" xfId="0" applyFont="1" applyFill="1" applyBorder="1" applyAlignment="1">
      <alignment horizontal="center" vertical="center" wrapText="1"/>
    </xf>
    <xf numFmtId="0" fontId="34" fillId="45" borderId="14" xfId="0" applyFont="1" applyFill="1" applyBorder="1" applyAlignment="1">
      <alignment horizontal="center" vertical="center" wrapText="1"/>
    </xf>
    <xf numFmtId="0" fontId="49" fillId="4" borderId="9" xfId="0" applyFont="1" applyFill="1" applyBorder="1" applyAlignment="1">
      <alignment horizontal="center" vertical="center" wrapText="1"/>
    </xf>
    <xf numFmtId="0" fontId="16" fillId="17" borderId="4" xfId="0" applyFont="1" applyFill="1" applyBorder="1" applyAlignment="1">
      <alignment horizontal="center" vertical="center"/>
    </xf>
    <xf numFmtId="0" fontId="50" fillId="4" borderId="0" xfId="0" applyFont="1" applyFill="1" applyAlignment="1">
      <alignment horizontal="center" vertical="center" wrapText="1"/>
    </xf>
    <xf numFmtId="0" fontId="53" fillId="4" borderId="0" xfId="0" applyFont="1" applyFill="1" applyAlignment="1">
      <alignment horizontal="center" vertical="center" wrapText="1"/>
    </xf>
    <xf numFmtId="0" fontId="51" fillId="4" borderId="0" xfId="0" applyFont="1" applyFill="1" applyAlignment="1">
      <alignment vertical="top" wrapText="1"/>
    </xf>
    <xf numFmtId="0" fontId="54" fillId="4" borderId="0" xfId="0" applyFont="1" applyFill="1" applyAlignment="1">
      <alignment horizontal="center" vertical="center"/>
    </xf>
    <xf numFmtId="0" fontId="16" fillId="16" borderId="39" xfId="0" applyFont="1" applyFill="1" applyBorder="1" applyAlignment="1">
      <alignment horizontal="center" vertical="center" wrapText="1"/>
    </xf>
    <xf numFmtId="0" fontId="18" fillId="16" borderId="50" xfId="0" applyFont="1" applyFill="1" applyBorder="1" applyAlignment="1" applyProtection="1">
      <alignment horizontal="center" vertical="center" wrapText="1"/>
      <protection locked="0"/>
    </xf>
    <xf numFmtId="0" fontId="18" fillId="16" borderId="21" xfId="0" applyFont="1" applyFill="1" applyBorder="1" applyAlignment="1" applyProtection="1">
      <alignment horizontal="center" vertical="center" wrapText="1"/>
      <protection locked="0"/>
    </xf>
    <xf numFmtId="0" fontId="18" fillId="30" borderId="21" xfId="0" applyFont="1" applyFill="1" applyBorder="1" applyAlignment="1" applyProtection="1">
      <alignment horizontal="center" vertical="center" wrapText="1"/>
      <protection locked="0"/>
    </xf>
    <xf numFmtId="0" fontId="16" fillId="16" borderId="9" xfId="0" applyFont="1" applyFill="1" applyBorder="1" applyAlignment="1">
      <alignment horizontal="center" vertical="center" wrapText="1"/>
    </xf>
    <xf numFmtId="0" fontId="8" fillId="0" borderId="9" xfId="0" applyFont="1" applyBorder="1"/>
    <xf numFmtId="0" fontId="18" fillId="0" borderId="9" xfId="0" applyFont="1" applyBorder="1"/>
    <xf numFmtId="0" fontId="18" fillId="16" borderId="21" xfId="0" applyFont="1" applyFill="1" applyBorder="1" applyAlignment="1">
      <alignment horizontal="center" vertical="center" wrapText="1"/>
    </xf>
    <xf numFmtId="0" fontId="18" fillId="16" borderId="37" xfId="0" applyFont="1" applyFill="1" applyBorder="1" applyAlignment="1">
      <alignment horizontal="center" vertical="center" wrapText="1"/>
    </xf>
    <xf numFmtId="0" fontId="18" fillId="23" borderId="21" xfId="0" applyFont="1" applyFill="1" applyBorder="1" applyAlignment="1">
      <alignment horizontal="center" vertical="center" wrapText="1"/>
    </xf>
    <xf numFmtId="0" fontId="18" fillId="29" borderId="21" xfId="0" applyFont="1" applyFill="1" applyBorder="1" applyAlignment="1">
      <alignment horizontal="center" vertical="center" wrapText="1"/>
    </xf>
    <xf numFmtId="0" fontId="18" fillId="0" borderId="9" xfId="0" applyFont="1" applyBorder="1" applyAlignment="1">
      <alignment vertical="center" wrapText="1"/>
    </xf>
    <xf numFmtId="0" fontId="34" fillId="0" borderId="9" xfId="0" applyFont="1" applyBorder="1" applyAlignment="1">
      <alignment vertical="center" wrapText="1"/>
    </xf>
    <xf numFmtId="0" fontId="34" fillId="39" borderId="9" xfId="0" applyFont="1" applyFill="1" applyBorder="1" applyAlignment="1">
      <alignment vertical="center" wrapText="1"/>
    </xf>
    <xf numFmtId="0" fontId="34" fillId="0" borderId="9" xfId="0" applyFont="1" applyBorder="1" applyAlignment="1">
      <alignment horizontal="left" vertical="center" wrapText="1"/>
    </xf>
    <xf numFmtId="0" fontId="43" fillId="0" borderId="9" xfId="0" applyFont="1" applyBorder="1" applyAlignment="1">
      <alignment vertical="center" wrapText="1"/>
    </xf>
    <xf numFmtId="0" fontId="18" fillId="16" borderId="21" xfId="0" applyFont="1" applyFill="1" applyBorder="1" applyAlignment="1" applyProtection="1">
      <alignment horizontal="left" vertical="center" wrapText="1"/>
      <protection locked="0"/>
    </xf>
    <xf numFmtId="0" fontId="18" fillId="23" borderId="38" xfId="0" applyFont="1" applyFill="1" applyBorder="1" applyAlignment="1" applyProtection="1">
      <alignment horizontal="left" vertical="center" wrapText="1"/>
      <protection locked="0"/>
    </xf>
    <xf numFmtId="0" fontId="18" fillId="29" borderId="9" xfId="0" applyFont="1" applyFill="1" applyBorder="1" applyAlignment="1" applyProtection="1">
      <alignment horizontal="left" vertical="center" wrapText="1"/>
      <protection locked="0"/>
    </xf>
    <xf numFmtId="0" fontId="18" fillId="29" borderId="50" xfId="0" applyFont="1" applyFill="1" applyBorder="1" applyAlignment="1" applyProtection="1">
      <alignment horizontal="left" vertical="center" wrapText="1"/>
      <protection locked="0"/>
    </xf>
    <xf numFmtId="0" fontId="34" fillId="16" borderId="21" xfId="0" applyFont="1" applyFill="1" applyBorder="1" applyAlignment="1">
      <alignment horizontal="left" vertical="center" wrapText="1"/>
    </xf>
    <xf numFmtId="0" fontId="55" fillId="16" borderId="50" xfId="0" applyFont="1" applyFill="1" applyBorder="1" applyAlignment="1">
      <alignment horizontal="left" vertical="center" wrapText="1"/>
    </xf>
    <xf numFmtId="0" fontId="16" fillId="5" borderId="1" xfId="0" applyFont="1" applyFill="1" applyBorder="1" applyAlignment="1">
      <alignment vertical="center" wrapText="1"/>
    </xf>
    <xf numFmtId="0" fontId="16" fillId="5" borderId="22" xfId="0" applyFont="1" applyFill="1" applyBorder="1" applyAlignment="1">
      <alignment vertical="center" wrapText="1"/>
    </xf>
    <xf numFmtId="0" fontId="16" fillId="5" borderId="6" xfId="0" applyFont="1" applyFill="1" applyBorder="1" applyAlignment="1">
      <alignment vertical="center" wrapText="1"/>
    </xf>
    <xf numFmtId="0" fontId="16" fillId="5" borderId="0" xfId="0" applyFont="1" applyFill="1" applyAlignment="1">
      <alignment vertical="center" wrapText="1"/>
    </xf>
    <xf numFmtId="0" fontId="16" fillId="5" borderId="43" xfId="0" applyFont="1" applyFill="1" applyBorder="1" applyAlignment="1">
      <alignment vertical="center" wrapText="1"/>
    </xf>
    <xf numFmtId="0" fontId="8" fillId="0" borderId="25" xfId="0" applyFont="1" applyBorder="1"/>
    <xf numFmtId="0" fontId="34" fillId="16" borderId="37" xfId="0" applyFont="1" applyFill="1" applyBorder="1" applyAlignment="1">
      <alignment horizontal="left" vertical="center" wrapText="1"/>
    </xf>
    <xf numFmtId="0" fontId="34" fillId="23" borderId="21" xfId="0" applyFont="1" applyFill="1" applyBorder="1" applyAlignment="1">
      <alignment horizontal="left" vertical="center" wrapText="1"/>
    </xf>
    <xf numFmtId="0" fontId="18" fillId="23" borderId="21" xfId="0" applyFont="1" applyFill="1" applyBorder="1" applyAlignment="1">
      <alignment horizontal="left" vertical="center" wrapText="1"/>
    </xf>
    <xf numFmtId="0" fontId="38" fillId="0" borderId="21" xfId="0" applyFont="1" applyBorder="1" applyAlignment="1">
      <alignment vertical="center" wrapText="1"/>
    </xf>
    <xf numFmtId="0" fontId="37" fillId="0" borderId="52" xfId="0" applyFont="1" applyBorder="1" applyAlignment="1">
      <alignment vertical="center" wrapText="1"/>
    </xf>
    <xf numFmtId="0" fontId="38" fillId="0" borderId="50" xfId="0" applyFont="1" applyBorder="1" applyAlignment="1">
      <alignment vertical="center" wrapText="1"/>
    </xf>
    <xf numFmtId="0" fontId="38" fillId="24" borderId="21" xfId="0" applyFont="1" applyFill="1" applyBorder="1" applyAlignment="1">
      <alignment vertical="center" wrapText="1"/>
    </xf>
    <xf numFmtId="0" fontId="38" fillId="0" borderId="38" xfId="0" applyFont="1" applyBorder="1" applyAlignment="1">
      <alignment vertical="center" wrapText="1"/>
    </xf>
    <xf numFmtId="0" fontId="38" fillId="28" borderId="21" xfId="0" applyFont="1" applyFill="1" applyBorder="1" applyAlignment="1">
      <alignment vertical="center" wrapText="1"/>
    </xf>
    <xf numFmtId="0" fontId="34" fillId="51" borderId="9" xfId="0" applyFont="1" applyFill="1" applyBorder="1" applyAlignment="1" applyProtection="1">
      <alignment horizontal="left" vertical="center" wrapText="1"/>
      <protection locked="0"/>
    </xf>
    <xf numFmtId="0" fontId="34" fillId="52" borderId="9" xfId="0" applyFont="1" applyFill="1" applyBorder="1" applyAlignment="1" applyProtection="1">
      <alignment horizontal="left" vertical="center" wrapText="1"/>
      <protection locked="0"/>
    </xf>
    <xf numFmtId="0" fontId="30" fillId="4" borderId="0" xfId="0" applyFont="1" applyFill="1" applyAlignment="1">
      <alignment horizontal="center" vertical="center"/>
    </xf>
    <xf numFmtId="0" fontId="17" fillId="4" borderId="0" xfId="0" applyFont="1" applyFill="1" applyAlignment="1">
      <alignment horizontal="center" vertical="center"/>
    </xf>
    <xf numFmtId="0" fontId="26" fillId="5" borderId="1" xfId="0" applyFont="1" applyFill="1" applyBorder="1" applyAlignment="1">
      <alignment horizontal="left" vertical="center" wrapText="1"/>
    </xf>
    <xf numFmtId="0" fontId="26" fillId="5" borderId="22" xfId="0" applyFont="1" applyFill="1" applyBorder="1" applyAlignment="1">
      <alignment horizontal="left" vertical="center" wrapText="1"/>
    </xf>
    <xf numFmtId="0" fontId="26" fillId="5" borderId="7" xfId="0" applyFont="1" applyFill="1" applyBorder="1" applyAlignment="1">
      <alignment horizontal="left" vertical="center" wrapText="1"/>
    </xf>
    <xf numFmtId="0" fontId="16" fillId="5" borderId="1" xfId="0" applyFont="1" applyFill="1" applyBorder="1" applyAlignment="1">
      <alignment horizontal="left" vertical="center" wrapText="1"/>
    </xf>
    <xf numFmtId="0" fontId="16" fillId="5" borderId="22" xfId="0" applyFont="1" applyFill="1" applyBorder="1" applyAlignment="1">
      <alignment horizontal="left" vertical="center" wrapText="1"/>
    </xf>
    <xf numFmtId="0" fontId="16" fillId="5" borderId="6" xfId="0" applyFont="1" applyFill="1" applyBorder="1" applyAlignment="1">
      <alignment horizontal="left" vertical="center" wrapText="1"/>
    </xf>
    <xf numFmtId="0" fontId="14" fillId="5" borderId="2" xfId="0" applyFont="1" applyFill="1" applyBorder="1" applyAlignment="1">
      <alignment horizontal="right" vertical="center" wrapText="1"/>
    </xf>
    <xf numFmtId="0" fontId="14" fillId="5" borderId="3" xfId="0" applyFont="1" applyFill="1" applyBorder="1" applyAlignment="1">
      <alignment horizontal="right" vertical="center" wrapText="1"/>
    </xf>
    <xf numFmtId="0" fontId="14" fillId="5" borderId="4" xfId="0" applyFont="1" applyFill="1" applyBorder="1" applyAlignment="1">
      <alignment horizontal="right" vertical="center" wrapText="1"/>
    </xf>
    <xf numFmtId="0" fontId="14" fillId="5" borderId="5" xfId="0" applyFont="1" applyFill="1" applyBorder="1" applyAlignment="1">
      <alignment horizontal="right" vertical="center" wrapText="1"/>
    </xf>
    <xf numFmtId="0" fontId="33" fillId="5" borderId="2" xfId="0" applyFont="1" applyFill="1" applyBorder="1" applyAlignment="1">
      <alignment horizontal="center" vertical="center" wrapText="1"/>
    </xf>
    <xf numFmtId="0" fontId="33" fillId="5" borderId="3" xfId="0" applyFont="1" applyFill="1" applyBorder="1" applyAlignment="1">
      <alignment horizontal="center" vertical="center" wrapText="1"/>
    </xf>
    <xf numFmtId="0" fontId="33" fillId="45" borderId="2" xfId="0" applyFont="1" applyFill="1" applyBorder="1" applyAlignment="1">
      <alignment horizontal="center" vertical="center" wrapText="1"/>
    </xf>
    <xf numFmtId="0" fontId="33" fillId="45" borderId="3" xfId="0" applyFont="1" applyFill="1" applyBorder="1" applyAlignment="1">
      <alignment horizontal="center" vertical="center" wrapText="1"/>
    </xf>
    <xf numFmtId="0" fontId="33" fillId="17" borderId="2"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2" fillId="5" borderId="46" xfId="0" applyFont="1" applyFill="1" applyBorder="1" applyAlignment="1">
      <alignment horizontal="center" vertical="center" wrapText="1"/>
    </xf>
    <xf numFmtId="0" fontId="2" fillId="5" borderId="0" xfId="0" applyFont="1" applyFill="1" applyAlignment="1">
      <alignment horizontal="center" vertical="center" wrapText="1"/>
    </xf>
    <xf numFmtId="0" fontId="16" fillId="16" borderId="50" xfId="0" applyFont="1" applyFill="1" applyBorder="1" applyAlignment="1">
      <alignment horizontal="center" vertical="center" wrapText="1"/>
    </xf>
    <xf numFmtId="0" fontId="16" fillId="16" borderId="31" xfId="0" applyFont="1" applyFill="1" applyBorder="1" applyAlignment="1">
      <alignment horizontal="center" vertical="center" wrapText="1"/>
    </xf>
    <xf numFmtId="0" fontId="16" fillId="5" borderId="0" xfId="0" applyFont="1" applyFill="1" applyAlignment="1">
      <alignment horizontal="left" vertical="center" wrapText="1"/>
    </xf>
    <xf numFmtId="0" fontId="16" fillId="5" borderId="43" xfId="0" applyFont="1" applyFill="1" applyBorder="1" applyAlignment="1">
      <alignment horizontal="left"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2" fillId="5" borderId="33"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16" fillId="16" borderId="9" xfId="0" applyFont="1" applyFill="1" applyBorder="1" applyAlignment="1">
      <alignment horizontal="center" vertical="center" wrapText="1"/>
    </xf>
    <xf numFmtId="0" fontId="16" fillId="5" borderId="30" xfId="0" applyFont="1" applyFill="1" applyBorder="1" applyAlignment="1">
      <alignment horizontal="left" vertical="center" wrapText="1"/>
    </xf>
    <xf numFmtId="0" fontId="16" fillId="5" borderId="31" xfId="0" applyFont="1" applyFill="1" applyBorder="1" applyAlignment="1">
      <alignment horizontal="left" vertical="center" wrapText="1"/>
    </xf>
    <xf numFmtId="0" fontId="16" fillId="5" borderId="36" xfId="0" applyFont="1" applyFill="1" applyBorder="1" applyAlignment="1">
      <alignment horizontal="left" vertical="center" wrapText="1"/>
    </xf>
    <xf numFmtId="0" fontId="2" fillId="5" borderId="28" xfId="0" applyFont="1" applyFill="1" applyBorder="1" applyAlignment="1">
      <alignment horizontal="center" vertical="center" wrapText="1"/>
    </xf>
    <xf numFmtId="0" fontId="10" fillId="4" borderId="0" xfId="0" applyFont="1" applyFill="1" applyAlignment="1">
      <alignment horizontal="center"/>
    </xf>
    <xf numFmtId="0" fontId="9" fillId="4" borderId="0" xfId="0" applyFont="1" applyFill="1" applyAlignment="1">
      <alignment horizontal="center" vertical="center" textRotation="90"/>
    </xf>
    <xf numFmtId="0" fontId="9" fillId="4" borderId="6" xfId="0" applyFont="1" applyFill="1" applyBorder="1" applyAlignment="1">
      <alignment horizontal="center"/>
    </xf>
    <xf numFmtId="0" fontId="20" fillId="5" borderId="26" xfId="0" applyFont="1" applyFill="1" applyBorder="1" applyAlignment="1">
      <alignment horizontal="left" vertical="center" wrapText="1"/>
    </xf>
    <xf numFmtId="0" fontId="20" fillId="5" borderId="27" xfId="0" applyFont="1" applyFill="1" applyBorder="1" applyAlignment="1">
      <alignment horizontal="left" vertical="center" wrapText="1"/>
    </xf>
    <xf numFmtId="0" fontId="20" fillId="5" borderId="51" xfId="0" applyFont="1" applyFill="1" applyBorder="1" applyAlignment="1">
      <alignment horizontal="left" vertical="center" wrapText="1"/>
    </xf>
    <xf numFmtId="0" fontId="7" fillId="31" borderId="8" xfId="0" applyFont="1" applyFill="1" applyBorder="1" applyAlignment="1">
      <alignment horizontal="center" vertical="center" wrapText="1"/>
    </xf>
    <xf numFmtId="0" fontId="7" fillId="31" borderId="11" xfId="0" applyFont="1" applyFill="1" applyBorder="1" applyAlignment="1">
      <alignment horizontal="center" vertical="center" wrapText="1"/>
    </xf>
    <xf numFmtId="0" fontId="25" fillId="5" borderId="40" xfId="0" applyFont="1" applyFill="1" applyBorder="1" applyAlignment="1">
      <alignment horizontal="center" vertical="center" wrapText="1"/>
    </xf>
    <xf numFmtId="0" fontId="21" fillId="5" borderId="41" xfId="0" applyFont="1" applyFill="1" applyBorder="1" applyAlignment="1">
      <alignment horizontal="center" vertical="center" wrapText="1"/>
    </xf>
    <xf numFmtId="0" fontId="21" fillId="5" borderId="42" xfId="0" applyFont="1" applyFill="1" applyBorder="1" applyAlignment="1">
      <alignment horizontal="center" vertical="center" wrapText="1"/>
    </xf>
    <xf numFmtId="0" fontId="21" fillId="5" borderId="4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45" borderId="2" xfId="0" applyFont="1" applyFill="1" applyBorder="1" applyAlignment="1">
      <alignment horizontal="center" vertical="center" wrapText="1"/>
    </xf>
    <xf numFmtId="0" fontId="2" fillId="45" borderId="3"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10" xfId="0" applyFont="1" applyFill="1" applyBorder="1" applyAlignment="1">
      <alignment horizontal="center" vertical="center" wrapText="1"/>
    </xf>
    <xf numFmtId="0" fontId="7" fillId="16" borderId="37" xfId="0" applyFont="1" applyFill="1" applyBorder="1" applyAlignment="1">
      <alignment horizontal="center" vertical="center" wrapText="1"/>
    </xf>
    <xf numFmtId="0" fontId="20" fillId="5" borderId="28" xfId="0" applyFont="1" applyFill="1" applyBorder="1" applyAlignment="1">
      <alignment horizontal="left" vertical="center" wrapText="1"/>
    </xf>
    <xf numFmtId="0" fontId="20" fillId="5" borderId="9"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5" borderId="22" xfId="0" applyFont="1" applyFill="1" applyBorder="1" applyAlignment="1">
      <alignment horizontal="left" vertical="center" wrapText="1"/>
    </xf>
    <xf numFmtId="0" fontId="20" fillId="5" borderId="7" xfId="0" applyFont="1" applyFill="1" applyBorder="1" applyAlignment="1">
      <alignment horizontal="left" vertical="center" wrapText="1"/>
    </xf>
    <xf numFmtId="0" fontId="52" fillId="4" borderId="0" xfId="0" applyFont="1" applyFill="1" applyAlignment="1" applyProtection="1">
      <alignment horizontal="center" vertical="center"/>
      <protection hidden="1"/>
    </xf>
    <xf numFmtId="0" fontId="25" fillId="5" borderId="40" xfId="0" applyFont="1" applyFill="1" applyBorder="1" applyAlignment="1" applyProtection="1">
      <alignment horizontal="center" vertical="center" wrapText="1"/>
      <protection hidden="1"/>
    </xf>
    <xf numFmtId="0" fontId="25" fillId="5" borderId="48"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29" fillId="35" borderId="0" xfId="0" applyFont="1" applyFill="1" applyAlignment="1">
      <alignment horizontal="left" vertical="center"/>
    </xf>
    <xf numFmtId="0" fontId="29" fillId="36" borderId="0" xfId="0" applyFont="1" applyFill="1" applyAlignment="1">
      <alignment horizontal="left" vertical="center"/>
    </xf>
    <xf numFmtId="0" fontId="29" fillId="33" borderId="0" xfId="0" applyFont="1" applyFill="1" applyAlignment="1">
      <alignment horizontal="left" vertical="center"/>
    </xf>
    <xf numFmtId="0" fontId="29" fillId="34" borderId="0" xfId="0" applyFont="1" applyFill="1" applyAlignment="1">
      <alignment horizontal="left" vertical="center"/>
    </xf>
    <xf numFmtId="0" fontId="29" fillId="9" borderId="0" xfId="0" applyFont="1" applyFill="1" applyAlignment="1">
      <alignment horizontal="left" vertical="center"/>
    </xf>
    <xf numFmtId="0" fontId="41" fillId="14" borderId="9" xfId="0" applyFont="1" applyFill="1" applyBorder="1" applyAlignment="1" applyProtection="1">
      <alignment horizontal="left" vertical="center" wrapText="1"/>
      <protection locked="0"/>
    </xf>
    <xf numFmtId="0" fontId="41" fillId="47" borderId="9" xfId="0" applyFont="1" applyFill="1" applyBorder="1" applyAlignment="1" applyProtection="1">
      <alignment horizontal="center" vertical="center" wrapText="1"/>
      <protection locked="0"/>
    </xf>
    <xf numFmtId="0" fontId="56" fillId="53" borderId="53" xfId="20"/>
    <xf numFmtId="0" fontId="56" fillId="57" borderId="53" xfId="20" applyFill="1"/>
    <xf numFmtId="0" fontId="65" fillId="57" borderId="53" xfId="20" applyFont="1" applyFill="1"/>
    <xf numFmtId="0" fontId="65" fillId="53" borderId="69" xfId="20" applyFont="1" applyBorder="1" applyAlignment="1">
      <alignment horizontal="center" vertical="center"/>
    </xf>
    <xf numFmtId="0" fontId="56" fillId="60" borderId="55" xfId="20" applyFill="1" applyBorder="1"/>
    <xf numFmtId="0" fontId="56" fillId="61" borderId="63" xfId="20" applyFill="1" applyBorder="1"/>
    <xf numFmtId="0" fontId="67" fillId="62" borderId="56" xfId="20" applyFont="1" applyFill="1" applyBorder="1" applyAlignment="1">
      <alignment horizontal="center" vertical="center" wrapText="1"/>
    </xf>
    <xf numFmtId="0" fontId="56" fillId="57" borderId="53" xfId="20" applyFill="1" applyAlignment="1">
      <alignment horizontal="left" vertical="center"/>
    </xf>
    <xf numFmtId="0" fontId="67" fillId="60" borderId="62" xfId="20" applyFont="1" applyFill="1" applyBorder="1" applyAlignment="1">
      <alignment horizontal="center" vertical="center" wrapText="1"/>
    </xf>
    <xf numFmtId="0" fontId="67" fillId="62" borderId="62" xfId="20" applyFont="1" applyFill="1" applyBorder="1" applyAlignment="1">
      <alignment horizontal="center" vertical="center" wrapText="1"/>
    </xf>
    <xf numFmtId="0" fontId="65" fillId="53" borderId="70" xfId="20" applyFont="1" applyBorder="1" applyAlignment="1">
      <alignment horizontal="center" vertical="center"/>
    </xf>
    <xf numFmtId="0" fontId="56" fillId="61" borderId="62" xfId="20" applyFill="1" applyBorder="1"/>
    <xf numFmtId="0" fontId="56" fillId="63" borderId="62" xfId="20" applyFill="1" applyBorder="1"/>
    <xf numFmtId="0" fontId="56" fillId="64" borderId="64" xfId="20" applyFill="1" applyBorder="1"/>
    <xf numFmtId="0" fontId="67" fillId="61" borderId="62" xfId="20" applyFont="1" applyFill="1" applyBorder="1" applyAlignment="1">
      <alignment horizontal="center" vertical="center" wrapText="1"/>
    </xf>
    <xf numFmtId="0" fontId="67" fillId="64" borderId="62" xfId="20" applyFont="1" applyFill="1" applyBorder="1" applyAlignment="1">
      <alignment horizontal="center" vertical="center" wrapText="1"/>
    </xf>
    <xf numFmtId="0" fontId="56" fillId="64" borderId="62" xfId="20" applyFill="1" applyBorder="1"/>
    <xf numFmtId="0" fontId="67" fillId="63" borderId="62" xfId="20" applyFont="1" applyFill="1" applyBorder="1" applyAlignment="1">
      <alignment horizontal="center" vertical="center" wrapText="1"/>
    </xf>
    <xf numFmtId="0" fontId="67" fillId="65" borderId="62" xfId="20" applyFont="1" applyFill="1" applyBorder="1" applyAlignment="1">
      <alignment horizontal="center" vertical="center" wrapText="1"/>
    </xf>
    <xf numFmtId="0" fontId="65" fillId="53" borderId="71" xfId="20" applyFont="1" applyBorder="1" applyAlignment="1">
      <alignment horizontal="center" vertical="center"/>
    </xf>
    <xf numFmtId="0" fontId="67" fillId="65" borderId="57" xfId="20" applyFont="1" applyFill="1" applyBorder="1" applyAlignment="1">
      <alignment horizontal="center" vertical="center" wrapText="1"/>
    </xf>
    <xf numFmtId="0" fontId="67" fillId="65" borderId="65" xfId="20" applyFont="1" applyFill="1" applyBorder="1" applyAlignment="1">
      <alignment horizontal="center" vertical="center" wrapText="1"/>
    </xf>
    <xf numFmtId="0" fontId="67" fillId="65" borderId="58" xfId="20" applyFont="1" applyFill="1" applyBorder="1" applyAlignment="1">
      <alignment horizontal="center" vertical="center" wrapText="1"/>
    </xf>
    <xf numFmtId="0" fontId="65" fillId="53" borderId="53" xfId="20" applyFont="1"/>
    <xf numFmtId="0" fontId="65" fillId="53" borderId="72" xfId="20" applyFont="1" applyBorder="1" applyAlignment="1">
      <alignment horizontal="center" vertical="center"/>
    </xf>
    <xf numFmtId="0" fontId="65" fillId="53" borderId="73" xfId="20" applyFont="1" applyBorder="1" applyAlignment="1">
      <alignment horizontal="center" vertical="center"/>
    </xf>
    <xf numFmtId="0" fontId="56" fillId="66" borderId="63" xfId="20" applyFill="1" applyBorder="1"/>
    <xf numFmtId="0" fontId="68" fillId="66" borderId="62" xfId="20" applyFont="1" applyFill="1" applyBorder="1" applyAlignment="1">
      <alignment horizontal="center" vertical="center" wrapText="1"/>
    </xf>
    <xf numFmtId="0" fontId="56" fillId="66" borderId="61" xfId="20" applyFill="1" applyBorder="1"/>
    <xf numFmtId="0" fontId="56" fillId="63" borderId="61" xfId="20" applyFill="1" applyBorder="1"/>
    <xf numFmtId="0" fontId="56" fillId="62" borderId="62" xfId="20" applyFill="1" applyBorder="1"/>
    <xf numFmtId="0" fontId="58" fillId="57" borderId="53" xfId="20" applyFont="1" applyFill="1" applyAlignment="1">
      <alignment horizontal="left" vertical="center"/>
    </xf>
    <xf numFmtId="0" fontId="58" fillId="57" borderId="53" xfId="20" applyFont="1" applyFill="1" applyAlignment="1">
      <alignment horizontal="left" vertical="center" wrapText="1"/>
    </xf>
    <xf numFmtId="0" fontId="58" fillId="57" borderId="55" xfId="20" applyFont="1" applyFill="1" applyBorder="1" applyAlignment="1">
      <alignment horizontal="left" vertical="center" wrapText="1"/>
    </xf>
    <xf numFmtId="0" fontId="70" fillId="57" borderId="56" xfId="20" applyFont="1" applyFill="1" applyBorder="1" applyAlignment="1">
      <alignment horizontal="left" vertical="center" wrapText="1"/>
    </xf>
    <xf numFmtId="0" fontId="58" fillId="57" borderId="66" xfId="20" applyFont="1" applyFill="1" applyBorder="1" applyAlignment="1">
      <alignment horizontal="left" vertical="center" wrapText="1"/>
    </xf>
    <xf numFmtId="0" fontId="70" fillId="57" borderId="68" xfId="20" applyFont="1" applyFill="1" applyBorder="1" applyAlignment="1">
      <alignment horizontal="left" vertical="center" wrapText="1"/>
    </xf>
    <xf numFmtId="0" fontId="58" fillId="57" borderId="61" xfId="20" applyFont="1" applyFill="1" applyBorder="1" applyAlignment="1">
      <alignment horizontal="left" vertical="center" wrapText="1"/>
    </xf>
    <xf numFmtId="0" fontId="70" fillId="57" borderId="64" xfId="20" applyFont="1" applyFill="1" applyBorder="1" applyAlignment="1">
      <alignment horizontal="left" vertical="center" wrapText="1"/>
    </xf>
    <xf numFmtId="0" fontId="58" fillId="57" borderId="87" xfId="20" applyFont="1" applyFill="1" applyBorder="1" applyAlignment="1">
      <alignment horizontal="left" vertical="center" wrapText="1"/>
    </xf>
    <xf numFmtId="0" fontId="70" fillId="57" borderId="88" xfId="20" applyFont="1" applyFill="1" applyBorder="1" applyAlignment="1">
      <alignment horizontal="left" vertical="center" wrapText="1"/>
    </xf>
    <xf numFmtId="0" fontId="58" fillId="57" borderId="57" xfId="20" applyFont="1" applyFill="1" applyBorder="1" applyAlignment="1">
      <alignment horizontal="left" vertical="center" wrapText="1"/>
    </xf>
    <xf numFmtId="0" fontId="70" fillId="57" borderId="58" xfId="20" applyFont="1" applyFill="1" applyBorder="1" applyAlignment="1">
      <alignment horizontal="left" vertical="center" wrapText="1"/>
    </xf>
    <xf numFmtId="164" fontId="70" fillId="57" borderId="58" xfId="20" applyNumberFormat="1" applyFont="1" applyFill="1" applyBorder="1" applyAlignment="1">
      <alignment horizontal="left" vertical="center" wrapText="1"/>
    </xf>
    <xf numFmtId="0" fontId="78" fillId="53" borderId="62" xfId="20" applyFont="1" applyBorder="1" applyAlignment="1">
      <alignment horizontal="center" vertical="center"/>
    </xf>
    <xf numFmtId="0" fontId="79" fillId="65" borderId="62" xfId="20" applyFont="1" applyFill="1" applyBorder="1" applyAlignment="1">
      <alignment horizontal="center" vertical="center" wrapText="1"/>
    </xf>
    <xf numFmtId="0" fontId="61" fillId="57" borderId="53" xfId="20" applyFont="1" applyFill="1"/>
    <xf numFmtId="0" fontId="61" fillId="57" borderId="53" xfId="20" applyFont="1" applyFill="1" applyAlignment="1">
      <alignment horizontal="center" vertical="center" wrapText="1"/>
    </xf>
    <xf numFmtId="0" fontId="61" fillId="57" borderId="53" xfId="20" applyFont="1" applyFill="1" applyAlignment="1">
      <alignment horizontal="left" vertical="top" wrapText="1"/>
    </xf>
    <xf numFmtId="0" fontId="61" fillId="57" borderId="53" xfId="20" applyFont="1" applyFill="1" applyAlignment="1">
      <alignment horizontal="justify"/>
    </xf>
    <xf numFmtId="0" fontId="61" fillId="57" borderId="53" xfId="20" applyFont="1" applyFill="1" applyAlignment="1">
      <alignment horizontal="center" vertical="center"/>
    </xf>
    <xf numFmtId="0" fontId="61" fillId="53" borderId="53" xfId="20" applyFont="1"/>
    <xf numFmtId="0" fontId="62" fillId="57" borderId="53" xfId="20" applyFont="1" applyFill="1" applyAlignment="1">
      <alignment vertical="center"/>
    </xf>
    <xf numFmtId="0" fontId="62" fillId="53" borderId="53" xfId="20" applyFont="1" applyAlignment="1">
      <alignment vertical="center"/>
    </xf>
    <xf numFmtId="0" fontId="61" fillId="53" borderId="53" xfId="20" applyFont="1" applyAlignment="1">
      <alignment horizontal="center" vertical="center" wrapText="1"/>
    </xf>
    <xf numFmtId="0" fontId="61" fillId="53" borderId="53" xfId="20" applyFont="1" applyAlignment="1">
      <alignment horizontal="left" vertical="top" wrapText="1"/>
    </xf>
    <xf numFmtId="0" fontId="61" fillId="53" borderId="53" xfId="20" applyFont="1" applyAlignment="1">
      <alignment horizontal="justify"/>
    </xf>
    <xf numFmtId="0" fontId="61" fillId="53" borderId="53" xfId="20" applyFont="1" applyAlignment="1">
      <alignment horizontal="center" vertical="center"/>
    </xf>
    <xf numFmtId="0" fontId="70" fillId="57" borderId="53" xfId="20" applyFont="1" applyFill="1" applyAlignment="1">
      <alignment horizontal="left" vertical="center" wrapText="1"/>
    </xf>
    <xf numFmtId="0" fontId="64" fillId="57" borderId="53" xfId="20" applyFont="1" applyFill="1" applyAlignment="1">
      <alignment horizontal="left" vertical="center"/>
    </xf>
    <xf numFmtId="0" fontId="64" fillId="53" borderId="53" xfId="20" applyFont="1"/>
    <xf numFmtId="0" fontId="83" fillId="53" borderId="53" xfId="20" applyFont="1"/>
    <xf numFmtId="0" fontId="83" fillId="57" borderId="53" xfId="20" applyFont="1" applyFill="1"/>
    <xf numFmtId="0" fontId="79" fillId="65" borderId="76" xfId="20" applyFont="1" applyFill="1" applyBorder="1" applyAlignment="1">
      <alignment horizontal="center" vertical="center" wrapText="1"/>
    </xf>
    <xf numFmtId="0" fontId="78" fillId="53" borderId="76" xfId="20" applyFont="1" applyBorder="1" applyAlignment="1">
      <alignment horizontal="center" vertical="center"/>
    </xf>
    <xf numFmtId="0" fontId="79" fillId="65" borderId="98" xfId="20" applyFont="1" applyFill="1" applyBorder="1" applyAlignment="1">
      <alignment horizontal="center" vertical="center" wrapText="1"/>
    </xf>
    <xf numFmtId="0" fontId="78" fillId="53" borderId="98" xfId="20" applyFont="1" applyBorder="1" applyAlignment="1">
      <alignment horizontal="center" vertical="center"/>
    </xf>
    <xf numFmtId="0" fontId="67" fillId="65" borderId="63" xfId="20" applyFont="1" applyFill="1" applyBorder="1" applyAlignment="1">
      <alignment horizontal="center" vertical="center" wrapText="1"/>
    </xf>
    <xf numFmtId="0" fontId="67" fillId="65" borderId="100" xfId="20" applyFont="1" applyFill="1" applyBorder="1" applyAlignment="1">
      <alignment horizontal="center" vertical="center" wrapText="1"/>
    </xf>
    <xf numFmtId="0" fontId="67" fillId="65" borderId="82" xfId="20" applyFont="1" applyFill="1" applyBorder="1" applyAlignment="1">
      <alignment horizontal="center" vertical="center" wrapText="1"/>
    </xf>
    <xf numFmtId="0" fontId="69" fillId="53" borderId="61" xfId="20" applyFont="1" applyBorder="1" applyAlignment="1">
      <alignment vertical="top" wrapText="1"/>
    </xf>
    <xf numFmtId="0" fontId="78" fillId="53" borderId="64" xfId="20" applyFont="1" applyBorder="1" applyAlignment="1">
      <alignment horizontal="center" vertical="center"/>
    </xf>
    <xf numFmtId="0" fontId="69" fillId="53" borderId="77" xfId="20" applyFont="1" applyBorder="1" applyAlignment="1">
      <alignment vertical="top" wrapText="1"/>
    </xf>
    <xf numFmtId="0" fontId="56" fillId="86" borderId="99" xfId="20" applyFill="1" applyBorder="1" applyAlignment="1">
      <alignment horizontal="center"/>
    </xf>
    <xf numFmtId="0" fontId="56" fillId="90" borderId="99" xfId="20" applyFill="1" applyBorder="1" applyAlignment="1">
      <alignment horizontal="center"/>
    </xf>
    <xf numFmtId="0" fontId="56" fillId="91" borderId="99" xfId="20" applyFill="1" applyBorder="1" applyAlignment="1">
      <alignment horizontal="center"/>
    </xf>
    <xf numFmtId="0" fontId="56" fillId="88" borderId="99" xfId="20" applyFill="1" applyBorder="1" applyAlignment="1">
      <alignment horizontal="center"/>
    </xf>
    <xf numFmtId="0" fontId="56" fillId="64" borderId="99" xfId="20" applyFill="1" applyBorder="1" applyAlignment="1">
      <alignment horizontal="center"/>
    </xf>
    <xf numFmtId="0" fontId="87" fillId="53" borderId="53" xfId="20" applyFont="1" applyAlignment="1"/>
    <xf numFmtId="0" fontId="89" fillId="59" borderId="55" xfId="20" applyFont="1" applyFill="1" applyBorder="1" applyAlignment="1">
      <alignment horizontal="center" vertical="center" wrapText="1"/>
    </xf>
    <xf numFmtId="0" fontId="89" fillId="59" borderId="97" xfId="20" applyFont="1" applyFill="1" applyBorder="1" applyAlignment="1">
      <alignment vertical="center" wrapText="1"/>
    </xf>
    <xf numFmtId="0" fontId="72" fillId="70" borderId="57" xfId="20" applyFont="1" applyFill="1" applyBorder="1" applyAlignment="1">
      <alignment horizontal="center" vertical="center" wrapText="1"/>
    </xf>
    <xf numFmtId="0" fontId="72" fillId="70" borderId="58" xfId="20" applyFont="1" applyFill="1" applyBorder="1" applyAlignment="1">
      <alignment horizontal="center" vertical="center" wrapText="1"/>
    </xf>
    <xf numFmtId="0" fontId="72" fillId="59" borderId="57" xfId="20" applyFont="1" applyFill="1" applyBorder="1" applyAlignment="1">
      <alignment horizontal="center" vertical="center" wrapText="1"/>
    </xf>
    <xf numFmtId="0" fontId="90" fillId="53" borderId="65" xfId="20" applyFont="1" applyBorder="1" applyAlignment="1"/>
    <xf numFmtId="0" fontId="90" fillId="57" borderId="65" xfId="20" applyFont="1" applyFill="1" applyBorder="1" applyAlignment="1"/>
    <xf numFmtId="0" fontId="72" fillId="69" borderId="65" xfId="20" applyFont="1" applyFill="1" applyBorder="1" applyAlignment="1">
      <alignment horizontal="center" vertical="center" wrapText="1"/>
    </xf>
    <xf numFmtId="0" fontId="72" fillId="69" borderId="58" xfId="20" applyFont="1" applyFill="1" applyBorder="1" applyAlignment="1">
      <alignment horizontal="center" vertical="center" wrapText="1"/>
    </xf>
    <xf numFmtId="0" fontId="90" fillId="53" borderId="62" xfId="20" applyFont="1" applyBorder="1"/>
    <xf numFmtId="0" fontId="90" fillId="53" borderId="62" xfId="20" applyFont="1" applyBorder="1" applyAlignment="1">
      <alignment wrapText="1"/>
    </xf>
    <xf numFmtId="0" fontId="90" fillId="53" borderId="62" xfId="20" applyFont="1" applyBorder="1" applyAlignment="1">
      <alignment wrapText="1"/>
    </xf>
    <xf numFmtId="0" fontId="90" fillId="57" borderId="62" xfId="20" applyFont="1" applyFill="1" applyBorder="1"/>
    <xf numFmtId="0" fontId="90" fillId="81" borderId="62" xfId="20" applyFont="1" applyFill="1" applyBorder="1"/>
    <xf numFmtId="0" fontId="90" fillId="81" borderId="62" xfId="20" applyFont="1" applyFill="1" applyBorder="1" applyAlignment="1">
      <alignment wrapText="1"/>
    </xf>
    <xf numFmtId="0" fontId="90" fillId="81" borderId="62" xfId="20" applyFont="1" applyFill="1" applyBorder="1" applyAlignment="1">
      <alignment wrapText="1"/>
    </xf>
    <xf numFmtId="0" fontId="90" fillId="77" borderId="62" xfId="20" applyFont="1" applyFill="1" applyBorder="1"/>
    <xf numFmtId="0" fontId="90" fillId="75" borderId="62" xfId="20" applyFont="1" applyFill="1" applyBorder="1"/>
    <xf numFmtId="0" fontId="90" fillId="75" borderId="62" xfId="20" applyFont="1" applyFill="1" applyBorder="1" applyAlignment="1">
      <alignment wrapText="1"/>
    </xf>
    <xf numFmtId="0" fontId="90" fillId="75" borderId="62" xfId="20" applyFont="1" applyFill="1" applyBorder="1" applyAlignment="1">
      <alignment wrapText="1"/>
    </xf>
    <xf numFmtId="0" fontId="90" fillId="74" borderId="62" xfId="20" applyFont="1" applyFill="1" applyBorder="1"/>
    <xf numFmtId="0" fontId="91" fillId="59" borderId="57" xfId="20" applyFont="1" applyFill="1" applyBorder="1" applyAlignment="1">
      <alignment horizontal="center" vertical="center" wrapText="1"/>
    </xf>
    <xf numFmtId="0" fontId="92" fillId="53" borderId="65" xfId="20" applyFont="1" applyBorder="1" applyAlignment="1"/>
    <xf numFmtId="0" fontId="92" fillId="57" borderId="65" xfId="20" applyFont="1" applyFill="1" applyBorder="1" applyAlignment="1"/>
    <xf numFmtId="0" fontId="91" fillId="69" borderId="65" xfId="20" applyFont="1" applyFill="1" applyBorder="1" applyAlignment="1">
      <alignment horizontal="center" vertical="center" wrapText="1"/>
    </xf>
    <xf numFmtId="0" fontId="90" fillId="94" borderId="62" xfId="20" applyFont="1" applyFill="1" applyBorder="1"/>
    <xf numFmtId="0" fontId="90" fillId="94" borderId="62" xfId="20" applyFont="1" applyFill="1" applyBorder="1" applyAlignment="1">
      <alignment wrapText="1"/>
    </xf>
    <xf numFmtId="0" fontId="90" fillId="94" borderId="62" xfId="20" applyFont="1" applyFill="1" applyBorder="1" applyAlignment="1">
      <alignment wrapText="1"/>
    </xf>
    <xf numFmtId="0" fontId="90" fillId="95" borderId="62" xfId="20" applyFont="1" applyFill="1" applyBorder="1"/>
    <xf numFmtId="0" fontId="90" fillId="95" borderId="62" xfId="20" applyFont="1" applyFill="1" applyBorder="1" applyAlignment="1">
      <alignment wrapText="1"/>
    </xf>
    <xf numFmtId="0" fontId="90" fillId="95" borderId="62" xfId="20" applyFont="1" applyFill="1" applyBorder="1" applyAlignment="1">
      <alignment wrapText="1"/>
    </xf>
    <xf numFmtId="0" fontId="90" fillId="57" borderId="62" xfId="20" applyFont="1" applyFill="1" applyBorder="1" applyAlignment="1">
      <alignment horizontal="center" vertical="center" wrapText="1"/>
    </xf>
    <xf numFmtId="0" fontId="58" fillId="59" borderId="69" xfId="20" applyFont="1" applyFill="1" applyBorder="1" applyAlignment="1">
      <alignment horizontal="center" vertical="center" wrapText="1"/>
    </xf>
    <xf numFmtId="0" fontId="58" fillId="59" borderId="97" xfId="20" applyFont="1" applyFill="1" applyBorder="1" applyAlignment="1">
      <alignment horizontal="center" vertical="center" wrapText="1"/>
    </xf>
    <xf numFmtId="0" fontId="62" fillId="57" borderId="53" xfId="20" applyFont="1" applyFill="1" applyAlignment="1">
      <alignment horizontal="center" vertical="center"/>
    </xf>
    <xf numFmtId="0" fontId="62" fillId="53" borderId="53" xfId="20" applyFont="1" applyAlignment="1">
      <alignment horizontal="center" vertical="center"/>
    </xf>
    <xf numFmtId="0" fontId="75" fillId="57" borderId="53" xfId="20" applyFont="1" applyFill="1" applyAlignment="1">
      <alignment horizontal="center" vertical="center"/>
    </xf>
    <xf numFmtId="0" fontId="75" fillId="53" borderId="53" xfId="20" applyFont="1" applyAlignment="1">
      <alignment horizontal="center" vertical="center"/>
    </xf>
    <xf numFmtId="0" fontId="75" fillId="53" borderId="62" xfId="20" applyFont="1" applyBorder="1" applyAlignment="1">
      <alignment horizontal="center" vertical="center"/>
    </xf>
    <xf numFmtId="0" fontId="92" fillId="53" borderId="65" xfId="20" applyFont="1" applyBorder="1" applyAlignment="1">
      <alignment horizontal="center" vertical="center"/>
    </xf>
    <xf numFmtId="0" fontId="92" fillId="57" borderId="65" xfId="20" applyFont="1" applyFill="1" applyBorder="1" applyAlignment="1">
      <alignment horizontal="center" vertical="center"/>
    </xf>
    <xf numFmtId="0" fontId="92" fillId="68" borderId="58" xfId="20" applyFont="1" applyFill="1" applyBorder="1" applyAlignment="1">
      <alignment horizontal="center" vertical="center" wrapText="1"/>
    </xf>
    <xf numFmtId="0" fontId="92" fillId="70" borderId="57" xfId="20" applyFont="1" applyFill="1" applyBorder="1" applyAlignment="1">
      <alignment horizontal="center" vertical="center" wrapText="1"/>
    </xf>
    <xf numFmtId="0" fontId="92" fillId="70" borderId="58" xfId="20" applyFont="1" applyFill="1" applyBorder="1" applyAlignment="1">
      <alignment horizontal="center" vertical="center" wrapText="1"/>
    </xf>
    <xf numFmtId="0" fontId="92" fillId="59" borderId="57" xfId="20" applyFont="1" applyFill="1" applyBorder="1" applyAlignment="1">
      <alignment horizontal="center" vertical="center" wrapText="1"/>
    </xf>
    <xf numFmtId="0" fontId="92" fillId="69" borderId="57" xfId="20" applyFont="1" applyFill="1" applyBorder="1" applyAlignment="1">
      <alignment horizontal="center" vertical="center" wrapText="1"/>
    </xf>
    <xf numFmtId="0" fontId="92" fillId="69" borderId="65" xfId="20" applyFont="1" applyFill="1" applyBorder="1" applyAlignment="1">
      <alignment horizontal="center" vertical="center" wrapText="1"/>
    </xf>
    <xf numFmtId="0" fontId="92" fillId="69" borderId="92" xfId="20" applyFont="1" applyFill="1" applyBorder="1" applyAlignment="1">
      <alignment horizontal="center" vertical="center" wrapText="1"/>
    </xf>
    <xf numFmtId="0" fontId="92" fillId="84" borderId="61" xfId="20" applyFont="1" applyFill="1" applyBorder="1" applyAlignment="1">
      <alignment horizontal="center" vertical="center" wrapText="1"/>
    </xf>
    <xf numFmtId="0" fontId="92" fillId="84" borderId="64" xfId="20" applyFont="1" applyFill="1" applyBorder="1" applyAlignment="1">
      <alignment horizontal="center" vertical="center" wrapText="1"/>
    </xf>
    <xf numFmtId="0" fontId="93" fillId="60" borderId="65" xfId="20" applyFont="1" applyFill="1" applyBorder="1" applyAlignment="1">
      <alignment horizontal="center" vertical="center" wrapText="1"/>
    </xf>
    <xf numFmtId="0" fontId="94" fillId="66" borderId="65" xfId="20" applyFont="1" applyFill="1" applyBorder="1" applyAlignment="1">
      <alignment horizontal="center" vertical="center" wrapText="1"/>
    </xf>
    <xf numFmtId="0" fontId="93" fillId="61" borderId="65" xfId="20" applyFont="1" applyFill="1" applyBorder="1" applyAlignment="1">
      <alignment horizontal="center" vertical="center" wrapText="1"/>
    </xf>
    <xf numFmtId="0" fontId="93" fillId="63" borderId="65" xfId="20" applyFont="1" applyFill="1" applyBorder="1" applyAlignment="1">
      <alignment horizontal="center" vertical="center" wrapText="1"/>
    </xf>
    <xf numFmtId="0" fontId="93" fillId="62" borderId="65" xfId="20" applyFont="1" applyFill="1" applyBorder="1" applyAlignment="1">
      <alignment horizontal="center" vertical="center" wrapText="1"/>
    </xf>
    <xf numFmtId="0" fontId="93" fillId="64" borderId="65" xfId="20" applyFont="1" applyFill="1" applyBorder="1" applyAlignment="1">
      <alignment horizontal="center" vertical="center" wrapText="1"/>
    </xf>
    <xf numFmtId="0" fontId="93" fillId="65" borderId="65" xfId="20" applyFont="1" applyFill="1" applyBorder="1" applyAlignment="1">
      <alignment horizontal="center" vertical="center" wrapText="1"/>
    </xf>
    <xf numFmtId="0" fontId="74" fillId="57" borderId="53" xfId="20" applyFont="1" applyFill="1" applyAlignment="1">
      <alignment horizontal="left" vertical="center"/>
    </xf>
    <xf numFmtId="0" fontId="74" fillId="53" borderId="53" xfId="20" applyFont="1"/>
    <xf numFmtId="0" fontId="74" fillId="92" borderId="53" xfId="20" applyFont="1" applyFill="1"/>
    <xf numFmtId="0" fontId="90" fillId="67" borderId="62" xfId="20" applyFont="1" applyFill="1" applyBorder="1" applyAlignment="1">
      <alignment horizontal="left" vertical="center" wrapText="1"/>
    </xf>
    <xf numFmtId="0" fontId="90" fillId="70" borderId="62" xfId="20" applyFont="1" applyFill="1" applyBorder="1" applyAlignment="1">
      <alignment horizontal="center" vertical="center" wrapText="1"/>
    </xf>
    <xf numFmtId="0" fontId="90" fillId="70" borderId="62" xfId="20" applyFont="1" applyFill="1" applyBorder="1" applyAlignment="1">
      <alignment horizontal="left" vertical="center" wrapText="1"/>
    </xf>
    <xf numFmtId="0" fontId="90" fillId="69" borderId="62" xfId="20" applyFont="1" applyFill="1" applyBorder="1" applyAlignment="1">
      <alignment horizontal="center" vertical="center" wrapText="1"/>
    </xf>
    <xf numFmtId="0" fontId="90" fillId="69" borderId="62" xfId="20" applyFont="1" applyFill="1" applyBorder="1" applyAlignment="1">
      <alignment vertical="center" wrapText="1"/>
    </xf>
    <xf numFmtId="0" fontId="90" fillId="77" borderId="62" xfId="20" applyFont="1" applyFill="1" applyBorder="1" applyAlignment="1">
      <alignment horizontal="center" vertical="center" wrapText="1"/>
    </xf>
    <xf numFmtId="0" fontId="90" fillId="82" borderId="62" xfId="20" applyFont="1" applyFill="1" applyBorder="1" applyAlignment="1">
      <alignment horizontal="center" vertical="center" wrapText="1"/>
    </xf>
    <xf numFmtId="0" fontId="90" fillId="82" borderId="62" xfId="20" applyFont="1" applyFill="1" applyBorder="1" applyAlignment="1">
      <alignment horizontal="left" vertical="center" wrapText="1"/>
    </xf>
    <xf numFmtId="0" fontId="90" fillId="74" borderId="62" xfId="20" applyFont="1" applyFill="1" applyBorder="1" applyAlignment="1">
      <alignment horizontal="center" vertical="center" wrapText="1"/>
    </xf>
    <xf numFmtId="0" fontId="90" fillId="76" borderId="62" xfId="20" applyFont="1" applyFill="1" applyBorder="1" applyAlignment="1">
      <alignment horizontal="center" vertical="center" wrapText="1"/>
    </xf>
    <xf numFmtId="0" fontId="90" fillId="76" borderId="62" xfId="20" applyFont="1" applyFill="1" applyBorder="1" applyAlignment="1">
      <alignment horizontal="left" vertical="center" wrapText="1"/>
    </xf>
    <xf numFmtId="0" fontId="90" fillId="69" borderId="62" xfId="20" applyFont="1" applyFill="1" applyBorder="1" applyAlignment="1">
      <alignment horizontal="left" vertical="center" wrapText="1"/>
    </xf>
    <xf numFmtId="0" fontId="90" fillId="94" borderId="62" xfId="20" applyFont="1" applyFill="1" applyBorder="1" applyAlignment="1">
      <alignment horizontal="center" vertical="center" wrapText="1"/>
    </xf>
    <xf numFmtId="0" fontId="90" fillId="57" borderId="77" xfId="20" applyFont="1" applyFill="1" applyBorder="1" applyAlignment="1">
      <alignment horizontal="center" vertical="center" wrapText="1"/>
    </xf>
    <xf numFmtId="0" fontId="90" fillId="57" borderId="61" xfId="20" applyFont="1" applyFill="1" applyBorder="1" applyAlignment="1">
      <alignment horizontal="center" vertical="center" wrapText="1"/>
    </xf>
    <xf numFmtId="0" fontId="90" fillId="77" borderId="61" xfId="20" applyFont="1" applyFill="1" applyBorder="1" applyAlignment="1">
      <alignment horizontal="center" vertical="center" wrapText="1"/>
    </xf>
    <xf numFmtId="0" fontId="90" fillId="57" borderId="66" xfId="20" applyFont="1" applyFill="1" applyBorder="1" applyAlignment="1">
      <alignment horizontal="center" vertical="center" wrapText="1"/>
    </xf>
    <xf numFmtId="0" fontId="99" fillId="96" borderId="85" xfId="20" applyFont="1" applyFill="1" applyBorder="1" applyAlignment="1">
      <alignment horizontal="center" vertical="center" wrapText="1"/>
    </xf>
    <xf numFmtId="0" fontId="99" fillId="96" borderId="102" xfId="20" applyFont="1" applyFill="1" applyBorder="1" applyAlignment="1">
      <alignment horizontal="center" vertical="center" wrapText="1"/>
    </xf>
    <xf numFmtId="0" fontId="99" fillId="97" borderId="57" xfId="20" applyFont="1" applyFill="1" applyBorder="1" applyAlignment="1">
      <alignment horizontal="center" vertical="center" wrapText="1"/>
    </xf>
    <xf numFmtId="0" fontId="99" fillId="97" borderId="102" xfId="20" applyFont="1" applyFill="1" applyBorder="1" applyAlignment="1">
      <alignment horizontal="center" vertical="center" wrapText="1"/>
    </xf>
    <xf numFmtId="0" fontId="72" fillId="58" borderId="57" xfId="20" applyFont="1" applyFill="1" applyBorder="1" applyAlignment="1">
      <alignment horizontal="center" vertical="center" wrapText="1"/>
    </xf>
    <xf numFmtId="0" fontId="72" fillId="58" borderId="58" xfId="20" applyFont="1" applyFill="1" applyBorder="1" applyAlignment="1">
      <alignment horizontal="center" vertical="center" wrapText="1"/>
    </xf>
    <xf numFmtId="0" fontId="72" fillId="98" borderId="57" xfId="20" applyFont="1" applyFill="1" applyBorder="1" applyAlignment="1">
      <alignment horizontal="center" vertical="center" wrapText="1"/>
    </xf>
    <xf numFmtId="0" fontId="72" fillId="98" borderId="58" xfId="20" applyFont="1" applyFill="1" applyBorder="1" applyAlignment="1">
      <alignment horizontal="center" vertical="center" wrapText="1"/>
    </xf>
    <xf numFmtId="0" fontId="99" fillId="99" borderId="85" xfId="20" applyFont="1" applyFill="1" applyBorder="1" applyAlignment="1">
      <alignment horizontal="center" vertical="center" wrapText="1"/>
    </xf>
    <xf numFmtId="0" fontId="99" fillId="99" borderId="102" xfId="20" applyFont="1" applyFill="1" applyBorder="1" applyAlignment="1">
      <alignment horizontal="center" vertical="center" wrapText="1"/>
    </xf>
    <xf numFmtId="0" fontId="90" fillId="98" borderId="62" xfId="20" applyFont="1" applyFill="1" applyBorder="1" applyAlignment="1">
      <alignment horizontal="center" vertical="center" wrapText="1"/>
    </xf>
    <xf numFmtId="0" fontId="90" fillId="100" borderId="62" xfId="20" applyFont="1" applyFill="1" applyBorder="1" applyAlignment="1">
      <alignment horizontal="center" vertical="center" wrapText="1"/>
    </xf>
    <xf numFmtId="0" fontId="90" fillId="101" borderId="62" xfId="20" applyFont="1" applyFill="1" applyBorder="1" applyAlignment="1">
      <alignment horizontal="center" vertical="center" wrapText="1"/>
    </xf>
    <xf numFmtId="0" fontId="90" fillId="58" borderId="62" xfId="20" applyFont="1" applyFill="1" applyBorder="1" applyAlignment="1">
      <alignment horizontal="center" vertical="center" wrapText="1"/>
    </xf>
    <xf numFmtId="0" fontId="90" fillId="102" borderId="62" xfId="20" applyFont="1" applyFill="1" applyBorder="1" applyAlignment="1">
      <alignment horizontal="center" vertical="center" wrapText="1"/>
    </xf>
    <xf numFmtId="0" fontId="90" fillId="103" borderId="62" xfId="20" applyFont="1" applyFill="1" applyBorder="1" applyAlignment="1">
      <alignment horizontal="center" vertical="center" wrapText="1"/>
    </xf>
    <xf numFmtId="0" fontId="90" fillId="70" borderId="62" xfId="20" applyFont="1" applyFill="1" applyBorder="1" applyAlignment="1">
      <alignment vertical="center" wrapText="1"/>
    </xf>
    <xf numFmtId="0" fontId="101" fillId="60" borderId="65" xfId="20" applyFont="1" applyFill="1" applyBorder="1" applyAlignment="1">
      <alignment horizontal="center" vertical="center" wrapText="1"/>
    </xf>
    <xf numFmtId="0" fontId="89" fillId="66" borderId="65" xfId="20" applyFont="1" applyFill="1" applyBorder="1" applyAlignment="1">
      <alignment horizontal="center" vertical="center" wrapText="1"/>
    </xf>
    <xf numFmtId="0" fontId="101" fillId="61" borderId="65" xfId="20" applyFont="1" applyFill="1" applyBorder="1" applyAlignment="1">
      <alignment horizontal="center" vertical="center" wrapText="1"/>
    </xf>
    <xf numFmtId="0" fontId="101" fillId="63" borderId="65" xfId="20" applyFont="1" applyFill="1" applyBorder="1" applyAlignment="1">
      <alignment horizontal="center" vertical="center" wrapText="1"/>
    </xf>
    <xf numFmtId="0" fontId="101" fillId="62" borderId="65" xfId="20" applyFont="1" applyFill="1" applyBorder="1" applyAlignment="1">
      <alignment horizontal="center" vertical="center" wrapText="1"/>
    </xf>
    <xf numFmtId="0" fontId="101" fillId="64" borderId="65" xfId="20" applyFont="1" applyFill="1" applyBorder="1" applyAlignment="1">
      <alignment horizontal="center" vertical="center" wrapText="1"/>
    </xf>
    <xf numFmtId="0" fontId="101" fillId="65" borderId="65" xfId="20" applyFont="1" applyFill="1" applyBorder="1" applyAlignment="1">
      <alignment horizontal="center" vertical="center" wrapText="1"/>
    </xf>
    <xf numFmtId="0" fontId="74" fillId="57" borderId="61" xfId="20" applyFont="1" applyFill="1" applyBorder="1" applyAlignment="1">
      <alignment horizontal="center" vertical="center" wrapText="1"/>
    </xf>
    <xf numFmtId="0" fontId="92" fillId="57" borderId="61" xfId="20" applyFont="1" applyFill="1" applyBorder="1" applyAlignment="1">
      <alignment horizontal="center" vertical="center" wrapText="1"/>
    </xf>
    <xf numFmtId="0" fontId="74" fillId="53" borderId="53" xfId="20" applyFont="1" applyAlignment="1">
      <alignment wrapText="1"/>
    </xf>
    <xf numFmtId="0" fontId="90" fillId="69" borderId="62" xfId="20" applyFont="1" applyFill="1" applyBorder="1" applyAlignment="1">
      <alignment horizontal="center" vertical="center" wrapText="1"/>
    </xf>
    <xf numFmtId="0" fontId="90" fillId="67" borderId="62" xfId="20" applyFont="1" applyFill="1" applyBorder="1" applyAlignment="1">
      <alignment vertical="center" wrapText="1"/>
    </xf>
    <xf numFmtId="0" fontId="102" fillId="60" borderId="65" xfId="20" applyFont="1" applyFill="1" applyBorder="1" applyAlignment="1">
      <alignment horizontal="center" vertical="center" wrapText="1"/>
    </xf>
    <xf numFmtId="0" fontId="103" fillId="66" borderId="65" xfId="20" applyFont="1" applyFill="1" applyBorder="1" applyAlignment="1">
      <alignment horizontal="center" vertical="center" wrapText="1"/>
    </xf>
    <xf numFmtId="0" fontId="102" fillId="61" borderId="65" xfId="20" applyFont="1" applyFill="1" applyBorder="1" applyAlignment="1">
      <alignment horizontal="center" vertical="center" wrapText="1"/>
    </xf>
    <xf numFmtId="0" fontId="102" fillId="63" borderId="65" xfId="20" applyFont="1" applyFill="1" applyBorder="1" applyAlignment="1">
      <alignment horizontal="center" vertical="center" wrapText="1"/>
    </xf>
    <xf numFmtId="0" fontId="102" fillId="62" borderId="65" xfId="20" applyFont="1" applyFill="1" applyBorder="1" applyAlignment="1">
      <alignment horizontal="center" vertical="center" wrapText="1"/>
    </xf>
    <xf numFmtId="0" fontId="102" fillId="64" borderId="65" xfId="20" applyFont="1" applyFill="1" applyBorder="1" applyAlignment="1">
      <alignment horizontal="center" vertical="center" wrapText="1"/>
    </xf>
    <xf numFmtId="0" fontId="102" fillId="65" borderId="65" xfId="20" applyFont="1" applyFill="1" applyBorder="1" applyAlignment="1">
      <alignment horizontal="center" vertical="center" wrapText="1"/>
    </xf>
    <xf numFmtId="0" fontId="104" fillId="65" borderId="62" xfId="20" applyFont="1" applyFill="1" applyBorder="1" applyAlignment="1">
      <alignment horizontal="center" vertical="center" wrapText="1"/>
    </xf>
    <xf numFmtId="0" fontId="104" fillId="60" borderId="62" xfId="20" applyFont="1" applyFill="1" applyBorder="1" applyAlignment="1">
      <alignment horizontal="center" vertical="center" wrapText="1"/>
    </xf>
    <xf numFmtId="0" fontId="58" fillId="66" borderId="62" xfId="20" applyFont="1" applyFill="1" applyBorder="1" applyAlignment="1">
      <alignment horizontal="center" vertical="center" wrapText="1"/>
    </xf>
    <xf numFmtId="0" fontId="104" fillId="61" borderId="62" xfId="20" applyFont="1" applyFill="1" applyBorder="1" applyAlignment="1">
      <alignment horizontal="center" vertical="center" wrapText="1"/>
    </xf>
    <xf numFmtId="0" fontId="104" fillId="63" borderId="62" xfId="20" applyFont="1" applyFill="1" applyBorder="1" applyAlignment="1">
      <alignment horizontal="center" vertical="center" wrapText="1"/>
    </xf>
    <xf numFmtId="0" fontId="104" fillId="62" borderId="62" xfId="20" applyFont="1" applyFill="1" applyBorder="1" applyAlignment="1">
      <alignment horizontal="center" vertical="center" wrapText="1"/>
    </xf>
    <xf numFmtId="0" fontId="104" fillId="64" borderId="62" xfId="20" applyFont="1" applyFill="1" applyBorder="1" applyAlignment="1">
      <alignment horizontal="center" vertical="center" wrapText="1"/>
    </xf>
    <xf numFmtId="0" fontId="74" fillId="57" borderId="53" xfId="20" applyFont="1" applyFill="1" applyAlignment="1">
      <alignment horizontal="center" vertical="center"/>
    </xf>
    <xf numFmtId="0" fontId="90" fillId="68" borderId="78" xfId="20" applyFont="1" applyFill="1" applyBorder="1" applyAlignment="1">
      <alignment horizontal="center" vertical="center" wrapText="1"/>
    </xf>
    <xf numFmtId="0" fontId="90" fillId="70" borderId="62" xfId="20" applyFont="1" applyFill="1" applyBorder="1" applyAlignment="1">
      <alignment horizontal="center" vertical="center" wrapText="1"/>
    </xf>
    <xf numFmtId="0" fontId="90" fillId="70" borderId="78" xfId="20" applyFont="1" applyFill="1" applyBorder="1" applyAlignment="1">
      <alignment horizontal="center" vertical="center" wrapText="1"/>
    </xf>
    <xf numFmtId="0" fontId="90" fillId="69" borderId="78" xfId="20" applyFont="1" applyFill="1" applyBorder="1" applyAlignment="1">
      <alignment horizontal="center" vertical="center" wrapText="1"/>
    </xf>
    <xf numFmtId="0" fontId="90" fillId="69" borderId="78" xfId="20" applyFont="1" applyFill="1" applyBorder="1" applyAlignment="1">
      <alignment horizontal="center" vertical="center" wrapText="1"/>
    </xf>
    <xf numFmtId="0" fontId="74" fillId="53" borderId="53" xfId="20" applyFont="1" applyAlignment="1">
      <alignment horizontal="center" vertical="center"/>
    </xf>
    <xf numFmtId="0" fontId="74" fillId="53" borderId="62" xfId="20" applyFont="1" applyBorder="1" applyAlignment="1">
      <alignment horizontal="center" vertical="center"/>
    </xf>
    <xf numFmtId="0" fontId="90" fillId="68" borderId="62" xfId="20" applyFont="1" applyFill="1" applyBorder="1" applyAlignment="1">
      <alignment horizontal="center" vertical="center" wrapText="1"/>
    </xf>
    <xf numFmtId="0" fontId="90" fillId="79" borderId="62" xfId="20" applyFont="1" applyFill="1" applyBorder="1" applyAlignment="1">
      <alignment horizontal="center" vertical="center" wrapText="1"/>
    </xf>
    <xf numFmtId="0" fontId="90" fillId="80" borderId="62" xfId="20" applyFont="1" applyFill="1" applyBorder="1" applyAlignment="1">
      <alignment horizontal="center" vertical="center" wrapText="1"/>
    </xf>
    <xf numFmtId="0" fontId="90" fillId="83" borderId="62" xfId="20" applyFont="1" applyFill="1" applyBorder="1" applyAlignment="1">
      <alignment horizontal="center" vertical="center" wrapText="1"/>
    </xf>
    <xf numFmtId="0" fontId="90" fillId="72" borderId="62" xfId="20" applyFont="1" applyFill="1" applyBorder="1" applyAlignment="1">
      <alignment horizontal="center" vertical="center" wrapText="1"/>
    </xf>
    <xf numFmtId="0" fontId="90" fillId="73" borderId="62" xfId="20" applyFont="1" applyFill="1" applyBorder="1" applyAlignment="1">
      <alignment horizontal="center" vertical="center" wrapText="1"/>
    </xf>
    <xf numFmtId="0" fontId="90" fillId="72" borderId="67" xfId="20" applyFont="1" applyFill="1" applyBorder="1" applyAlignment="1">
      <alignment horizontal="center" vertical="center" wrapText="1"/>
    </xf>
    <xf numFmtId="0" fontId="90" fillId="73" borderId="67" xfId="20" applyFont="1" applyFill="1" applyBorder="1" applyAlignment="1">
      <alignment horizontal="center" vertical="center" wrapText="1"/>
    </xf>
    <xf numFmtId="0" fontId="90" fillId="76" borderId="67" xfId="20" applyFont="1" applyFill="1" applyBorder="1" applyAlignment="1">
      <alignment horizontal="center" vertical="center" wrapText="1"/>
    </xf>
    <xf numFmtId="0" fontId="90" fillId="70" borderId="67" xfId="20" applyFont="1" applyFill="1" applyBorder="1" applyAlignment="1">
      <alignment horizontal="center" vertical="center" wrapText="1"/>
    </xf>
    <xf numFmtId="0" fontId="61" fillId="57" borderId="53" xfId="20" applyFont="1" applyFill="1" applyAlignment="1">
      <alignment horizontal="left" vertical="center" wrapText="1"/>
    </xf>
    <xf numFmtId="0" fontId="90" fillId="57" borderId="78" xfId="20" applyFont="1" applyFill="1" applyBorder="1" applyAlignment="1">
      <alignment horizontal="left" vertical="center" wrapText="1"/>
    </xf>
    <xf numFmtId="0" fontId="90" fillId="57" borderId="62" xfId="20" applyFont="1" applyFill="1" applyBorder="1" applyAlignment="1">
      <alignment horizontal="left" vertical="center" wrapText="1"/>
    </xf>
    <xf numFmtId="0" fontId="90" fillId="57" borderId="67" xfId="20" applyFont="1" applyFill="1" applyBorder="1" applyAlignment="1">
      <alignment horizontal="left" vertical="center" wrapText="1"/>
    </xf>
    <xf numFmtId="0" fontId="97" fillId="92" borderId="78" xfId="20" applyFont="1" applyFill="1" applyBorder="1" applyAlignment="1">
      <alignment horizontal="left" vertical="center" wrapText="1"/>
    </xf>
    <xf numFmtId="0" fontId="61" fillId="53" borderId="53" xfId="20" applyFont="1" applyAlignment="1">
      <alignment horizontal="left" vertical="center" wrapText="1"/>
    </xf>
    <xf numFmtId="0" fontId="90" fillId="67" borderId="78" xfId="20" applyFont="1" applyFill="1" applyBorder="1" applyAlignment="1">
      <alignment horizontal="left" vertical="center" wrapText="1"/>
    </xf>
    <xf numFmtId="0" fontId="90" fillId="70" borderId="62" xfId="20" applyFont="1" applyFill="1" applyBorder="1" applyAlignment="1">
      <alignment horizontal="left" vertical="center" wrapText="1"/>
    </xf>
    <xf numFmtId="0" fontId="90" fillId="70" borderId="78" xfId="20" applyFont="1" applyFill="1" applyBorder="1" applyAlignment="1">
      <alignment horizontal="left" vertical="center" wrapText="1"/>
    </xf>
    <xf numFmtId="0" fontId="90" fillId="92" borderId="78" xfId="20" applyFont="1" applyFill="1" applyBorder="1" applyAlignment="1">
      <alignment horizontal="left" vertical="center" wrapText="1"/>
    </xf>
    <xf numFmtId="0" fontId="90" fillId="92" borderId="78" xfId="20" applyFont="1" applyFill="1" applyBorder="1" applyAlignment="1">
      <alignment horizontal="left" vertical="center"/>
    </xf>
    <xf numFmtId="0" fontId="90" fillId="92" borderId="78" xfId="20" applyFont="1" applyFill="1" applyBorder="1" applyAlignment="1">
      <alignment horizontal="left" vertical="center" wrapText="1"/>
    </xf>
    <xf numFmtId="0" fontId="90" fillId="69" borderId="78" xfId="20" applyFont="1" applyFill="1" applyBorder="1" applyAlignment="1">
      <alignment horizontal="left" vertical="center" wrapText="1"/>
    </xf>
    <xf numFmtId="0" fontId="90" fillId="84" borderId="78" xfId="20" applyFont="1" applyFill="1" applyBorder="1" applyAlignment="1">
      <alignment horizontal="left" vertical="center" wrapText="1"/>
    </xf>
    <xf numFmtId="0" fontId="90" fillId="67" borderId="62" xfId="20" applyFont="1" applyFill="1" applyBorder="1" applyAlignment="1">
      <alignment horizontal="left" vertical="center" wrapText="1"/>
    </xf>
    <xf numFmtId="0" fontId="90" fillId="92" borderId="62" xfId="20" applyFont="1" applyFill="1" applyBorder="1" applyAlignment="1">
      <alignment horizontal="left" vertical="center" wrapText="1"/>
    </xf>
    <xf numFmtId="0" fontId="90" fillId="92" borderId="62" xfId="20" applyFont="1" applyFill="1" applyBorder="1" applyAlignment="1">
      <alignment horizontal="left" vertical="center"/>
    </xf>
    <xf numFmtId="0" fontId="90" fillId="92" borderId="62" xfId="20" applyFont="1" applyFill="1" applyBorder="1" applyAlignment="1">
      <alignment horizontal="left" vertical="center" wrapText="1"/>
    </xf>
    <xf numFmtId="0" fontId="90" fillId="69" borderId="62" xfId="20" applyFont="1" applyFill="1" applyBorder="1" applyAlignment="1">
      <alignment horizontal="left" vertical="center" wrapText="1"/>
    </xf>
    <xf numFmtId="0" fontId="90" fillId="84" borderId="62" xfId="20" applyFont="1" applyFill="1" applyBorder="1" applyAlignment="1">
      <alignment horizontal="left" vertical="center" wrapText="1"/>
    </xf>
    <xf numFmtId="0" fontId="90" fillId="78" borderId="62" xfId="20" applyFont="1" applyFill="1" applyBorder="1" applyAlignment="1">
      <alignment horizontal="left" vertical="center" wrapText="1"/>
    </xf>
    <xf numFmtId="0" fontId="90" fillId="77" borderId="62" xfId="20" applyFont="1" applyFill="1" applyBorder="1" applyAlignment="1">
      <alignment horizontal="left" vertical="center" wrapText="1"/>
    </xf>
    <xf numFmtId="0" fontId="90" fillId="83" borderId="62" xfId="20" applyFont="1" applyFill="1" applyBorder="1" applyAlignment="1">
      <alignment horizontal="left" vertical="center" wrapText="1"/>
    </xf>
    <xf numFmtId="0" fontId="90" fillId="71" borderId="62" xfId="20" applyFont="1" applyFill="1" applyBorder="1" applyAlignment="1">
      <alignment horizontal="left" vertical="center" wrapText="1"/>
    </xf>
    <xf numFmtId="0" fontId="90" fillId="76" borderId="62" xfId="20" applyFont="1" applyFill="1" applyBorder="1" applyAlignment="1">
      <alignment horizontal="left" vertical="center" wrapText="1"/>
    </xf>
    <xf numFmtId="0" fontId="90" fillId="57" borderId="78" xfId="20" applyFont="1" applyFill="1" applyBorder="1" applyAlignment="1">
      <alignment horizontal="left" vertical="center"/>
    </xf>
    <xf numFmtId="0" fontId="90" fillId="57" borderId="62" xfId="20" applyFont="1" applyFill="1" applyBorder="1" applyAlignment="1">
      <alignment horizontal="left" vertical="center"/>
    </xf>
    <xf numFmtId="0" fontId="90" fillId="71" borderId="67" xfId="20" applyFont="1" applyFill="1" applyBorder="1" applyAlignment="1">
      <alignment horizontal="left" vertical="center" wrapText="1"/>
    </xf>
    <xf numFmtId="0" fontId="90" fillId="73" borderId="67" xfId="20" applyFont="1" applyFill="1" applyBorder="1" applyAlignment="1">
      <alignment horizontal="left" vertical="center" wrapText="1"/>
    </xf>
    <xf numFmtId="0" fontId="90" fillId="74" borderId="67" xfId="20" applyFont="1" applyFill="1" applyBorder="1" applyAlignment="1">
      <alignment horizontal="left" vertical="center" wrapText="1"/>
    </xf>
    <xf numFmtId="0" fontId="90" fillId="75" borderId="67" xfId="20" applyFont="1" applyFill="1" applyBorder="1" applyAlignment="1">
      <alignment horizontal="left" vertical="center"/>
    </xf>
    <xf numFmtId="0" fontId="90" fillId="75" borderId="67" xfId="20" applyFont="1" applyFill="1" applyBorder="1" applyAlignment="1">
      <alignment horizontal="left" vertical="center" wrapText="1"/>
    </xf>
    <xf numFmtId="0" fontId="90" fillId="75" borderId="67" xfId="20" applyFont="1" applyFill="1" applyBorder="1" applyAlignment="1">
      <alignment horizontal="left" vertical="center" wrapText="1"/>
    </xf>
    <xf numFmtId="0" fontId="90" fillId="74" borderId="67" xfId="20" applyFont="1" applyFill="1" applyBorder="1" applyAlignment="1">
      <alignment horizontal="left" vertical="center"/>
    </xf>
    <xf numFmtId="0" fontId="90" fillId="85" borderId="67" xfId="20" applyFont="1" applyFill="1" applyBorder="1" applyAlignment="1">
      <alignment horizontal="left" vertical="center" wrapText="1"/>
    </xf>
    <xf numFmtId="0" fontId="90" fillId="82" borderId="62" xfId="20" applyFont="1" applyFill="1" applyBorder="1" applyAlignment="1">
      <alignment horizontal="left" vertical="center" wrapText="1"/>
    </xf>
    <xf numFmtId="0" fontId="90" fillId="93" borderId="62" xfId="20" applyFont="1" applyFill="1" applyBorder="1" applyAlignment="1">
      <alignment horizontal="left" vertical="center" wrapText="1"/>
    </xf>
    <xf numFmtId="0" fontId="90" fillId="85" borderId="62" xfId="20" applyFont="1" applyFill="1" applyBorder="1" applyAlignment="1">
      <alignment horizontal="left" vertical="center" wrapText="1"/>
    </xf>
    <xf numFmtId="0" fontId="90" fillId="76" borderId="67" xfId="20" applyFont="1" applyFill="1" applyBorder="1" applyAlignment="1">
      <alignment horizontal="left" vertical="center" wrapText="1"/>
    </xf>
    <xf numFmtId="0" fontId="90" fillId="84" borderId="67" xfId="20" applyFont="1" applyFill="1" applyBorder="1" applyAlignment="1">
      <alignment horizontal="left" vertical="center" wrapText="1"/>
    </xf>
    <xf numFmtId="0" fontId="90" fillId="84" borderId="103" xfId="20" applyFont="1" applyFill="1" applyBorder="1" applyAlignment="1">
      <alignment horizontal="left" vertical="center" wrapText="1"/>
    </xf>
    <xf numFmtId="0" fontId="90" fillId="84" borderId="74" xfId="20" applyFont="1" applyFill="1" applyBorder="1" applyAlignment="1">
      <alignment horizontal="left" vertical="center" wrapText="1"/>
    </xf>
    <xf numFmtId="0" fontId="67" fillId="53" borderId="63" xfId="20" applyFont="1" applyBorder="1" applyAlignment="1">
      <alignment horizontal="center" vertical="center" wrapText="1"/>
    </xf>
    <xf numFmtId="0" fontId="68" fillId="53" borderId="63" xfId="20" applyFont="1" applyBorder="1" applyAlignment="1">
      <alignment horizontal="center" vertical="center" wrapText="1"/>
    </xf>
    <xf numFmtId="0" fontId="67" fillId="53" borderId="56" xfId="20" applyFont="1" applyBorder="1" applyAlignment="1">
      <alignment horizontal="center" vertical="center" wrapText="1"/>
    </xf>
    <xf numFmtId="0" fontId="79" fillId="53" borderId="62" xfId="20" applyFont="1" applyBorder="1" applyAlignment="1">
      <alignment horizontal="center" vertical="center" wrapText="1"/>
    </xf>
    <xf numFmtId="0" fontId="80" fillId="53" borderId="62" xfId="20" applyFont="1" applyBorder="1" applyAlignment="1">
      <alignment horizontal="center" vertical="center" wrapText="1"/>
    </xf>
    <xf numFmtId="0" fontId="79" fillId="53" borderId="64" xfId="20" applyFont="1" applyBorder="1" applyAlignment="1">
      <alignment horizontal="center" vertical="center" wrapText="1"/>
    </xf>
    <xf numFmtId="0" fontId="63" fillId="58" borderId="57" xfId="20" applyFont="1" applyFill="1" applyBorder="1" applyAlignment="1">
      <alignment horizontal="center" vertical="center" wrapText="1"/>
    </xf>
    <xf numFmtId="0" fontId="92" fillId="58" borderId="58" xfId="20" applyFont="1" applyFill="1" applyBorder="1" applyAlignment="1">
      <alignment horizontal="center" vertical="center" wrapText="1"/>
    </xf>
    <xf numFmtId="0" fontId="90" fillId="58" borderId="78" xfId="20" applyFont="1" applyFill="1" applyBorder="1" applyAlignment="1">
      <alignment horizontal="center" vertical="center" wrapText="1"/>
    </xf>
    <xf numFmtId="0" fontId="90" fillId="58" borderId="62" xfId="20" applyFont="1" applyFill="1" applyBorder="1" applyAlignment="1">
      <alignment horizontal="center" vertical="center" wrapText="1"/>
    </xf>
    <xf numFmtId="0" fontId="90" fillId="102" borderId="62" xfId="20" applyFont="1" applyFill="1" applyBorder="1" applyAlignment="1">
      <alignment horizontal="center" vertical="center" wrapText="1"/>
    </xf>
    <xf numFmtId="0" fontId="90" fillId="103" borderId="62" xfId="20" applyFont="1" applyFill="1" applyBorder="1" applyAlignment="1">
      <alignment horizontal="center" vertical="center" wrapText="1"/>
    </xf>
    <xf numFmtId="0" fontId="90" fillId="103" borderId="67" xfId="20" applyFont="1" applyFill="1" applyBorder="1" applyAlignment="1">
      <alignment horizontal="center" vertical="center" wrapText="1"/>
    </xf>
    <xf numFmtId="0" fontId="90" fillId="58" borderId="67" xfId="20" applyFont="1" applyFill="1" applyBorder="1" applyAlignment="1">
      <alignment horizontal="center" vertical="center" wrapText="1"/>
    </xf>
    <xf numFmtId="0" fontId="92" fillId="98" borderId="57" xfId="20" applyFont="1" applyFill="1" applyBorder="1" applyAlignment="1">
      <alignment horizontal="center" vertical="center" wrapText="1"/>
    </xf>
    <xf numFmtId="0" fontId="90" fillId="98" borderId="78" xfId="20" applyFont="1" applyFill="1" applyBorder="1" applyAlignment="1">
      <alignment horizontal="center" vertical="center" wrapText="1"/>
    </xf>
    <xf numFmtId="0" fontId="90" fillId="98" borderId="62" xfId="20" applyFont="1" applyFill="1" applyBorder="1" applyAlignment="1">
      <alignment horizontal="center" vertical="center" wrapText="1"/>
    </xf>
    <xf numFmtId="0" fontId="90" fillId="101" borderId="62" xfId="20" applyFont="1" applyFill="1" applyBorder="1" applyAlignment="1">
      <alignment horizontal="center" vertical="center" wrapText="1"/>
    </xf>
    <xf numFmtId="0" fontId="90" fillId="100" borderId="62" xfId="20" applyFont="1" applyFill="1" applyBorder="1" applyAlignment="1">
      <alignment horizontal="center" vertical="center" wrapText="1"/>
    </xf>
    <xf numFmtId="0" fontId="90" fillId="100" borderId="67" xfId="20" applyFont="1" applyFill="1" applyBorder="1" applyAlignment="1">
      <alignment horizontal="center" vertical="center" wrapText="1"/>
    </xf>
    <xf numFmtId="0" fontId="90" fillId="98" borderId="67" xfId="20" applyFont="1" applyFill="1" applyBorder="1" applyAlignment="1">
      <alignment horizontal="center" vertical="center" wrapText="1"/>
    </xf>
    <xf numFmtId="0" fontId="105" fillId="57" borderId="62" xfId="20" applyFont="1" applyFill="1" applyBorder="1" applyAlignment="1">
      <alignment horizontal="center" vertical="center" wrapText="1"/>
    </xf>
    <xf numFmtId="0" fontId="72" fillId="70" borderId="57" xfId="20" applyFont="1" applyFill="1" applyBorder="1" applyAlignment="1">
      <alignment horizontal="center" vertical="center"/>
    </xf>
    <xf numFmtId="0" fontId="106" fillId="57" borderId="53" xfId="20" applyFont="1" applyFill="1" applyAlignment="1">
      <alignment horizontal="center" vertical="center" wrapText="1"/>
    </xf>
    <xf numFmtId="0" fontId="109" fillId="57" borderId="53" xfId="20" applyFont="1" applyFill="1" applyAlignment="1">
      <alignment horizontal="center" vertical="center" wrapText="1"/>
    </xf>
    <xf numFmtId="0" fontId="107" fillId="57" borderId="53" xfId="20" applyFont="1" applyFill="1" applyAlignment="1">
      <alignment vertical="top" wrapText="1"/>
    </xf>
    <xf numFmtId="0" fontId="110" fillId="57" borderId="53" xfId="20" applyFont="1" applyFill="1" applyAlignment="1">
      <alignment horizontal="center" vertical="center"/>
    </xf>
    <xf numFmtId="0" fontId="72" fillId="69" borderId="92" xfId="20" applyFont="1" applyFill="1" applyBorder="1" applyAlignment="1">
      <alignment horizontal="center" vertical="center" wrapText="1"/>
    </xf>
    <xf numFmtId="0" fontId="74" fillId="69" borderId="103" xfId="20" applyFont="1" applyFill="1" applyBorder="1" applyAlignment="1">
      <alignment horizontal="center" vertical="center" wrapText="1"/>
    </xf>
    <xf numFmtId="0" fontId="74" fillId="69" borderId="74" xfId="20" applyFont="1" applyFill="1" applyBorder="1" applyAlignment="1">
      <alignment horizontal="center" vertical="center" wrapText="1"/>
    </xf>
    <xf numFmtId="0" fontId="74" fillId="83" borderId="74" xfId="20" applyFont="1" applyFill="1" applyBorder="1" applyAlignment="1">
      <alignment horizontal="center" vertical="center" wrapText="1"/>
    </xf>
    <xf numFmtId="0" fontId="72" fillId="69" borderId="62" xfId="20" applyFont="1" applyFill="1" applyBorder="1" applyAlignment="1">
      <alignment horizontal="center" vertical="center" wrapText="1"/>
    </xf>
    <xf numFmtId="0" fontId="64" fillId="53" borderId="62" xfId="20" applyFont="1" applyBorder="1"/>
    <xf numFmtId="0" fontId="74" fillId="53" borderId="62" xfId="20" applyFont="1" applyBorder="1"/>
    <xf numFmtId="0" fontId="74" fillId="69" borderId="74" xfId="20" applyFont="1" applyFill="1" applyBorder="1" applyAlignment="1">
      <alignment horizontal="center" vertical="center" wrapText="1"/>
    </xf>
    <xf numFmtId="0" fontId="74" fillId="69" borderId="90" xfId="20" applyFont="1" applyFill="1" applyBorder="1" applyAlignment="1">
      <alignment horizontal="center" vertical="center" wrapText="1"/>
    </xf>
    <xf numFmtId="0" fontId="74" fillId="76" borderId="74" xfId="20" applyFont="1" applyFill="1" applyBorder="1" applyAlignment="1">
      <alignment horizontal="center" vertical="center" wrapText="1"/>
    </xf>
    <xf numFmtId="0" fontId="74" fillId="82" borderId="74" xfId="20" applyFont="1" applyFill="1" applyBorder="1" applyAlignment="1">
      <alignment horizontal="center" vertical="center" wrapText="1"/>
    </xf>
    <xf numFmtId="0" fontId="74" fillId="53" borderId="62" xfId="20" applyFont="1" applyBorder="1" applyAlignment="1">
      <alignment vertical="center" wrapText="1"/>
    </xf>
    <xf numFmtId="0" fontId="90" fillId="53" borderId="62" xfId="20" applyFont="1" applyBorder="1" applyAlignment="1">
      <alignment vertical="center" wrapText="1"/>
    </xf>
    <xf numFmtId="0" fontId="90" fillId="92" borderId="62" xfId="20" applyFont="1" applyFill="1" applyBorder="1" applyAlignment="1">
      <alignment vertical="center" wrapText="1"/>
    </xf>
    <xf numFmtId="0" fontId="90" fillId="53" borderId="62" xfId="20" applyFont="1" applyBorder="1" applyAlignment="1">
      <alignment horizontal="left" vertical="center" wrapText="1"/>
    </xf>
    <xf numFmtId="0" fontId="99" fillId="53" borderId="62" xfId="20" applyFont="1" applyBorder="1" applyAlignment="1">
      <alignment vertical="center" wrapText="1"/>
    </xf>
    <xf numFmtId="0" fontId="74" fillId="69" borderId="74" xfId="20" applyFont="1" applyFill="1" applyBorder="1" applyAlignment="1">
      <alignment horizontal="left" vertical="center" wrapText="1"/>
    </xf>
    <xf numFmtId="0" fontId="74" fillId="76" borderId="91" xfId="20" applyFont="1" applyFill="1" applyBorder="1" applyAlignment="1">
      <alignment horizontal="left" vertical="center" wrapText="1"/>
    </xf>
    <xf numFmtId="0" fontId="74" fillId="82" borderId="62" xfId="20" applyFont="1" applyFill="1" applyBorder="1" applyAlignment="1">
      <alignment horizontal="left" vertical="center" wrapText="1"/>
    </xf>
    <xf numFmtId="0" fontId="74" fillId="82" borderId="103" xfId="20" applyFont="1" applyFill="1" applyBorder="1" applyAlignment="1">
      <alignment horizontal="left" vertical="center" wrapText="1"/>
    </xf>
    <xf numFmtId="0" fontId="90" fillId="69" borderId="74" xfId="20" applyFont="1" applyFill="1" applyBorder="1" applyAlignment="1">
      <alignment horizontal="left" vertical="center" wrapText="1"/>
    </xf>
    <xf numFmtId="0" fontId="111" fillId="69" borderId="103" xfId="20" applyFont="1" applyFill="1" applyBorder="1" applyAlignment="1">
      <alignment horizontal="left" vertical="center" wrapText="1"/>
    </xf>
    <xf numFmtId="0" fontId="72" fillId="58" borderId="54" xfId="20" applyFont="1" applyFill="1" applyBorder="1" applyAlignment="1">
      <alignment vertical="center" wrapText="1"/>
    </xf>
    <xf numFmtId="0" fontId="72" fillId="58" borderId="75" xfId="20" applyFont="1" applyFill="1" applyBorder="1" applyAlignment="1">
      <alignment vertical="center" wrapText="1"/>
    </xf>
    <xf numFmtId="0" fontId="72" fillId="58" borderId="59" xfId="20" applyFont="1" applyFill="1" applyBorder="1" applyAlignment="1">
      <alignment vertical="center" wrapText="1"/>
    </xf>
    <xf numFmtId="0" fontId="72" fillId="58" borderId="53" xfId="20" applyFont="1" applyFill="1" applyAlignment="1">
      <alignment vertical="center" wrapText="1"/>
    </xf>
    <xf numFmtId="0" fontId="72" fillId="58" borderId="96" xfId="20" applyFont="1" applyFill="1" applyBorder="1" applyAlignment="1">
      <alignment vertical="center" wrapText="1"/>
    </xf>
    <xf numFmtId="0" fontId="64" fillId="53" borderId="78" xfId="20" applyFont="1" applyBorder="1"/>
    <xf numFmtId="0" fontId="90" fillId="69" borderId="90" xfId="20" applyFont="1" applyFill="1" applyBorder="1" applyAlignment="1">
      <alignment horizontal="left" vertical="center" wrapText="1"/>
    </xf>
    <xf numFmtId="0" fontId="90" fillId="76" borderId="74" xfId="20" applyFont="1" applyFill="1" applyBorder="1" applyAlignment="1">
      <alignment horizontal="left" vertical="center" wrapText="1"/>
    </xf>
    <xf numFmtId="0" fontId="74" fillId="76" borderId="74" xfId="20" applyFont="1" applyFill="1" applyBorder="1" applyAlignment="1">
      <alignment horizontal="left" vertical="center" wrapText="1"/>
    </xf>
    <xf numFmtId="0" fontId="94" fillId="53" borderId="74" xfId="20" applyFont="1" applyBorder="1" applyAlignment="1">
      <alignment vertical="center" wrapText="1"/>
    </xf>
    <xf numFmtId="0" fontId="93" fillId="53" borderId="105" xfId="20" applyFont="1" applyBorder="1" applyAlignment="1">
      <alignment vertical="center" wrapText="1"/>
    </xf>
    <xf numFmtId="0" fontId="94" fillId="53" borderId="103" xfId="20" applyFont="1" applyBorder="1" applyAlignment="1">
      <alignment vertical="center" wrapText="1"/>
    </xf>
    <xf numFmtId="0" fontId="94" fillId="77" borderId="74" xfId="20" applyFont="1" applyFill="1" applyBorder="1" applyAlignment="1">
      <alignment vertical="center" wrapText="1"/>
    </xf>
    <xf numFmtId="0" fontId="94" fillId="53" borderId="91" xfId="20" applyFont="1" applyBorder="1" applyAlignment="1">
      <alignment vertical="center" wrapText="1"/>
    </xf>
    <xf numFmtId="0" fontId="94" fillId="81" borderId="74" xfId="20" applyFont="1" applyFill="1" applyBorder="1" applyAlignment="1">
      <alignment vertical="center" wrapText="1"/>
    </xf>
    <xf numFmtId="0" fontId="90" fillId="104" borderId="62" xfId="20" applyFont="1" applyFill="1" applyBorder="1" applyAlignment="1">
      <alignment horizontal="left" vertical="center" wrapText="1"/>
    </xf>
    <xf numFmtId="0" fontId="90" fillId="105" borderId="62" xfId="20" applyFont="1" applyFill="1" applyBorder="1" applyAlignment="1">
      <alignment horizontal="left" vertical="center" wrapText="1"/>
    </xf>
    <xf numFmtId="0" fontId="86" fillId="57" borderId="53" xfId="20" applyFont="1" applyFill="1" applyAlignment="1">
      <alignment horizontal="center" vertical="center"/>
    </xf>
    <xf numFmtId="0" fontId="73" fillId="57" borderId="53" xfId="20" applyFont="1" applyFill="1" applyAlignment="1">
      <alignment horizontal="center" vertical="center"/>
    </xf>
    <xf numFmtId="0" fontId="82" fillId="58" borderId="54" xfId="20" applyFont="1" applyFill="1" applyBorder="1" applyAlignment="1">
      <alignment horizontal="left" vertical="center" wrapText="1"/>
    </xf>
    <xf numFmtId="0" fontId="82" fillId="58" borderId="75" xfId="20" applyFont="1" applyFill="1" applyBorder="1" applyAlignment="1">
      <alignment horizontal="left" vertical="center" wrapText="1"/>
    </xf>
    <xf numFmtId="0" fontId="82" fillId="58" borderId="60" xfId="20" applyFont="1" applyFill="1" applyBorder="1" applyAlignment="1">
      <alignment horizontal="left" vertical="center" wrapText="1"/>
    </xf>
    <xf numFmtId="0" fontId="72" fillId="58" borderId="54" xfId="20" applyFont="1" applyFill="1" applyBorder="1" applyAlignment="1">
      <alignment horizontal="left" vertical="center" wrapText="1"/>
    </xf>
    <xf numFmtId="0" fontId="72" fillId="58" borderId="75" xfId="20" applyFont="1" applyFill="1" applyBorder="1" applyAlignment="1">
      <alignment horizontal="left" vertical="center" wrapText="1"/>
    </xf>
    <xf numFmtId="0" fontId="72" fillId="58" borderId="59" xfId="20" applyFont="1" applyFill="1" applyBorder="1" applyAlignment="1">
      <alignment horizontal="left" vertical="center" wrapText="1"/>
    </xf>
    <xf numFmtId="0" fontId="70" fillId="58" borderId="55" xfId="20" applyFont="1" applyFill="1" applyBorder="1" applyAlignment="1">
      <alignment horizontal="right" vertical="center" wrapText="1"/>
    </xf>
    <xf numFmtId="0" fontId="70" fillId="58" borderId="56" xfId="20" applyFont="1" applyFill="1" applyBorder="1" applyAlignment="1">
      <alignment horizontal="right" vertical="center" wrapText="1"/>
    </xf>
    <xf numFmtId="0" fontId="70" fillId="58" borderId="57" xfId="20" applyFont="1" applyFill="1" applyBorder="1" applyAlignment="1">
      <alignment horizontal="right" vertical="center" wrapText="1"/>
    </xf>
    <xf numFmtId="0" fontId="70" fillId="58" borderId="58" xfId="20" applyFont="1" applyFill="1" applyBorder="1" applyAlignment="1">
      <alignment horizontal="right" vertical="center" wrapText="1"/>
    </xf>
    <xf numFmtId="0" fontId="89" fillId="58" borderId="55" xfId="20" applyFont="1" applyFill="1" applyBorder="1" applyAlignment="1">
      <alignment horizontal="center" vertical="center" wrapText="1"/>
    </xf>
    <xf numFmtId="0" fontId="89" fillId="58" borderId="56" xfId="20" applyFont="1" applyFill="1" applyBorder="1" applyAlignment="1">
      <alignment horizontal="center" vertical="center" wrapText="1"/>
    </xf>
    <xf numFmtId="0" fontId="89" fillId="98" borderId="55" xfId="20" applyFont="1" applyFill="1" applyBorder="1" applyAlignment="1">
      <alignment horizontal="center" vertical="center" wrapText="1"/>
    </xf>
    <xf numFmtId="0" fontId="89" fillId="98" borderId="56" xfId="20" applyFont="1" applyFill="1" applyBorder="1" applyAlignment="1">
      <alignment horizontal="center" vertical="center" wrapText="1"/>
    </xf>
    <xf numFmtId="0" fontId="89" fillId="70" borderId="55" xfId="20" applyFont="1" applyFill="1" applyBorder="1" applyAlignment="1">
      <alignment horizontal="center" vertical="center" wrapText="1"/>
    </xf>
    <xf numFmtId="0" fontId="89" fillId="70" borderId="56" xfId="20" applyFont="1" applyFill="1" applyBorder="1" applyAlignment="1">
      <alignment horizontal="center" vertical="center" wrapText="1"/>
    </xf>
    <xf numFmtId="0" fontId="58" fillId="58" borderId="99" xfId="20" applyFont="1" applyFill="1" applyBorder="1" applyAlignment="1">
      <alignment horizontal="center" vertical="center" wrapText="1"/>
    </xf>
    <xf numFmtId="0" fontId="58" fillId="58" borderId="53" xfId="20" applyFont="1" applyFill="1" applyAlignment="1">
      <alignment horizontal="center" vertical="center" wrapText="1"/>
    </xf>
    <xf numFmtId="0" fontId="72" fillId="69" borderId="103" xfId="20" applyFont="1" applyFill="1" applyBorder="1" applyAlignment="1">
      <alignment horizontal="center" vertical="center" wrapText="1"/>
    </xf>
    <xf numFmtId="0" fontId="72" fillId="69" borderId="84" xfId="20" applyFont="1" applyFill="1" applyBorder="1" applyAlignment="1">
      <alignment horizontal="center" vertical="center" wrapText="1"/>
    </xf>
    <xf numFmtId="0" fontId="72" fillId="58" borderId="53" xfId="20" applyFont="1" applyFill="1" applyAlignment="1">
      <alignment horizontal="left" vertical="center" wrapText="1"/>
    </xf>
    <xf numFmtId="0" fontId="72" fillId="58" borderId="96" xfId="20" applyFont="1" applyFill="1" applyBorder="1" applyAlignment="1">
      <alignment horizontal="left" vertical="center" wrapText="1"/>
    </xf>
    <xf numFmtId="0" fontId="58" fillId="58" borderId="79" xfId="20" applyFont="1" applyFill="1" applyBorder="1" applyAlignment="1">
      <alignment horizontal="center" vertical="center" wrapText="1"/>
    </xf>
    <xf numFmtId="0" fontId="58" fillId="58" borderId="80" xfId="20" applyFont="1" applyFill="1" applyBorder="1" applyAlignment="1">
      <alignment horizontal="center" vertical="center" wrapText="1"/>
    </xf>
    <xf numFmtId="0" fontId="58" fillId="58" borderId="86" xfId="20" applyFont="1" applyFill="1" applyBorder="1" applyAlignment="1">
      <alignment horizontal="center" vertical="center" wrapText="1"/>
    </xf>
    <xf numFmtId="0" fontId="58" fillId="58" borderId="104" xfId="20" applyFont="1" applyFill="1" applyBorder="1" applyAlignment="1">
      <alignment horizontal="center" vertical="center" wrapText="1"/>
    </xf>
    <xf numFmtId="0" fontId="72" fillId="69" borderId="62" xfId="20" applyFont="1" applyFill="1" applyBorder="1" applyAlignment="1">
      <alignment horizontal="center" vertical="center" wrapText="1"/>
    </xf>
    <xf numFmtId="0" fontId="72" fillId="58" borderId="83" xfId="20" applyFont="1" applyFill="1" applyBorder="1" applyAlignment="1">
      <alignment horizontal="left" vertical="center" wrapText="1"/>
    </xf>
    <xf numFmtId="0" fontId="72" fillId="58" borderId="84" xfId="20" applyFont="1" applyFill="1" applyBorder="1" applyAlignment="1">
      <alignment horizontal="left" vertical="center" wrapText="1"/>
    </xf>
    <xf numFmtId="0" fontId="72" fillId="58" borderId="89" xfId="20" applyFont="1" applyFill="1" applyBorder="1" applyAlignment="1">
      <alignment horizontal="left" vertical="center" wrapText="1"/>
    </xf>
    <xf numFmtId="0" fontId="58" fillId="58" borderId="81" xfId="20" applyFont="1" applyFill="1" applyBorder="1" applyAlignment="1">
      <alignment horizontal="center" vertical="center" wrapText="1"/>
    </xf>
    <xf numFmtId="0" fontId="66" fillId="57" borderId="53" xfId="20" applyFont="1" applyFill="1" applyAlignment="1">
      <alignment horizontal="center"/>
    </xf>
    <xf numFmtId="0" fontId="65" fillId="57" borderId="53" xfId="20" applyFont="1" applyFill="1" applyAlignment="1">
      <alignment horizontal="center" vertical="center"/>
    </xf>
    <xf numFmtId="0" fontId="65" fillId="57" borderId="59" xfId="20" applyFont="1" applyFill="1" applyBorder="1" applyAlignment="1">
      <alignment horizontal="center"/>
    </xf>
    <xf numFmtId="0" fontId="76" fillId="58" borderId="79" xfId="20" applyFont="1" applyFill="1" applyBorder="1" applyAlignment="1">
      <alignment horizontal="left" vertical="center" wrapText="1"/>
    </xf>
    <xf numFmtId="0" fontId="76" fillId="58" borderId="80" xfId="20" applyFont="1" applyFill="1" applyBorder="1" applyAlignment="1">
      <alignment horizontal="left" vertical="center" wrapText="1"/>
    </xf>
    <xf numFmtId="0" fontId="76" fillId="58" borderId="104" xfId="20" applyFont="1" applyFill="1" applyBorder="1" applyAlignment="1">
      <alignment horizontal="left" vertical="center" wrapText="1"/>
    </xf>
    <xf numFmtId="0" fontId="63" fillId="84" borderId="61" xfId="20" applyFont="1" applyFill="1" applyBorder="1" applyAlignment="1">
      <alignment horizontal="center" vertical="center" wrapText="1"/>
    </xf>
    <xf numFmtId="0" fontId="63" fillId="84" borderId="64" xfId="20" applyFont="1" applyFill="1" applyBorder="1" applyAlignment="1">
      <alignment horizontal="center" vertical="center" wrapText="1"/>
    </xf>
    <xf numFmtId="0" fontId="81" fillId="58" borderId="93" xfId="20" applyFont="1" applyFill="1" applyBorder="1" applyAlignment="1">
      <alignment horizontal="center" vertical="center" wrapText="1"/>
    </xf>
    <xf numFmtId="0" fontId="77" fillId="58" borderId="94" xfId="20" applyFont="1" applyFill="1" applyBorder="1" applyAlignment="1">
      <alignment horizontal="center" vertical="center" wrapText="1"/>
    </xf>
    <xf numFmtId="0" fontId="77" fillId="58" borderId="95" xfId="20" applyFont="1" applyFill="1" applyBorder="1" applyAlignment="1">
      <alignment horizontal="center" vertical="center" wrapText="1"/>
    </xf>
    <xf numFmtId="0" fontId="77" fillId="58" borderId="96" xfId="20" applyFont="1" applyFill="1" applyBorder="1" applyAlignment="1">
      <alignment horizontal="center" vertical="center" wrapText="1"/>
    </xf>
    <xf numFmtId="0" fontId="58" fillId="58" borderId="55" xfId="20" applyFont="1" applyFill="1" applyBorder="1" applyAlignment="1">
      <alignment horizontal="center" vertical="center" wrapText="1"/>
    </xf>
    <xf numFmtId="0" fontId="58" fillId="58" borderId="56" xfId="20" applyFont="1" applyFill="1" applyBorder="1" applyAlignment="1">
      <alignment horizontal="center" vertical="center" wrapText="1"/>
    </xf>
    <xf numFmtId="0" fontId="58" fillId="98" borderId="55" xfId="20" applyFont="1" applyFill="1" applyBorder="1" applyAlignment="1">
      <alignment horizontal="center" vertical="center" wrapText="1"/>
    </xf>
    <xf numFmtId="0" fontId="58" fillId="98" borderId="56" xfId="20" applyFont="1" applyFill="1" applyBorder="1" applyAlignment="1">
      <alignment horizontal="center" vertical="center" wrapText="1"/>
    </xf>
    <xf numFmtId="0" fontId="58" fillId="70" borderId="55" xfId="20" applyFont="1" applyFill="1" applyBorder="1" applyAlignment="1">
      <alignment horizontal="center" vertical="center" wrapText="1"/>
    </xf>
    <xf numFmtId="0" fontId="58" fillId="70" borderId="56" xfId="20" applyFont="1" applyFill="1" applyBorder="1" applyAlignment="1">
      <alignment horizontal="center" vertical="center" wrapText="1"/>
    </xf>
    <xf numFmtId="0" fontId="63" fillId="69" borderId="55" xfId="20" applyFont="1" applyFill="1" applyBorder="1" applyAlignment="1">
      <alignment horizontal="center" vertical="center" wrapText="1"/>
    </xf>
    <xf numFmtId="0" fontId="63" fillId="69" borderId="63" xfId="20" applyFont="1" applyFill="1" applyBorder="1" applyAlignment="1">
      <alignment horizontal="center" vertical="center" wrapText="1"/>
    </xf>
    <xf numFmtId="0" fontId="63" fillId="69" borderId="90" xfId="20" applyFont="1" applyFill="1" applyBorder="1" applyAlignment="1">
      <alignment horizontal="center" vertical="center" wrapText="1"/>
    </xf>
    <xf numFmtId="0" fontId="76" fillId="58" borderId="81" xfId="20" applyFont="1" applyFill="1" applyBorder="1" applyAlignment="1">
      <alignment horizontal="left" vertical="center" wrapText="1"/>
    </xf>
    <xf numFmtId="0" fontId="76" fillId="58" borderId="62" xfId="20" applyFont="1" applyFill="1" applyBorder="1" applyAlignment="1">
      <alignment horizontal="left" vertical="center" wrapText="1"/>
    </xf>
    <xf numFmtId="0" fontId="76" fillId="58" borderId="54" xfId="20" applyFont="1" applyFill="1" applyBorder="1" applyAlignment="1">
      <alignment horizontal="left" vertical="center" wrapText="1"/>
    </xf>
    <xf numFmtId="0" fontId="76" fillId="58" borderId="75" xfId="20" applyFont="1" applyFill="1" applyBorder="1" applyAlignment="1">
      <alignment horizontal="left" vertical="center" wrapText="1"/>
    </xf>
    <xf numFmtId="0" fontId="76" fillId="58" borderId="60" xfId="20" applyFont="1" applyFill="1" applyBorder="1" applyAlignment="1">
      <alignment horizontal="left" vertical="center" wrapText="1"/>
    </xf>
    <xf numFmtId="0" fontId="108" fillId="57" borderId="53" xfId="20" applyFont="1" applyFill="1" applyAlignment="1">
      <alignment horizontal="center" vertical="center"/>
    </xf>
    <xf numFmtId="0" fontId="81" fillId="58" borderId="93" xfId="20" applyFont="1" applyFill="1" applyBorder="1" applyAlignment="1">
      <alignment horizontal="center" vertical="center" wrapText="1"/>
    </xf>
    <xf numFmtId="0" fontId="81" fillId="58" borderId="101" xfId="20" applyFont="1" applyFill="1" applyBorder="1" applyAlignment="1">
      <alignment horizontal="center" vertical="center" wrapText="1"/>
    </xf>
    <xf numFmtId="0" fontId="63" fillId="58" borderId="61" xfId="20" applyFont="1" applyFill="1" applyBorder="1" applyAlignment="1">
      <alignment horizontal="center" vertical="center"/>
    </xf>
    <xf numFmtId="0" fontId="63" fillId="58" borderId="62" xfId="20" applyFont="1" applyFill="1" applyBorder="1" applyAlignment="1">
      <alignment horizontal="center" vertical="center"/>
    </xf>
    <xf numFmtId="0" fontId="85" fillId="88" borderId="53" xfId="20" applyFont="1" applyFill="1" applyAlignment="1">
      <alignment horizontal="left" vertical="center"/>
    </xf>
    <xf numFmtId="0" fontId="85" fillId="89" borderId="53" xfId="20" applyFont="1" applyFill="1" applyAlignment="1">
      <alignment horizontal="left" vertical="center"/>
    </xf>
    <xf numFmtId="0" fontId="85" fillId="86" borderId="53" xfId="20" applyFont="1" applyFill="1" applyAlignment="1">
      <alignment horizontal="left" vertical="center"/>
    </xf>
    <xf numFmtId="0" fontId="85" fillId="87" borderId="53" xfId="20" applyFont="1" applyFill="1" applyAlignment="1">
      <alignment horizontal="left" vertical="center"/>
    </xf>
    <xf numFmtId="0" fontId="85" fillId="62" borderId="53" xfId="20" applyFont="1" applyFill="1" applyAlignment="1">
      <alignment horizontal="left" vertical="center"/>
    </xf>
    <xf numFmtId="0" fontId="97" fillId="67" borderId="62" xfId="20" applyFont="1" applyFill="1" applyBorder="1" applyAlignment="1">
      <alignment horizontal="left" vertical="center" wrapText="1"/>
    </xf>
    <xf numFmtId="0" fontId="97" fillId="100" borderId="62" xfId="20" applyFont="1" applyFill="1" applyBorder="1" applyAlignment="1">
      <alignment horizontal="center" vertical="center" wrapText="1"/>
    </xf>
    <xf numFmtId="0" fontId="112" fillId="53" borderId="53" xfId="20" applyNumberFormat="1" applyFont="1" applyFill="1" applyBorder="1"/>
    <xf numFmtId="0" fontId="113" fillId="53" borderId="53" xfId="20" applyNumberFormat="1" applyFont="1" applyFill="1" applyBorder="1"/>
    <xf numFmtId="0" fontId="114" fillId="53" borderId="53" xfId="20" applyNumberFormat="1" applyFont="1" applyFill="1" applyBorder="1"/>
    <xf numFmtId="0" fontId="112" fillId="106" borderId="53" xfId="20" applyNumberFormat="1" applyFont="1" applyFill="1" applyBorder="1"/>
    <xf numFmtId="0" fontId="115" fillId="106" borderId="53" xfId="20" applyNumberFormat="1" applyFont="1" applyFill="1" applyBorder="1"/>
    <xf numFmtId="0" fontId="115" fillId="106" borderId="53" xfId="20" applyNumberFormat="1" applyFont="1" applyFill="1" applyBorder="1" applyAlignment="1">
      <alignment wrapText="1"/>
    </xf>
    <xf numFmtId="0" fontId="115" fillId="106" borderId="53" xfId="20" applyNumberFormat="1" applyFont="1" applyFill="1" applyBorder="1" applyAlignment="1">
      <alignment vertical="center" wrapText="1"/>
    </xf>
    <xf numFmtId="165" fontId="112" fillId="53" borderId="53" xfId="20" applyNumberFormat="1" applyFont="1" applyFill="1" applyBorder="1"/>
    <xf numFmtId="0" fontId="112" fillId="53" borderId="53" xfId="20" applyNumberFormat="1" applyFont="1" applyFill="1" applyBorder="1" applyAlignment="1">
      <alignment horizontal="right"/>
    </xf>
    <xf numFmtId="165" fontId="112" fillId="53" borderId="53" xfId="20" applyNumberFormat="1" applyFont="1" applyFill="1" applyBorder="1" applyAlignment="1">
      <alignment horizontal="right"/>
    </xf>
    <xf numFmtId="0" fontId="112" fillId="107" borderId="53" xfId="20" applyNumberFormat="1" applyFont="1" applyFill="1" applyBorder="1"/>
    <xf numFmtId="0" fontId="112" fillId="107" borderId="53" xfId="20" applyNumberFormat="1" applyFont="1" applyFill="1" applyBorder="1" applyAlignment="1">
      <alignment horizontal="right"/>
    </xf>
    <xf numFmtId="165" fontId="112" fillId="107" borderId="53" xfId="20" applyNumberFormat="1" applyFont="1" applyFill="1" applyBorder="1" applyAlignment="1">
      <alignment horizontal="right"/>
    </xf>
    <xf numFmtId="0" fontId="116" fillId="107" borderId="53" xfId="20" applyNumberFormat="1" applyFont="1" applyFill="1" applyBorder="1"/>
    <xf numFmtId="0" fontId="116" fillId="107" borderId="53" xfId="20" applyNumberFormat="1" applyFont="1" applyFill="1" applyBorder="1" applyAlignment="1">
      <alignment horizontal="right"/>
    </xf>
    <xf numFmtId="165" fontId="116" fillId="107" borderId="53" xfId="20" applyNumberFormat="1" applyFont="1" applyFill="1" applyBorder="1" applyAlignment="1">
      <alignment horizontal="right"/>
    </xf>
    <xf numFmtId="0" fontId="112" fillId="108" borderId="53" xfId="20" applyNumberFormat="1" applyFont="1" applyFill="1" applyBorder="1"/>
    <xf numFmtId="0" fontId="112" fillId="108" borderId="53" xfId="20" applyNumberFormat="1" applyFont="1" applyFill="1" applyBorder="1" applyAlignment="1">
      <alignment horizontal="right"/>
    </xf>
    <xf numFmtId="165" fontId="112" fillId="108" borderId="53" xfId="20" applyNumberFormat="1" applyFont="1" applyFill="1" applyBorder="1" applyAlignment="1">
      <alignment horizontal="right"/>
    </xf>
    <xf numFmtId="0" fontId="112" fillId="108" borderId="53" xfId="20" applyNumberFormat="1" applyFont="1" applyFill="1" applyBorder="1" applyAlignment="1">
      <alignment wrapText="1"/>
    </xf>
    <xf numFmtId="0" fontId="112" fillId="53" borderId="53" xfId="20" applyNumberFormat="1" applyFont="1" applyFill="1" applyBorder="1" applyAlignment="1">
      <alignment wrapText="1"/>
    </xf>
    <xf numFmtId="165" fontId="112" fillId="108" borderId="53" xfId="20" applyNumberFormat="1" applyFont="1" applyFill="1" applyBorder="1"/>
    <xf numFmtId="166" fontId="112" fillId="53" borderId="53" xfId="20" applyNumberFormat="1" applyFont="1" applyFill="1" applyBorder="1"/>
    <xf numFmtId="166" fontId="112" fillId="108" borderId="53" xfId="20" applyNumberFormat="1" applyFont="1" applyFill="1" applyBorder="1"/>
    <xf numFmtId="0" fontId="117" fillId="53" borderId="53" xfId="20" applyNumberFormat="1" applyFont="1" applyFill="1" applyBorder="1"/>
    <xf numFmtId="0" fontId="118" fillId="109" borderId="106" xfId="40"/>
    <xf numFmtId="0" fontId="118" fillId="113" borderId="106" xfId="40" applyFill="1"/>
    <xf numFmtId="0" fontId="127" fillId="113" borderId="106" xfId="40" applyFont="1" applyFill="1"/>
    <xf numFmtId="0" fontId="127" fillId="109" borderId="122" xfId="40" applyFont="1" applyBorder="1" applyAlignment="1">
      <alignment horizontal="center" vertical="center"/>
    </xf>
    <xf numFmtId="0" fontId="118" fillId="116" borderId="108" xfId="40" applyFill="1" applyBorder="1"/>
    <xf numFmtId="0" fontId="118" fillId="117" borderId="116" xfId="40" applyFill="1" applyBorder="1"/>
    <xf numFmtId="0" fontId="129" fillId="118" borderId="109" xfId="40" applyFont="1" applyFill="1" applyBorder="1" applyAlignment="1">
      <alignment horizontal="center" vertical="center" wrapText="1"/>
    </xf>
    <xf numFmtId="0" fontId="118" fillId="113" borderId="106" xfId="40" applyFill="1" applyAlignment="1">
      <alignment horizontal="left" vertical="center"/>
    </xf>
    <xf numFmtId="0" fontId="129" fillId="116" borderId="115" xfId="40" applyFont="1" applyFill="1" applyBorder="1" applyAlignment="1">
      <alignment horizontal="center" vertical="center" wrapText="1"/>
    </xf>
    <xf numFmtId="0" fontId="129" fillId="118" borderId="115" xfId="40" applyFont="1" applyFill="1" applyBorder="1" applyAlignment="1">
      <alignment horizontal="center" vertical="center" wrapText="1"/>
    </xf>
    <xf numFmtId="0" fontId="127" fillId="109" borderId="123" xfId="40" applyFont="1" applyBorder="1" applyAlignment="1">
      <alignment horizontal="center" vertical="center"/>
    </xf>
    <xf numFmtId="0" fontId="118" fillId="117" borderId="115" xfId="40" applyFill="1" applyBorder="1"/>
    <xf numFmtId="0" fontId="118" fillId="119" borderId="115" xfId="40" applyFill="1" applyBorder="1"/>
    <xf numFmtId="0" fontId="118" fillId="120" borderId="117" xfId="40" applyFill="1" applyBorder="1"/>
    <xf numFmtId="0" fontId="129" fillId="117" borderId="115" xfId="40" applyFont="1" applyFill="1" applyBorder="1" applyAlignment="1">
      <alignment horizontal="center" vertical="center" wrapText="1"/>
    </xf>
    <xf numFmtId="0" fontId="129" fillId="120" borderId="115" xfId="40" applyFont="1" applyFill="1" applyBorder="1" applyAlignment="1">
      <alignment horizontal="center" vertical="center" wrapText="1"/>
    </xf>
    <xf numFmtId="0" fontId="118" fillId="120" borderId="115" xfId="40" applyFill="1" applyBorder="1"/>
    <xf numFmtId="0" fontId="129" fillId="119" borderId="115" xfId="40" applyFont="1" applyFill="1" applyBorder="1" applyAlignment="1">
      <alignment horizontal="center" vertical="center" wrapText="1"/>
    </xf>
    <xf numFmtId="0" fontId="129" fillId="121" borderId="115" xfId="40" applyFont="1" applyFill="1" applyBorder="1" applyAlignment="1">
      <alignment horizontal="center" vertical="center" wrapText="1"/>
    </xf>
    <xf numFmtId="0" fontId="127" fillId="109" borderId="124" xfId="40" applyFont="1" applyBorder="1" applyAlignment="1">
      <alignment horizontal="center" vertical="center"/>
    </xf>
    <xf numFmtId="0" fontId="129" fillId="121" borderId="110" xfId="40" applyFont="1" applyFill="1" applyBorder="1" applyAlignment="1">
      <alignment horizontal="center" vertical="center" wrapText="1"/>
    </xf>
    <xf numFmtId="0" fontId="129" fillId="121" borderId="118" xfId="40" applyFont="1" applyFill="1" applyBorder="1" applyAlignment="1">
      <alignment horizontal="center" vertical="center" wrapText="1"/>
    </xf>
    <xf numFmtId="0" fontId="129" fillId="121" borderId="111" xfId="40" applyFont="1" applyFill="1" applyBorder="1" applyAlignment="1">
      <alignment horizontal="center" vertical="center" wrapText="1"/>
    </xf>
    <xf numFmtId="0" fontId="127" fillId="109" borderId="106" xfId="40" applyFont="1"/>
    <xf numFmtId="0" fontId="127" fillId="109" borderId="125" xfId="40" applyFont="1" applyBorder="1" applyAlignment="1">
      <alignment horizontal="center" vertical="center"/>
    </xf>
    <xf numFmtId="0" fontId="127" fillId="109" borderId="126" xfId="40" applyFont="1" applyBorder="1" applyAlignment="1">
      <alignment horizontal="center" vertical="center"/>
    </xf>
    <xf numFmtId="0" fontId="118" fillId="122" borderId="116" xfId="40" applyFill="1" applyBorder="1"/>
    <xf numFmtId="0" fontId="130" fillId="122" borderId="115" xfId="40" applyFont="1" applyFill="1" applyBorder="1" applyAlignment="1">
      <alignment horizontal="center" vertical="center" wrapText="1"/>
    </xf>
    <xf numFmtId="0" fontId="118" fillId="122" borderId="114" xfId="40" applyFill="1" applyBorder="1"/>
    <xf numFmtId="0" fontId="118" fillId="119" borderId="114" xfId="40" applyFill="1" applyBorder="1"/>
    <xf numFmtId="0" fontId="118" fillId="118" borderId="115" xfId="40" applyFill="1" applyBorder="1"/>
    <xf numFmtId="0" fontId="120" fillId="113" borderId="106" xfId="40" applyFont="1" applyFill="1" applyAlignment="1">
      <alignment horizontal="left" vertical="center"/>
    </xf>
    <xf numFmtId="0" fontId="120" fillId="113" borderId="106" xfId="40" applyFont="1" applyFill="1" applyAlignment="1">
      <alignment horizontal="left" vertical="center" wrapText="1"/>
    </xf>
    <xf numFmtId="0" fontId="120" fillId="113" borderId="108" xfId="40" applyFont="1" applyFill="1" applyBorder="1" applyAlignment="1">
      <alignment horizontal="left" vertical="center" wrapText="1"/>
    </xf>
    <xf numFmtId="0" fontId="132" fillId="113" borderId="109" xfId="40" applyFont="1" applyFill="1" applyBorder="1" applyAlignment="1">
      <alignment horizontal="left" vertical="center" wrapText="1"/>
    </xf>
    <xf numFmtId="0" fontId="120" fillId="113" borderId="119" xfId="40" applyFont="1" applyFill="1" applyBorder="1" applyAlignment="1">
      <alignment horizontal="left" vertical="center" wrapText="1"/>
    </xf>
    <xf numFmtId="0" fontId="132" fillId="113" borderId="121" xfId="40" applyFont="1" applyFill="1" applyBorder="1" applyAlignment="1">
      <alignment horizontal="left" vertical="center" wrapText="1"/>
    </xf>
    <xf numFmtId="0" fontId="120" fillId="113" borderId="114" xfId="40" applyFont="1" applyFill="1" applyBorder="1" applyAlignment="1">
      <alignment horizontal="left" vertical="center" wrapText="1"/>
    </xf>
    <xf numFmtId="0" fontId="132" fillId="113" borderId="117" xfId="40" applyFont="1" applyFill="1" applyBorder="1" applyAlignment="1">
      <alignment horizontal="left" vertical="center" wrapText="1"/>
    </xf>
    <xf numFmtId="0" fontId="120" fillId="113" borderId="140" xfId="40" applyFont="1" applyFill="1" applyBorder="1" applyAlignment="1">
      <alignment horizontal="left" vertical="center" wrapText="1"/>
    </xf>
    <xf numFmtId="0" fontId="132" fillId="113" borderId="141" xfId="40" applyFont="1" applyFill="1" applyBorder="1" applyAlignment="1">
      <alignment horizontal="left" vertical="center" wrapText="1"/>
    </xf>
    <xf numFmtId="0" fontId="120" fillId="113" borderId="110" xfId="40" applyFont="1" applyFill="1" applyBorder="1" applyAlignment="1">
      <alignment horizontal="left" vertical="center" wrapText="1"/>
    </xf>
    <xf numFmtId="0" fontId="132" fillId="113" borderId="111" xfId="40" applyFont="1" applyFill="1" applyBorder="1" applyAlignment="1">
      <alignment horizontal="left" vertical="center" wrapText="1"/>
    </xf>
    <xf numFmtId="164" fontId="132" fillId="113" borderId="111" xfId="40" applyNumberFormat="1" applyFont="1" applyFill="1" applyBorder="1" applyAlignment="1">
      <alignment horizontal="left" vertical="center" wrapText="1"/>
    </xf>
    <xf numFmtId="0" fontId="140" fillId="109" borderId="115" xfId="40" applyFont="1" applyBorder="1" applyAlignment="1">
      <alignment horizontal="center" vertical="center"/>
    </xf>
    <xf numFmtId="0" fontId="141" fillId="121" borderId="115" xfId="40" applyFont="1" applyFill="1" applyBorder="1" applyAlignment="1">
      <alignment horizontal="center" vertical="center" wrapText="1"/>
    </xf>
    <xf numFmtId="0" fontId="123" fillId="113" borderId="106" xfId="40" applyFont="1" applyFill="1"/>
    <xf numFmtId="0" fontId="123" fillId="113" borderId="106" xfId="40" applyFont="1" applyFill="1" applyAlignment="1">
      <alignment horizontal="center" vertical="center" wrapText="1"/>
    </xf>
    <xf numFmtId="0" fontId="123" fillId="113" borderId="106" xfId="40" applyFont="1" applyFill="1" applyAlignment="1">
      <alignment horizontal="left" vertical="top" wrapText="1"/>
    </xf>
    <xf numFmtId="0" fontId="123" fillId="113" borderId="106" xfId="40" applyFont="1" applyFill="1" applyAlignment="1">
      <alignment horizontal="justify"/>
    </xf>
    <xf numFmtId="0" fontId="123" fillId="113" borderId="106" xfId="40" applyFont="1" applyFill="1" applyAlignment="1">
      <alignment horizontal="center" vertical="center"/>
    </xf>
    <xf numFmtId="0" fontId="123" fillId="109" borderId="106" xfId="40" applyFont="1"/>
    <xf numFmtId="0" fontId="124" fillId="113" borderId="106" xfId="40" applyFont="1" applyFill="1" applyAlignment="1">
      <alignment vertical="center"/>
    </xf>
    <xf numFmtId="0" fontId="124" fillId="109" borderId="106" xfId="40" applyFont="1" applyAlignment="1">
      <alignment vertical="center"/>
    </xf>
    <xf numFmtId="0" fontId="123" fillId="109" borderId="106" xfId="40" applyFont="1" applyAlignment="1">
      <alignment horizontal="center" vertical="center" wrapText="1"/>
    </xf>
    <xf numFmtId="0" fontId="123" fillId="109" borderId="106" xfId="40" applyFont="1" applyAlignment="1">
      <alignment horizontal="left" vertical="top" wrapText="1"/>
    </xf>
    <xf numFmtId="0" fontId="123" fillId="109" borderId="106" xfId="40" applyFont="1" applyAlignment="1">
      <alignment horizontal="justify"/>
    </xf>
    <xf numFmtId="0" fontId="123" fillId="109" borderId="106" xfId="40" applyFont="1" applyAlignment="1">
      <alignment horizontal="center" vertical="center"/>
    </xf>
    <xf numFmtId="0" fontId="132" fillId="113" borderId="106" xfId="40" applyFont="1" applyFill="1" applyAlignment="1">
      <alignment horizontal="left" vertical="center" wrapText="1"/>
    </xf>
    <xf numFmtId="0" fontId="126" fillId="113" borderId="106" xfId="40" applyFont="1" applyFill="1" applyAlignment="1">
      <alignment horizontal="left" vertical="center"/>
    </xf>
    <xf numFmtId="0" fontId="126" fillId="109" borderId="106" xfId="40" applyFont="1"/>
    <xf numFmtId="0" fontId="145" fillId="109" borderId="106" xfId="40" applyFont="1"/>
    <xf numFmtId="0" fontId="145" fillId="113" borderId="106" xfId="40" applyFont="1" applyFill="1"/>
    <xf numFmtId="0" fontId="141" fillId="121" borderId="129" xfId="40" applyFont="1" applyFill="1" applyBorder="1" applyAlignment="1">
      <alignment horizontal="center" vertical="center" wrapText="1"/>
    </xf>
    <xf numFmtId="0" fontId="140" fillId="109" borderId="129" xfId="40" applyFont="1" applyBorder="1" applyAlignment="1">
      <alignment horizontal="center" vertical="center"/>
    </xf>
    <xf numFmtId="0" fontId="141" fillId="121" borderId="151" xfId="40" applyFont="1" applyFill="1" applyBorder="1" applyAlignment="1">
      <alignment horizontal="center" vertical="center" wrapText="1"/>
    </xf>
    <xf numFmtId="0" fontId="140" fillId="109" borderId="151" xfId="40" applyFont="1" applyBorder="1" applyAlignment="1">
      <alignment horizontal="center" vertical="center"/>
    </xf>
    <xf numFmtId="0" fontId="129" fillId="121" borderId="116" xfId="40" applyFont="1" applyFill="1" applyBorder="1" applyAlignment="1">
      <alignment horizontal="center" vertical="center" wrapText="1"/>
    </xf>
    <xf numFmtId="0" fontId="129" fillId="121" borderId="153" xfId="40" applyFont="1" applyFill="1" applyBorder="1" applyAlignment="1">
      <alignment horizontal="center" vertical="center" wrapText="1"/>
    </xf>
    <xf numFmtId="0" fontId="129" fillId="121" borderId="135" xfId="40" applyFont="1" applyFill="1" applyBorder="1" applyAlignment="1">
      <alignment horizontal="center" vertical="center" wrapText="1"/>
    </xf>
    <xf numFmtId="0" fontId="131" fillId="109" borderId="114" xfId="40" applyFont="1" applyBorder="1" applyAlignment="1">
      <alignment vertical="top" wrapText="1"/>
    </xf>
    <xf numFmtId="0" fontId="140" fillId="109" borderId="117" xfId="40" applyFont="1" applyBorder="1" applyAlignment="1">
      <alignment horizontal="center" vertical="center"/>
    </xf>
    <xf numFmtId="0" fontId="131" fillId="109" borderId="130" xfId="40" applyFont="1" applyBorder="1" applyAlignment="1">
      <alignment vertical="top" wrapText="1"/>
    </xf>
    <xf numFmtId="0" fontId="118" fillId="142" borderId="152" xfId="40" applyFill="1" applyBorder="1" applyAlignment="1">
      <alignment horizontal="center"/>
    </xf>
    <xf numFmtId="0" fontId="118" fillId="146" borderId="152" xfId="40" applyFill="1" applyBorder="1" applyAlignment="1">
      <alignment horizontal="center"/>
    </xf>
    <xf numFmtId="0" fontId="118" fillId="147" borderId="152" xfId="40" applyFill="1" applyBorder="1" applyAlignment="1">
      <alignment horizontal="center"/>
    </xf>
    <xf numFmtId="0" fontId="118" fillId="144" borderId="152" xfId="40" applyFill="1" applyBorder="1" applyAlignment="1">
      <alignment horizontal="center"/>
    </xf>
    <xf numFmtId="0" fontId="118" fillId="120" borderId="152" xfId="40" applyFill="1" applyBorder="1" applyAlignment="1">
      <alignment horizontal="center"/>
    </xf>
    <xf numFmtId="0" fontId="149" fillId="109" borderId="106" xfId="40" applyFont="1" applyAlignment="1"/>
    <xf numFmtId="0" fontId="151" fillId="115" borderId="108" xfId="40" applyFont="1" applyFill="1" applyBorder="1" applyAlignment="1">
      <alignment horizontal="center" vertical="center" wrapText="1"/>
    </xf>
    <xf numFmtId="0" fontId="151" fillId="115" borderId="150" xfId="40" applyFont="1" applyFill="1" applyBorder="1" applyAlignment="1">
      <alignment vertical="center" wrapText="1"/>
    </xf>
    <xf numFmtId="0" fontId="134" fillId="126" borderId="110" xfId="40" applyFont="1" applyFill="1" applyBorder="1" applyAlignment="1">
      <alignment horizontal="center" vertical="center" wrapText="1"/>
    </xf>
    <xf numFmtId="0" fontId="134" fillId="126" borderId="111" xfId="40" applyFont="1" applyFill="1" applyBorder="1" applyAlignment="1">
      <alignment horizontal="center" vertical="center" wrapText="1"/>
    </xf>
    <xf numFmtId="0" fontId="134" fillId="115" borderId="110" xfId="40" applyFont="1" applyFill="1" applyBorder="1" applyAlignment="1">
      <alignment horizontal="center" vertical="center" wrapText="1"/>
    </xf>
    <xf numFmtId="0" fontId="152" fillId="109" borderId="118" xfId="40" applyFont="1" applyBorder="1" applyAlignment="1"/>
    <xf numFmtId="0" fontId="152" fillId="113" borderId="118" xfId="40" applyFont="1" applyFill="1" applyBorder="1" applyAlignment="1"/>
    <xf numFmtId="0" fontId="134" fillId="125" borderId="118" xfId="40" applyFont="1" applyFill="1" applyBorder="1" applyAlignment="1">
      <alignment horizontal="center" vertical="center" wrapText="1"/>
    </xf>
    <xf numFmtId="0" fontId="134" fillId="125" borderId="111" xfId="40" applyFont="1" applyFill="1" applyBorder="1" applyAlignment="1">
      <alignment horizontal="center" vertical="center" wrapText="1"/>
    </xf>
    <xf numFmtId="0" fontId="152" fillId="109" borderId="115" xfId="40" applyFont="1" applyBorder="1"/>
    <xf numFmtId="0" fontId="152" fillId="109" borderId="115" xfId="40" applyFont="1" applyBorder="1" applyAlignment="1">
      <alignment wrapText="1"/>
    </xf>
    <xf numFmtId="0" fontId="152" fillId="109" borderId="115" xfId="40" applyFont="1" applyBorder="1" applyAlignment="1">
      <alignment wrapText="1"/>
    </xf>
    <xf numFmtId="0" fontId="152" fillId="113" borderId="115" xfId="40" applyFont="1" applyFill="1" applyBorder="1"/>
    <xf numFmtId="0" fontId="152" fillId="137" borderId="115" xfId="40" applyFont="1" applyFill="1" applyBorder="1"/>
    <xf numFmtId="0" fontId="152" fillId="137" borderId="115" xfId="40" applyFont="1" applyFill="1" applyBorder="1" applyAlignment="1">
      <alignment wrapText="1"/>
    </xf>
    <xf numFmtId="0" fontId="152" fillId="137" borderId="115" xfId="40" applyFont="1" applyFill="1" applyBorder="1" applyAlignment="1">
      <alignment wrapText="1"/>
    </xf>
    <xf numFmtId="0" fontId="152" fillId="133" borderId="115" xfId="40" applyFont="1" applyFill="1" applyBorder="1"/>
    <xf numFmtId="0" fontId="152" fillId="131" borderId="115" xfId="40" applyFont="1" applyFill="1" applyBorder="1"/>
    <xf numFmtId="0" fontId="152" fillId="131" borderId="115" xfId="40" applyFont="1" applyFill="1" applyBorder="1" applyAlignment="1">
      <alignment wrapText="1"/>
    </xf>
    <xf numFmtId="0" fontId="152" fillId="131" borderId="115" xfId="40" applyFont="1" applyFill="1" applyBorder="1" applyAlignment="1">
      <alignment wrapText="1"/>
    </xf>
    <xf numFmtId="0" fontId="152" fillId="130" borderId="115" xfId="40" applyFont="1" applyFill="1" applyBorder="1"/>
    <xf numFmtId="0" fontId="153" fillId="115" borderId="110" xfId="40" applyFont="1" applyFill="1" applyBorder="1" applyAlignment="1">
      <alignment horizontal="center" vertical="center" wrapText="1"/>
    </xf>
    <xf numFmtId="0" fontId="154" fillId="109" borderId="118" xfId="40" applyFont="1" applyBorder="1" applyAlignment="1"/>
    <xf numFmtId="0" fontId="154" fillId="113" borderId="118" xfId="40" applyFont="1" applyFill="1" applyBorder="1" applyAlignment="1"/>
    <xf numFmtId="0" fontId="153" fillId="125" borderId="118" xfId="40" applyFont="1" applyFill="1" applyBorder="1" applyAlignment="1">
      <alignment horizontal="center" vertical="center" wrapText="1"/>
    </xf>
    <xf numFmtId="0" fontId="152" fillId="150" borderId="115" xfId="40" applyFont="1" applyFill="1" applyBorder="1"/>
    <xf numFmtId="0" fontId="152" fillId="150" borderId="115" xfId="40" applyFont="1" applyFill="1" applyBorder="1" applyAlignment="1">
      <alignment wrapText="1"/>
    </xf>
    <xf numFmtId="0" fontId="152" fillId="150" borderId="115" xfId="40" applyFont="1" applyFill="1" applyBorder="1" applyAlignment="1">
      <alignment wrapText="1"/>
    </xf>
    <xf numFmtId="0" fontId="152" fillId="151" borderId="115" xfId="40" applyFont="1" applyFill="1" applyBorder="1"/>
    <xf numFmtId="0" fontId="152" fillId="151" borderId="115" xfId="40" applyFont="1" applyFill="1" applyBorder="1" applyAlignment="1">
      <alignment wrapText="1"/>
    </xf>
    <xf numFmtId="0" fontId="152" fillId="151" borderId="115" xfId="40" applyFont="1" applyFill="1" applyBorder="1" applyAlignment="1">
      <alignment wrapText="1"/>
    </xf>
    <xf numFmtId="0" fontId="152" fillId="113" borderId="115" xfId="40" applyFont="1" applyFill="1" applyBorder="1" applyAlignment="1">
      <alignment horizontal="center" vertical="center" wrapText="1"/>
    </xf>
    <xf numFmtId="0" fontId="120" fillId="115" borderId="122" xfId="40" applyFont="1" applyFill="1" applyBorder="1" applyAlignment="1">
      <alignment horizontal="center" vertical="center" wrapText="1"/>
    </xf>
    <xf numFmtId="0" fontId="120" fillId="115" borderId="150" xfId="40" applyFont="1" applyFill="1" applyBorder="1" applyAlignment="1">
      <alignment horizontal="center" vertical="center" wrapText="1"/>
    </xf>
    <xf numFmtId="0" fontId="124" fillId="113" borderId="106" xfId="40" applyFont="1" applyFill="1" applyAlignment="1">
      <alignment horizontal="center" vertical="center"/>
    </xf>
    <xf numFmtId="0" fontId="124" fillId="109" borderId="106" xfId="40" applyFont="1" applyAlignment="1">
      <alignment horizontal="center" vertical="center"/>
    </xf>
    <xf numFmtId="0" fontId="137" fillId="113" borderId="106" xfId="40" applyFont="1" applyFill="1" applyAlignment="1">
      <alignment horizontal="center" vertical="center"/>
    </xf>
    <xf numFmtId="0" fontId="137" fillId="109" borderId="106" xfId="40" applyFont="1" applyAlignment="1">
      <alignment horizontal="center" vertical="center"/>
    </xf>
    <xf numFmtId="0" fontId="137" fillId="109" borderId="115" xfId="40" applyFont="1" applyBorder="1" applyAlignment="1">
      <alignment horizontal="center" vertical="center"/>
    </xf>
    <xf numFmtId="0" fontId="154" fillId="109" borderId="118" xfId="40" applyFont="1" applyBorder="1" applyAlignment="1">
      <alignment horizontal="center" vertical="center"/>
    </xf>
    <xf numFmtId="0" fontId="154" fillId="113" borderId="118" xfId="40" applyFont="1" applyFill="1" applyBorder="1" applyAlignment="1">
      <alignment horizontal="center" vertical="center"/>
    </xf>
    <xf numFmtId="0" fontId="154" fillId="124" borderId="111" xfId="40" applyFont="1" applyFill="1" applyBorder="1" applyAlignment="1">
      <alignment horizontal="center" vertical="center" wrapText="1"/>
    </xf>
    <xf numFmtId="0" fontId="154" fillId="126" borderId="110" xfId="40" applyFont="1" applyFill="1" applyBorder="1" applyAlignment="1">
      <alignment horizontal="center" vertical="center" wrapText="1"/>
    </xf>
    <xf numFmtId="0" fontId="154" fillId="126" borderId="111" xfId="40" applyFont="1" applyFill="1" applyBorder="1" applyAlignment="1">
      <alignment horizontal="center" vertical="center" wrapText="1"/>
    </xf>
    <xf numFmtId="0" fontId="154" fillId="115" borderId="110" xfId="40" applyFont="1" applyFill="1" applyBorder="1" applyAlignment="1">
      <alignment horizontal="center" vertical="center" wrapText="1"/>
    </xf>
    <xf numFmtId="0" fontId="154" fillId="125" borderId="110" xfId="40" applyFont="1" applyFill="1" applyBorder="1" applyAlignment="1">
      <alignment horizontal="center" vertical="center" wrapText="1"/>
    </xf>
    <xf numFmtId="0" fontId="154" fillId="125" borderId="118" xfId="40" applyFont="1" applyFill="1" applyBorder="1" applyAlignment="1">
      <alignment horizontal="center" vertical="center" wrapText="1"/>
    </xf>
    <xf numFmtId="0" fontId="154" fillId="125" borderId="145" xfId="40" applyFont="1" applyFill="1" applyBorder="1" applyAlignment="1">
      <alignment horizontal="center" vertical="center" wrapText="1"/>
    </xf>
    <xf numFmtId="0" fontId="154" fillId="140" borderId="114" xfId="40" applyFont="1" applyFill="1" applyBorder="1" applyAlignment="1">
      <alignment horizontal="center" vertical="center" wrapText="1"/>
    </xf>
    <xf numFmtId="0" fontId="154" fillId="140" borderId="117" xfId="40" applyFont="1" applyFill="1" applyBorder="1" applyAlignment="1">
      <alignment horizontal="center" vertical="center" wrapText="1"/>
    </xf>
    <xf numFmtId="0" fontId="155" fillId="116" borderId="118" xfId="40" applyFont="1" applyFill="1" applyBorder="1" applyAlignment="1">
      <alignment horizontal="center" vertical="center" wrapText="1"/>
    </xf>
    <xf numFmtId="0" fontId="156" fillId="122" borderId="118" xfId="40" applyFont="1" applyFill="1" applyBorder="1" applyAlignment="1">
      <alignment horizontal="center" vertical="center" wrapText="1"/>
    </xf>
    <xf numFmtId="0" fontId="155" fillId="117" borderId="118" xfId="40" applyFont="1" applyFill="1" applyBorder="1" applyAlignment="1">
      <alignment horizontal="center" vertical="center" wrapText="1"/>
    </xf>
    <xf numFmtId="0" fontId="155" fillId="119" borderId="118" xfId="40" applyFont="1" applyFill="1" applyBorder="1" applyAlignment="1">
      <alignment horizontal="center" vertical="center" wrapText="1"/>
    </xf>
    <xf numFmtId="0" fontId="155" fillId="118" borderId="118" xfId="40" applyFont="1" applyFill="1" applyBorder="1" applyAlignment="1">
      <alignment horizontal="center" vertical="center" wrapText="1"/>
    </xf>
    <xf numFmtId="0" fontId="155" fillId="120" borderId="118" xfId="40" applyFont="1" applyFill="1" applyBorder="1" applyAlignment="1">
      <alignment horizontal="center" vertical="center" wrapText="1"/>
    </xf>
    <xf numFmtId="0" fontId="155" fillId="121" borderId="118" xfId="40" applyFont="1" applyFill="1" applyBorder="1" applyAlignment="1">
      <alignment horizontal="center" vertical="center" wrapText="1"/>
    </xf>
    <xf numFmtId="0" fontId="136" fillId="113" borderId="106" xfId="40" applyFont="1" applyFill="1" applyAlignment="1">
      <alignment horizontal="left" vertical="center"/>
    </xf>
    <xf numFmtId="0" fontId="136" fillId="109" borderId="106" xfId="40" applyFont="1"/>
    <xf numFmtId="0" fontId="136" fillId="148" borderId="106" xfId="40" applyFont="1" applyFill="1"/>
    <xf numFmtId="0" fontId="152" fillId="123" borderId="115" xfId="40" applyFont="1" applyFill="1" applyBorder="1" applyAlignment="1">
      <alignment horizontal="left" vertical="center" wrapText="1"/>
    </xf>
    <xf numFmtId="0" fontId="152" fillId="126" borderId="115" xfId="40" applyFont="1" applyFill="1" applyBorder="1" applyAlignment="1">
      <alignment horizontal="center" vertical="center" wrapText="1"/>
    </xf>
    <xf numFmtId="0" fontId="152" fillId="126" borderId="115" xfId="40" applyFont="1" applyFill="1" applyBorder="1" applyAlignment="1">
      <alignment horizontal="left" vertical="center" wrapText="1"/>
    </xf>
    <xf numFmtId="0" fontId="152" fillId="125" borderId="115" xfId="40" applyFont="1" applyFill="1" applyBorder="1" applyAlignment="1">
      <alignment horizontal="center" vertical="center" wrapText="1"/>
    </xf>
    <xf numFmtId="0" fontId="152" fillId="125" borderId="115" xfId="40" applyFont="1" applyFill="1" applyBorder="1" applyAlignment="1">
      <alignment vertical="center" wrapText="1"/>
    </xf>
    <xf numFmtId="0" fontId="152" fillId="133" borderId="115" xfId="40" applyFont="1" applyFill="1" applyBorder="1" applyAlignment="1">
      <alignment horizontal="center" vertical="center" wrapText="1"/>
    </xf>
    <xf numFmtId="0" fontId="152" fillId="138" borderId="115" xfId="40" applyFont="1" applyFill="1" applyBorder="1" applyAlignment="1">
      <alignment horizontal="center" vertical="center" wrapText="1"/>
    </xf>
    <xf numFmtId="0" fontId="152" fillId="138" borderId="115" xfId="40" applyFont="1" applyFill="1" applyBorder="1" applyAlignment="1">
      <alignment horizontal="left" vertical="center" wrapText="1"/>
    </xf>
    <xf numFmtId="0" fontId="152" fillId="130" borderId="115" xfId="40" applyFont="1" applyFill="1" applyBorder="1" applyAlignment="1">
      <alignment horizontal="center" vertical="center" wrapText="1"/>
    </xf>
    <xf numFmtId="0" fontId="152" fillId="132" borderId="115" xfId="40" applyFont="1" applyFill="1" applyBorder="1" applyAlignment="1">
      <alignment horizontal="center" vertical="center" wrapText="1"/>
    </xf>
    <xf numFmtId="0" fontId="152" fillId="132" borderId="115" xfId="40" applyFont="1" applyFill="1" applyBorder="1" applyAlignment="1">
      <alignment horizontal="left" vertical="center" wrapText="1"/>
    </xf>
    <xf numFmtId="0" fontId="152" fillId="125" borderId="115" xfId="40" applyFont="1" applyFill="1" applyBorder="1" applyAlignment="1">
      <alignment horizontal="left" vertical="center" wrapText="1"/>
    </xf>
    <xf numFmtId="0" fontId="152" fillId="150" borderId="115" xfId="40" applyFont="1" applyFill="1" applyBorder="1" applyAlignment="1">
      <alignment horizontal="center" vertical="center" wrapText="1"/>
    </xf>
    <xf numFmtId="0" fontId="152" fillId="113" borderId="130" xfId="40" applyFont="1" applyFill="1" applyBorder="1" applyAlignment="1">
      <alignment horizontal="center" vertical="center" wrapText="1"/>
    </xf>
    <xf numFmtId="0" fontId="152" fillId="113" borderId="114" xfId="40" applyFont="1" applyFill="1" applyBorder="1" applyAlignment="1">
      <alignment horizontal="center" vertical="center" wrapText="1"/>
    </xf>
    <xf numFmtId="0" fontId="152" fillId="133" borderId="114" xfId="40" applyFont="1" applyFill="1" applyBorder="1" applyAlignment="1">
      <alignment horizontal="center" vertical="center" wrapText="1"/>
    </xf>
    <xf numFmtId="0" fontId="152" fillId="113" borderId="119" xfId="40" applyFont="1" applyFill="1" applyBorder="1" applyAlignment="1">
      <alignment horizontal="center" vertical="center" wrapText="1"/>
    </xf>
    <xf numFmtId="0" fontId="161" fillId="152" borderId="138" xfId="40" applyFont="1" applyFill="1" applyBorder="1" applyAlignment="1">
      <alignment horizontal="center" vertical="center" wrapText="1"/>
    </xf>
    <xf numFmtId="0" fontId="161" fillId="152" borderId="155" xfId="40" applyFont="1" applyFill="1" applyBorder="1" applyAlignment="1">
      <alignment horizontal="center" vertical="center" wrapText="1"/>
    </xf>
    <xf numFmtId="0" fontId="161" fillId="153" borderId="110" xfId="40" applyFont="1" applyFill="1" applyBorder="1" applyAlignment="1">
      <alignment horizontal="center" vertical="center" wrapText="1"/>
    </xf>
    <xf numFmtId="0" fontId="161" fillId="153" borderId="155" xfId="40" applyFont="1" applyFill="1" applyBorder="1" applyAlignment="1">
      <alignment horizontal="center" vertical="center" wrapText="1"/>
    </xf>
    <xf numFmtId="0" fontId="134" fillId="114" borderId="110" xfId="40" applyFont="1" applyFill="1" applyBorder="1" applyAlignment="1">
      <alignment horizontal="center" vertical="center" wrapText="1"/>
    </xf>
    <xf numFmtId="0" fontId="134" fillId="114" borderId="111" xfId="40" applyFont="1" applyFill="1" applyBorder="1" applyAlignment="1">
      <alignment horizontal="center" vertical="center" wrapText="1"/>
    </xf>
    <xf numFmtId="0" fontId="134" fillId="154" borderId="110" xfId="40" applyFont="1" applyFill="1" applyBorder="1" applyAlignment="1">
      <alignment horizontal="center" vertical="center" wrapText="1"/>
    </xf>
    <xf numFmtId="0" fontId="134" fillId="154" borderId="111" xfId="40" applyFont="1" applyFill="1" applyBorder="1" applyAlignment="1">
      <alignment horizontal="center" vertical="center" wrapText="1"/>
    </xf>
    <xf numFmtId="0" fontId="161" fillId="155" borderId="138" xfId="40" applyFont="1" applyFill="1" applyBorder="1" applyAlignment="1">
      <alignment horizontal="center" vertical="center" wrapText="1"/>
    </xf>
    <xf numFmtId="0" fontId="161" fillId="155" borderId="155" xfId="40" applyFont="1" applyFill="1" applyBorder="1" applyAlignment="1">
      <alignment horizontal="center" vertical="center" wrapText="1"/>
    </xf>
    <xf numFmtId="0" fontId="152" fillId="154" borderId="115" xfId="40" applyFont="1" applyFill="1" applyBorder="1" applyAlignment="1">
      <alignment horizontal="center" vertical="center" wrapText="1"/>
    </xf>
    <xf numFmtId="0" fontId="152" fillId="156" borderId="115" xfId="40" applyFont="1" applyFill="1" applyBorder="1" applyAlignment="1">
      <alignment horizontal="center" vertical="center" wrapText="1"/>
    </xf>
    <xf numFmtId="0" fontId="152" fillId="157" borderId="115" xfId="40" applyFont="1" applyFill="1" applyBorder="1" applyAlignment="1">
      <alignment horizontal="center" vertical="center" wrapText="1"/>
    </xf>
    <xf numFmtId="0" fontId="152" fillId="114" borderId="115" xfId="40" applyFont="1" applyFill="1" applyBorder="1" applyAlignment="1">
      <alignment horizontal="center" vertical="center" wrapText="1"/>
    </xf>
    <xf numFmtId="0" fontId="152" fillId="158" borderId="115" xfId="40" applyFont="1" applyFill="1" applyBorder="1" applyAlignment="1">
      <alignment horizontal="center" vertical="center" wrapText="1"/>
    </xf>
    <xf numFmtId="0" fontId="152" fillId="159" borderId="115" xfId="40" applyFont="1" applyFill="1" applyBorder="1" applyAlignment="1">
      <alignment horizontal="center" vertical="center" wrapText="1"/>
    </xf>
    <xf numFmtId="0" fontId="152" fillId="126" borderId="115" xfId="40" applyFont="1" applyFill="1" applyBorder="1" applyAlignment="1">
      <alignment vertical="center" wrapText="1"/>
    </xf>
    <xf numFmtId="0" fontId="163" fillId="116" borderId="118" xfId="40" applyFont="1" applyFill="1" applyBorder="1" applyAlignment="1">
      <alignment horizontal="center" vertical="center" wrapText="1"/>
    </xf>
    <xf numFmtId="0" fontId="151" fillId="122" borderId="118" xfId="40" applyFont="1" applyFill="1" applyBorder="1" applyAlignment="1">
      <alignment horizontal="center" vertical="center" wrapText="1"/>
    </xf>
    <xf numFmtId="0" fontId="163" fillId="117" borderId="118" xfId="40" applyFont="1" applyFill="1" applyBorder="1" applyAlignment="1">
      <alignment horizontal="center" vertical="center" wrapText="1"/>
    </xf>
    <xf numFmtId="0" fontId="163" fillId="119" borderId="118" xfId="40" applyFont="1" applyFill="1" applyBorder="1" applyAlignment="1">
      <alignment horizontal="center" vertical="center" wrapText="1"/>
    </xf>
    <xf numFmtId="0" fontId="163" fillId="118" borderId="118" xfId="40" applyFont="1" applyFill="1" applyBorder="1" applyAlignment="1">
      <alignment horizontal="center" vertical="center" wrapText="1"/>
    </xf>
    <xf numFmtId="0" fontId="163" fillId="120" borderId="118" xfId="40" applyFont="1" applyFill="1" applyBorder="1" applyAlignment="1">
      <alignment horizontal="center" vertical="center" wrapText="1"/>
    </xf>
    <xf numFmtId="0" fontId="163" fillId="121" borderId="118" xfId="40" applyFont="1" applyFill="1" applyBorder="1" applyAlignment="1">
      <alignment horizontal="center" vertical="center" wrapText="1"/>
    </xf>
    <xf numFmtId="0" fontId="136" fillId="113" borderId="114" xfId="40" applyFont="1" applyFill="1" applyBorder="1" applyAlignment="1">
      <alignment horizontal="center" vertical="center" wrapText="1"/>
    </xf>
    <xf numFmtId="0" fontId="154" fillId="113" borderId="114" xfId="40" applyFont="1" applyFill="1" applyBorder="1" applyAlignment="1">
      <alignment horizontal="center" vertical="center" wrapText="1"/>
    </xf>
    <xf numFmtId="0" fontId="136" fillId="109" borderId="106" xfId="40" applyFont="1" applyAlignment="1">
      <alignment wrapText="1"/>
    </xf>
    <xf numFmtId="0" fontId="152" fillId="125" borderId="115" xfId="40" applyFont="1" applyFill="1" applyBorder="1" applyAlignment="1">
      <alignment horizontal="center" vertical="center" wrapText="1"/>
    </xf>
    <xf numFmtId="0" fontId="152" fillId="123" borderId="115" xfId="40" applyFont="1" applyFill="1" applyBorder="1" applyAlignment="1">
      <alignment vertical="center" wrapText="1"/>
    </xf>
    <xf numFmtId="0" fontId="164" fillId="116" borderId="118" xfId="40" applyFont="1" applyFill="1" applyBorder="1" applyAlignment="1">
      <alignment horizontal="center" vertical="center" wrapText="1"/>
    </xf>
    <xf numFmtId="0" fontId="165" fillId="122" borderId="118" xfId="40" applyFont="1" applyFill="1" applyBorder="1" applyAlignment="1">
      <alignment horizontal="center" vertical="center" wrapText="1"/>
    </xf>
    <xf numFmtId="0" fontId="164" fillId="117" borderId="118" xfId="40" applyFont="1" applyFill="1" applyBorder="1" applyAlignment="1">
      <alignment horizontal="center" vertical="center" wrapText="1"/>
    </xf>
    <xf numFmtId="0" fontId="164" fillId="119" borderId="118" xfId="40" applyFont="1" applyFill="1" applyBorder="1" applyAlignment="1">
      <alignment horizontal="center" vertical="center" wrapText="1"/>
    </xf>
    <xf numFmtId="0" fontId="164" fillId="118" borderId="118" xfId="40" applyFont="1" applyFill="1" applyBorder="1" applyAlignment="1">
      <alignment horizontal="center" vertical="center" wrapText="1"/>
    </xf>
    <xf numFmtId="0" fontId="164" fillId="120" borderId="118" xfId="40" applyFont="1" applyFill="1" applyBorder="1" applyAlignment="1">
      <alignment horizontal="center" vertical="center" wrapText="1"/>
    </xf>
    <xf numFmtId="0" fontId="164" fillId="121" borderId="118" xfId="40" applyFont="1" applyFill="1" applyBorder="1" applyAlignment="1">
      <alignment horizontal="center" vertical="center" wrapText="1"/>
    </xf>
    <xf numFmtId="0" fontId="166" fillId="121" borderId="115" xfId="40" applyFont="1" applyFill="1" applyBorder="1" applyAlignment="1">
      <alignment horizontal="center" vertical="center" wrapText="1"/>
    </xf>
    <xf numFmtId="0" fontId="166" fillId="116" borderId="115" xfId="40" applyFont="1" applyFill="1" applyBorder="1" applyAlignment="1">
      <alignment horizontal="center" vertical="center" wrapText="1"/>
    </xf>
    <xf numFmtId="0" fontId="120" fillId="122" borderId="115" xfId="40" applyFont="1" applyFill="1" applyBorder="1" applyAlignment="1">
      <alignment horizontal="center" vertical="center" wrapText="1"/>
    </xf>
    <xf numFmtId="0" fontId="166" fillId="117" borderId="115" xfId="40" applyFont="1" applyFill="1" applyBorder="1" applyAlignment="1">
      <alignment horizontal="center" vertical="center" wrapText="1"/>
    </xf>
    <xf numFmtId="0" fontId="166" fillId="119" borderId="115" xfId="40" applyFont="1" applyFill="1" applyBorder="1" applyAlignment="1">
      <alignment horizontal="center" vertical="center" wrapText="1"/>
    </xf>
    <xf numFmtId="0" fontId="166" fillId="118" borderId="115" xfId="40" applyFont="1" applyFill="1" applyBorder="1" applyAlignment="1">
      <alignment horizontal="center" vertical="center" wrapText="1"/>
    </xf>
    <xf numFmtId="0" fontId="166" fillId="120" borderId="115" xfId="40" applyFont="1" applyFill="1" applyBorder="1" applyAlignment="1">
      <alignment horizontal="center" vertical="center" wrapText="1"/>
    </xf>
    <xf numFmtId="0" fontId="136" fillId="113" borderId="106" xfId="40" applyFont="1" applyFill="1" applyAlignment="1">
      <alignment horizontal="center" vertical="center"/>
    </xf>
    <xf numFmtId="0" fontId="152" fillId="124" borderId="131" xfId="40" applyFont="1" applyFill="1" applyBorder="1" applyAlignment="1">
      <alignment horizontal="center" vertical="center" wrapText="1"/>
    </xf>
    <xf numFmtId="0" fontId="152" fillId="126" borderId="115" xfId="40" applyFont="1" applyFill="1" applyBorder="1" applyAlignment="1">
      <alignment horizontal="center" vertical="center" wrapText="1"/>
    </xf>
    <xf numFmtId="0" fontId="152" fillId="126" borderId="131" xfId="40" applyFont="1" applyFill="1" applyBorder="1" applyAlignment="1">
      <alignment horizontal="center" vertical="center" wrapText="1"/>
    </xf>
    <xf numFmtId="0" fontId="152" fillId="125" borderId="131" xfId="40" applyFont="1" applyFill="1" applyBorder="1" applyAlignment="1">
      <alignment horizontal="center" vertical="center" wrapText="1"/>
    </xf>
    <xf numFmtId="0" fontId="152" fillId="125" borderId="131" xfId="40" applyFont="1" applyFill="1" applyBorder="1" applyAlignment="1">
      <alignment horizontal="center" vertical="center" wrapText="1"/>
    </xf>
    <xf numFmtId="0" fontId="136" fillId="109" borderId="106" xfId="40" applyFont="1" applyAlignment="1">
      <alignment horizontal="center" vertical="center"/>
    </xf>
    <xf numFmtId="0" fontId="136" fillId="109" borderId="115" xfId="40" applyFont="1" applyBorder="1" applyAlignment="1">
      <alignment horizontal="center" vertical="center"/>
    </xf>
    <xf numFmtId="0" fontId="152" fillId="124" borderId="115" xfId="40" applyFont="1" applyFill="1" applyBorder="1" applyAlignment="1">
      <alignment horizontal="center" vertical="center" wrapText="1"/>
    </xf>
    <xf numFmtId="0" fontId="152" fillId="135" borderId="115" xfId="40" applyFont="1" applyFill="1" applyBorder="1" applyAlignment="1">
      <alignment horizontal="center" vertical="center" wrapText="1"/>
    </xf>
    <xf numFmtId="0" fontId="152" fillId="136" borderId="115" xfId="40" applyFont="1" applyFill="1" applyBorder="1" applyAlignment="1">
      <alignment horizontal="center" vertical="center" wrapText="1"/>
    </xf>
    <xf numFmtId="0" fontId="152" fillId="139" borderId="115" xfId="40" applyFont="1" applyFill="1" applyBorder="1" applyAlignment="1">
      <alignment horizontal="center" vertical="center" wrapText="1"/>
    </xf>
    <xf numFmtId="0" fontId="152" fillId="128" borderId="115" xfId="40" applyFont="1" applyFill="1" applyBorder="1" applyAlignment="1">
      <alignment horizontal="center" vertical="center" wrapText="1"/>
    </xf>
    <xf numFmtId="0" fontId="152" fillId="129" borderId="115" xfId="40" applyFont="1" applyFill="1" applyBorder="1" applyAlignment="1">
      <alignment horizontal="center" vertical="center" wrapText="1"/>
    </xf>
    <xf numFmtId="0" fontId="152" fillId="128" borderId="120" xfId="40" applyFont="1" applyFill="1" applyBorder="1" applyAlignment="1">
      <alignment horizontal="center" vertical="center" wrapText="1"/>
    </xf>
    <xf numFmtId="0" fontId="152" fillId="129" borderId="120" xfId="40" applyFont="1" applyFill="1" applyBorder="1" applyAlignment="1">
      <alignment horizontal="center" vertical="center" wrapText="1"/>
    </xf>
    <xf numFmtId="0" fontId="152" fillId="132" borderId="120" xfId="40" applyFont="1" applyFill="1" applyBorder="1" applyAlignment="1">
      <alignment horizontal="center" vertical="center" wrapText="1"/>
    </xf>
    <xf numFmtId="0" fontId="152" fillId="126" borderId="120" xfId="40" applyFont="1" applyFill="1" applyBorder="1" applyAlignment="1">
      <alignment horizontal="center" vertical="center" wrapText="1"/>
    </xf>
    <xf numFmtId="0" fontId="123" fillId="113" borderId="106" xfId="40" applyFont="1" applyFill="1" applyAlignment="1">
      <alignment horizontal="left" vertical="center" wrapText="1"/>
    </xf>
    <xf numFmtId="0" fontId="152" fillId="113" borderId="131" xfId="40" applyFont="1" applyFill="1" applyBorder="1" applyAlignment="1">
      <alignment horizontal="left" vertical="center" wrapText="1"/>
    </xf>
    <xf numFmtId="0" fontId="152" fillId="113" borderId="115" xfId="40" applyFont="1" applyFill="1" applyBorder="1" applyAlignment="1">
      <alignment horizontal="left" vertical="center" wrapText="1"/>
    </xf>
    <xf numFmtId="0" fontId="152" fillId="113" borderId="120" xfId="40" applyFont="1" applyFill="1" applyBorder="1" applyAlignment="1">
      <alignment horizontal="left" vertical="center" wrapText="1"/>
    </xf>
    <xf numFmtId="0" fontId="159" fillId="148" borderId="131" xfId="40" applyFont="1" applyFill="1" applyBorder="1" applyAlignment="1">
      <alignment horizontal="left" vertical="center" wrapText="1"/>
    </xf>
    <xf numFmtId="0" fontId="123" fillId="109" borderId="106" xfId="40" applyFont="1" applyAlignment="1">
      <alignment horizontal="left" vertical="center" wrapText="1"/>
    </xf>
    <xf numFmtId="0" fontId="152" fillId="123" borderId="131" xfId="40" applyFont="1" applyFill="1" applyBorder="1" applyAlignment="1">
      <alignment horizontal="left" vertical="center" wrapText="1"/>
    </xf>
    <xf numFmtId="0" fontId="152" fillId="126" borderId="115" xfId="40" applyFont="1" applyFill="1" applyBorder="1" applyAlignment="1">
      <alignment horizontal="left" vertical="center" wrapText="1"/>
    </xf>
    <xf numFmtId="0" fontId="152" fillId="126" borderId="131" xfId="40" applyFont="1" applyFill="1" applyBorder="1" applyAlignment="1">
      <alignment horizontal="left" vertical="center" wrapText="1"/>
    </xf>
    <xf numFmtId="0" fontId="152" fillId="148" borderId="131" xfId="40" applyFont="1" applyFill="1" applyBorder="1" applyAlignment="1">
      <alignment horizontal="left" vertical="center" wrapText="1"/>
    </xf>
    <xf numFmtId="0" fontId="152" fillId="148" borderId="131" xfId="40" applyFont="1" applyFill="1" applyBorder="1" applyAlignment="1">
      <alignment horizontal="left" vertical="center"/>
    </xf>
    <xf numFmtId="0" fontId="152" fillId="148" borderId="131" xfId="40" applyFont="1" applyFill="1" applyBorder="1" applyAlignment="1">
      <alignment horizontal="left" vertical="center" wrapText="1"/>
    </xf>
    <xf numFmtId="0" fontId="152" fillId="125" borderId="131" xfId="40" applyFont="1" applyFill="1" applyBorder="1" applyAlignment="1">
      <alignment horizontal="left" vertical="center" wrapText="1"/>
    </xf>
    <xf numFmtId="0" fontId="152" fillId="140" borderId="131" xfId="40" applyFont="1" applyFill="1" applyBorder="1" applyAlignment="1">
      <alignment horizontal="left" vertical="center" wrapText="1"/>
    </xf>
    <xf numFmtId="0" fontId="152" fillId="123" borderId="115" xfId="40" applyFont="1" applyFill="1" applyBorder="1" applyAlignment="1">
      <alignment horizontal="left" vertical="center" wrapText="1"/>
    </xf>
    <xf numFmtId="0" fontId="152" fillId="148" borderId="115" xfId="40" applyFont="1" applyFill="1" applyBorder="1" applyAlignment="1">
      <alignment horizontal="left" vertical="center" wrapText="1"/>
    </xf>
    <xf numFmtId="0" fontId="152" fillId="148" borderId="115" xfId="40" applyFont="1" applyFill="1" applyBorder="1" applyAlignment="1">
      <alignment horizontal="left" vertical="center"/>
    </xf>
    <xf numFmtId="0" fontId="152" fillId="148" borderId="115" xfId="40" applyFont="1" applyFill="1" applyBorder="1" applyAlignment="1">
      <alignment horizontal="left" vertical="center" wrapText="1"/>
    </xf>
    <xf numFmtId="0" fontId="152" fillId="125" borderId="115" xfId="40" applyFont="1" applyFill="1" applyBorder="1" applyAlignment="1">
      <alignment horizontal="left" vertical="center" wrapText="1"/>
    </xf>
    <xf numFmtId="0" fontId="152" fillId="140" borderId="115" xfId="40" applyFont="1" applyFill="1" applyBorder="1" applyAlignment="1">
      <alignment horizontal="left" vertical="center" wrapText="1"/>
    </xf>
    <xf numFmtId="0" fontId="152" fillId="134" borderId="115" xfId="40" applyFont="1" applyFill="1" applyBorder="1" applyAlignment="1">
      <alignment horizontal="left" vertical="center" wrapText="1"/>
    </xf>
    <xf numFmtId="0" fontId="152" fillId="133" borderId="115" xfId="40" applyFont="1" applyFill="1" applyBorder="1" applyAlignment="1">
      <alignment horizontal="left" vertical="center" wrapText="1"/>
    </xf>
    <xf numFmtId="0" fontId="152" fillId="139" borderId="115" xfId="40" applyFont="1" applyFill="1" applyBorder="1" applyAlignment="1">
      <alignment horizontal="left" vertical="center" wrapText="1"/>
    </xf>
    <xf numFmtId="0" fontId="152" fillId="127" borderId="115" xfId="40" applyFont="1" applyFill="1" applyBorder="1" applyAlignment="1">
      <alignment horizontal="left" vertical="center" wrapText="1"/>
    </xf>
    <xf numFmtId="0" fontId="152" fillId="132" borderId="115" xfId="40" applyFont="1" applyFill="1" applyBorder="1" applyAlignment="1">
      <alignment horizontal="left" vertical="center" wrapText="1"/>
    </xf>
    <xf numFmtId="0" fontId="152" fillId="113" borderId="131" xfId="40" applyFont="1" applyFill="1" applyBorder="1" applyAlignment="1">
      <alignment horizontal="left" vertical="center"/>
    </xf>
    <xf numFmtId="0" fontId="152" fillId="113" borderId="115" xfId="40" applyFont="1" applyFill="1" applyBorder="1" applyAlignment="1">
      <alignment horizontal="left" vertical="center"/>
    </xf>
    <xf numFmtId="0" fontId="152" fillId="127" borderId="120" xfId="40" applyFont="1" applyFill="1" applyBorder="1" applyAlignment="1">
      <alignment horizontal="left" vertical="center" wrapText="1"/>
    </xf>
    <xf numFmtId="0" fontId="152" fillId="129" borderId="120" xfId="40" applyFont="1" applyFill="1" applyBorder="1" applyAlignment="1">
      <alignment horizontal="left" vertical="center" wrapText="1"/>
    </xf>
    <xf numFmtId="0" fontId="152" fillId="130" borderId="120" xfId="40" applyFont="1" applyFill="1" applyBorder="1" applyAlignment="1">
      <alignment horizontal="left" vertical="center" wrapText="1"/>
    </xf>
    <xf numFmtId="0" fontId="152" fillId="131" borderId="120" xfId="40" applyFont="1" applyFill="1" applyBorder="1" applyAlignment="1">
      <alignment horizontal="left" vertical="center"/>
    </xf>
    <xf numFmtId="0" fontId="152" fillId="131" borderId="120" xfId="40" applyFont="1" applyFill="1" applyBorder="1" applyAlignment="1">
      <alignment horizontal="left" vertical="center" wrapText="1"/>
    </xf>
    <xf numFmtId="0" fontId="152" fillId="131" borderId="120" xfId="40" applyFont="1" applyFill="1" applyBorder="1" applyAlignment="1">
      <alignment horizontal="left" vertical="center" wrapText="1"/>
    </xf>
    <xf numFmtId="0" fontId="152" fillId="130" borderId="120" xfId="40" applyFont="1" applyFill="1" applyBorder="1" applyAlignment="1">
      <alignment horizontal="left" vertical="center"/>
    </xf>
    <xf numFmtId="0" fontId="152" fillId="141" borderId="120" xfId="40" applyFont="1" applyFill="1" applyBorder="1" applyAlignment="1">
      <alignment horizontal="left" vertical="center" wrapText="1"/>
    </xf>
    <xf numFmtId="0" fontId="152" fillId="138" borderId="115" xfId="40" applyFont="1" applyFill="1" applyBorder="1" applyAlignment="1">
      <alignment horizontal="left" vertical="center" wrapText="1"/>
    </xf>
    <xf numFmtId="0" fontId="152" fillId="149" borderId="115" xfId="40" applyFont="1" applyFill="1" applyBorder="1" applyAlignment="1">
      <alignment horizontal="left" vertical="center" wrapText="1"/>
    </xf>
    <xf numFmtId="0" fontId="152" fillId="141" borderId="115" xfId="40" applyFont="1" applyFill="1" applyBorder="1" applyAlignment="1">
      <alignment horizontal="left" vertical="center" wrapText="1"/>
    </xf>
    <xf numFmtId="0" fontId="152" fillId="132" borderId="120" xfId="40" applyFont="1" applyFill="1" applyBorder="1" applyAlignment="1">
      <alignment horizontal="left" vertical="center" wrapText="1"/>
    </xf>
    <xf numFmtId="0" fontId="152" fillId="140" borderId="120" xfId="40" applyFont="1" applyFill="1" applyBorder="1" applyAlignment="1">
      <alignment horizontal="left" vertical="center" wrapText="1"/>
    </xf>
    <xf numFmtId="0" fontId="152" fillId="140" borderId="156" xfId="40" applyFont="1" applyFill="1" applyBorder="1" applyAlignment="1">
      <alignment horizontal="left" vertical="center" wrapText="1"/>
    </xf>
    <xf numFmtId="0" fontId="152" fillId="140" borderId="127" xfId="40" applyFont="1" applyFill="1" applyBorder="1" applyAlignment="1">
      <alignment horizontal="left" vertical="center" wrapText="1"/>
    </xf>
    <xf numFmtId="0" fontId="129" fillId="109" borderId="116" xfId="40" applyFont="1" applyBorder="1" applyAlignment="1">
      <alignment horizontal="center" vertical="center" wrapText="1"/>
    </xf>
    <xf numFmtId="0" fontId="130" fillId="109" borderId="116" xfId="40" applyFont="1" applyBorder="1" applyAlignment="1">
      <alignment horizontal="center" vertical="center" wrapText="1"/>
    </xf>
    <xf numFmtId="0" fontId="129" fillId="109" borderId="109" xfId="40" applyFont="1" applyBorder="1" applyAlignment="1">
      <alignment horizontal="center" vertical="center" wrapText="1"/>
    </xf>
    <xf numFmtId="0" fontId="141" fillId="109" borderId="115" xfId="40" applyFont="1" applyBorder="1" applyAlignment="1">
      <alignment horizontal="center" vertical="center" wrapText="1"/>
    </xf>
    <xf numFmtId="0" fontId="142" fillId="109" borderId="115" xfId="40" applyFont="1" applyBorder="1" applyAlignment="1">
      <alignment horizontal="center" vertical="center" wrapText="1"/>
    </xf>
    <xf numFmtId="0" fontId="141" fillId="109" borderId="117" xfId="40" applyFont="1" applyBorder="1" applyAlignment="1">
      <alignment horizontal="center" vertical="center" wrapText="1"/>
    </xf>
    <xf numFmtId="0" fontId="125" fillId="114" borderId="110" xfId="40" applyFont="1" applyFill="1" applyBorder="1" applyAlignment="1">
      <alignment horizontal="center" vertical="center" wrapText="1"/>
    </xf>
    <xf numFmtId="0" fontId="154" fillId="114" borderId="111" xfId="40" applyFont="1" applyFill="1" applyBorder="1" applyAlignment="1">
      <alignment horizontal="center" vertical="center" wrapText="1"/>
    </xf>
    <xf numFmtId="0" fontId="152" fillId="114" borderId="131" xfId="40" applyFont="1" applyFill="1" applyBorder="1" applyAlignment="1">
      <alignment horizontal="center" vertical="center" wrapText="1"/>
    </xf>
    <xf numFmtId="0" fontId="152" fillId="114" borderId="115" xfId="40" applyFont="1" applyFill="1" applyBorder="1" applyAlignment="1">
      <alignment horizontal="center" vertical="center" wrapText="1"/>
    </xf>
    <xf numFmtId="0" fontId="152" fillId="158" borderId="115" xfId="40" applyFont="1" applyFill="1" applyBorder="1" applyAlignment="1">
      <alignment horizontal="center" vertical="center" wrapText="1"/>
    </xf>
    <xf numFmtId="0" fontId="152" fillId="159" borderId="115" xfId="40" applyFont="1" applyFill="1" applyBorder="1" applyAlignment="1">
      <alignment horizontal="center" vertical="center" wrapText="1"/>
    </xf>
    <xf numFmtId="0" fontId="152" fillId="159" borderId="120" xfId="40" applyFont="1" applyFill="1" applyBorder="1" applyAlignment="1">
      <alignment horizontal="center" vertical="center" wrapText="1"/>
    </xf>
    <xf numFmtId="0" fontId="152" fillId="114" borderId="120" xfId="40" applyFont="1" applyFill="1" applyBorder="1" applyAlignment="1">
      <alignment horizontal="center" vertical="center" wrapText="1"/>
    </xf>
    <xf numFmtId="0" fontId="154" fillId="154" borderId="110" xfId="40" applyFont="1" applyFill="1" applyBorder="1" applyAlignment="1">
      <alignment horizontal="center" vertical="center" wrapText="1"/>
    </xf>
    <xf numFmtId="0" fontId="152" fillId="154" borderId="131" xfId="40" applyFont="1" applyFill="1" applyBorder="1" applyAlignment="1">
      <alignment horizontal="center" vertical="center" wrapText="1"/>
    </xf>
    <xf numFmtId="0" fontId="152" fillId="154" borderId="115" xfId="40" applyFont="1" applyFill="1" applyBorder="1" applyAlignment="1">
      <alignment horizontal="center" vertical="center" wrapText="1"/>
    </xf>
    <xf numFmtId="0" fontId="152" fillId="157" borderId="115" xfId="40" applyFont="1" applyFill="1" applyBorder="1" applyAlignment="1">
      <alignment horizontal="center" vertical="center" wrapText="1"/>
    </xf>
    <xf numFmtId="0" fontId="152" fillId="156" borderId="115" xfId="40" applyFont="1" applyFill="1" applyBorder="1" applyAlignment="1">
      <alignment horizontal="center" vertical="center" wrapText="1"/>
    </xf>
    <xf numFmtId="0" fontId="152" fillId="156" borderId="120" xfId="40" applyFont="1" applyFill="1" applyBorder="1" applyAlignment="1">
      <alignment horizontal="center" vertical="center" wrapText="1"/>
    </xf>
    <xf numFmtId="0" fontId="152" fillId="154" borderId="120" xfId="40" applyFont="1" applyFill="1" applyBorder="1" applyAlignment="1">
      <alignment horizontal="center" vertical="center" wrapText="1"/>
    </xf>
    <xf numFmtId="0" fontId="167" fillId="113" borderId="115" xfId="40" applyFont="1" applyFill="1" applyBorder="1" applyAlignment="1">
      <alignment horizontal="center" vertical="center" wrapText="1"/>
    </xf>
    <xf numFmtId="0" fontId="134" fillId="126" borderId="110" xfId="40" applyFont="1" applyFill="1" applyBorder="1" applyAlignment="1">
      <alignment horizontal="center" vertical="center"/>
    </xf>
    <xf numFmtId="0" fontId="168" fillId="113" borderId="106" xfId="40" applyFont="1" applyFill="1" applyAlignment="1">
      <alignment horizontal="center" vertical="center" wrapText="1"/>
    </xf>
    <xf numFmtId="0" fontId="171" fillId="113" borderId="106" xfId="40" applyFont="1" applyFill="1" applyAlignment="1">
      <alignment horizontal="center" vertical="center" wrapText="1"/>
    </xf>
    <xf numFmtId="0" fontId="169" fillId="113" borderId="106" xfId="40" applyFont="1" applyFill="1" applyAlignment="1">
      <alignment vertical="top" wrapText="1"/>
    </xf>
    <xf numFmtId="0" fontId="172" fillId="113" borderId="106" xfId="40" applyFont="1" applyFill="1" applyAlignment="1">
      <alignment horizontal="center" vertical="center"/>
    </xf>
    <xf numFmtId="0" fontId="134" fillId="125" borderId="145" xfId="40" applyFont="1" applyFill="1" applyBorder="1" applyAlignment="1">
      <alignment horizontal="center" vertical="center" wrapText="1"/>
    </xf>
    <xf numFmtId="0" fontId="136" fillId="125" borderId="156" xfId="40" applyFont="1" applyFill="1" applyBorder="1" applyAlignment="1">
      <alignment horizontal="center" vertical="center" wrapText="1"/>
    </xf>
    <xf numFmtId="0" fontId="136" fillId="125" borderId="127" xfId="40" applyFont="1" applyFill="1" applyBorder="1" applyAlignment="1">
      <alignment horizontal="center" vertical="center" wrapText="1"/>
    </xf>
    <xf numFmtId="0" fontId="136" fillId="139" borderId="127" xfId="40" applyFont="1" applyFill="1" applyBorder="1" applyAlignment="1">
      <alignment horizontal="center" vertical="center" wrapText="1"/>
    </xf>
    <xf numFmtId="0" fontId="134" fillId="125" borderId="115" xfId="40" applyFont="1" applyFill="1" applyBorder="1" applyAlignment="1">
      <alignment horizontal="center" vertical="center" wrapText="1"/>
    </xf>
    <xf numFmtId="0" fontId="126" fillId="109" borderId="115" xfId="40" applyFont="1" applyBorder="1"/>
    <xf numFmtId="0" fontId="136" fillId="109" borderId="115" xfId="40" applyFont="1" applyBorder="1"/>
    <xf numFmtId="0" fontId="136" fillId="125" borderId="127" xfId="40" applyFont="1" applyFill="1" applyBorder="1" applyAlignment="1">
      <alignment horizontal="center" vertical="center" wrapText="1"/>
    </xf>
    <xf numFmtId="0" fontId="136" fillId="125" borderId="143" xfId="40" applyFont="1" applyFill="1" applyBorder="1" applyAlignment="1">
      <alignment horizontal="center" vertical="center" wrapText="1"/>
    </xf>
    <xf numFmtId="0" fontId="136" fillId="132" borderId="127" xfId="40" applyFont="1" applyFill="1" applyBorder="1" applyAlignment="1">
      <alignment horizontal="center" vertical="center" wrapText="1"/>
    </xf>
    <xf numFmtId="0" fontId="136" fillId="138" borderId="127" xfId="40" applyFont="1" applyFill="1" applyBorder="1" applyAlignment="1">
      <alignment horizontal="center" vertical="center" wrapText="1"/>
    </xf>
    <xf numFmtId="0" fontId="136" fillId="109" borderId="115" xfId="40" applyFont="1" applyBorder="1" applyAlignment="1">
      <alignment vertical="center" wrapText="1"/>
    </xf>
    <xf numFmtId="0" fontId="152" fillId="109" borderId="115" xfId="40" applyFont="1" applyBorder="1" applyAlignment="1">
      <alignment vertical="center" wrapText="1"/>
    </xf>
    <xf numFmtId="0" fontId="152" fillId="148" borderId="115" xfId="40" applyFont="1" applyFill="1" applyBorder="1" applyAlignment="1">
      <alignment vertical="center" wrapText="1"/>
    </xf>
    <xf numFmtId="0" fontId="152" fillId="109" borderId="115" xfId="40" applyFont="1" applyBorder="1" applyAlignment="1">
      <alignment horizontal="left" vertical="center" wrapText="1"/>
    </xf>
    <xf numFmtId="0" fontId="161" fillId="109" borderId="115" xfId="40" applyFont="1" applyBorder="1" applyAlignment="1">
      <alignment vertical="center" wrapText="1"/>
    </xf>
    <xf numFmtId="0" fontId="136" fillId="125" borderId="127" xfId="40" applyFont="1" applyFill="1" applyBorder="1" applyAlignment="1">
      <alignment horizontal="left" vertical="center" wrapText="1"/>
    </xf>
    <xf numFmtId="0" fontId="136" fillId="132" borderId="144" xfId="40" applyFont="1" applyFill="1" applyBorder="1" applyAlignment="1">
      <alignment horizontal="left" vertical="center" wrapText="1"/>
    </xf>
    <xf numFmtId="0" fontId="136" fillId="138" borderId="115" xfId="40" applyFont="1" applyFill="1" applyBorder="1" applyAlignment="1">
      <alignment horizontal="left" vertical="center" wrapText="1"/>
    </xf>
    <xf numFmtId="0" fontId="136" fillId="138" borderId="156" xfId="40" applyFont="1" applyFill="1" applyBorder="1" applyAlignment="1">
      <alignment horizontal="left" vertical="center" wrapText="1"/>
    </xf>
    <xf numFmtId="0" fontId="152" fillId="125" borderId="127" xfId="40" applyFont="1" applyFill="1" applyBorder="1" applyAlignment="1">
      <alignment horizontal="left" vertical="center" wrapText="1"/>
    </xf>
    <xf numFmtId="0" fontId="173" fillId="125" borderId="156" xfId="40" applyFont="1" applyFill="1" applyBorder="1" applyAlignment="1">
      <alignment horizontal="left" vertical="center" wrapText="1"/>
    </xf>
    <xf numFmtId="0" fontId="134" fillId="114" borderId="107" xfId="40" applyFont="1" applyFill="1" applyBorder="1" applyAlignment="1">
      <alignment vertical="center" wrapText="1"/>
    </xf>
    <xf numFmtId="0" fontId="134" fillId="114" borderId="128" xfId="40" applyFont="1" applyFill="1" applyBorder="1" applyAlignment="1">
      <alignment vertical="center" wrapText="1"/>
    </xf>
    <xf numFmtId="0" fontId="134" fillId="114" borderId="112" xfId="40" applyFont="1" applyFill="1" applyBorder="1" applyAlignment="1">
      <alignment vertical="center" wrapText="1"/>
    </xf>
    <xf numFmtId="0" fontId="134" fillId="114" borderId="106" xfId="40" applyFont="1" applyFill="1" applyAlignment="1">
      <alignment vertical="center" wrapText="1"/>
    </xf>
    <xf numFmtId="0" fontId="134" fillId="114" borderId="149" xfId="40" applyFont="1" applyFill="1" applyBorder="1" applyAlignment="1">
      <alignment vertical="center" wrapText="1"/>
    </xf>
    <xf numFmtId="0" fontId="126" fillId="109" borderId="131" xfId="40" applyFont="1" applyBorder="1"/>
    <xf numFmtId="0" fontId="152" fillId="125" borderId="143" xfId="40" applyFont="1" applyFill="1" applyBorder="1" applyAlignment="1">
      <alignment horizontal="left" vertical="center" wrapText="1"/>
    </xf>
    <xf numFmtId="0" fontId="152" fillId="132" borderId="127" xfId="40" applyFont="1" applyFill="1" applyBorder="1" applyAlignment="1">
      <alignment horizontal="left" vertical="center" wrapText="1"/>
    </xf>
    <xf numFmtId="0" fontId="136" fillId="132" borderId="127" xfId="40" applyFont="1" applyFill="1" applyBorder="1" applyAlignment="1">
      <alignment horizontal="left" vertical="center" wrapText="1"/>
    </xf>
    <xf numFmtId="0" fontId="156" fillId="109" borderId="127" xfId="40" applyFont="1" applyBorder="1" applyAlignment="1">
      <alignment vertical="center" wrapText="1"/>
    </xf>
    <xf numFmtId="0" fontId="155" fillId="109" borderId="158" xfId="40" applyFont="1" applyBorder="1" applyAlignment="1">
      <alignment vertical="center" wrapText="1"/>
    </xf>
    <xf numFmtId="0" fontId="156" fillId="109" borderId="156" xfId="40" applyFont="1" applyBorder="1" applyAlignment="1">
      <alignment vertical="center" wrapText="1"/>
    </xf>
    <xf numFmtId="0" fontId="156" fillId="133" borderId="127" xfId="40" applyFont="1" applyFill="1" applyBorder="1" applyAlignment="1">
      <alignment vertical="center" wrapText="1"/>
    </xf>
    <xf numFmtId="0" fontId="156" fillId="109" borderId="144" xfId="40" applyFont="1" applyBorder="1" applyAlignment="1">
      <alignment vertical="center" wrapText="1"/>
    </xf>
    <xf numFmtId="0" fontId="156" fillId="137" borderId="127" xfId="40" applyFont="1" applyFill="1" applyBorder="1" applyAlignment="1">
      <alignment vertical="center" wrapText="1"/>
    </xf>
    <xf numFmtId="0" fontId="152" fillId="160" borderId="115" xfId="40" applyFont="1" applyFill="1" applyBorder="1" applyAlignment="1">
      <alignment horizontal="left" vertical="center" wrapText="1"/>
    </xf>
    <xf numFmtId="0" fontId="152" fillId="161" borderId="115" xfId="40" applyFont="1" applyFill="1" applyBorder="1" applyAlignment="1">
      <alignment horizontal="left" vertical="center" wrapText="1"/>
    </xf>
    <xf numFmtId="0" fontId="148" fillId="113" borderId="106" xfId="40" applyFont="1" applyFill="1" applyAlignment="1">
      <alignment horizontal="center" vertical="center"/>
    </xf>
    <xf numFmtId="0" fontId="135" fillId="113" borderId="106" xfId="40" applyFont="1" applyFill="1" applyAlignment="1">
      <alignment horizontal="center" vertical="center"/>
    </xf>
    <xf numFmtId="0" fontId="144" fillId="114" borderId="107" xfId="40" applyFont="1" applyFill="1" applyBorder="1" applyAlignment="1">
      <alignment horizontal="left" vertical="center" wrapText="1"/>
    </xf>
    <xf numFmtId="0" fontId="144" fillId="114" borderId="128" xfId="40" applyFont="1" applyFill="1" applyBorder="1" applyAlignment="1">
      <alignment horizontal="left" vertical="center" wrapText="1"/>
    </xf>
    <xf numFmtId="0" fontId="144" fillId="114" borderId="113" xfId="40" applyFont="1" applyFill="1" applyBorder="1" applyAlignment="1">
      <alignment horizontal="left" vertical="center" wrapText="1"/>
    </xf>
    <xf numFmtId="0" fontId="134" fillId="114" borderId="107" xfId="40" applyFont="1" applyFill="1" applyBorder="1" applyAlignment="1">
      <alignment horizontal="left" vertical="center" wrapText="1"/>
    </xf>
    <xf numFmtId="0" fontId="134" fillId="114" borderId="128" xfId="40" applyFont="1" applyFill="1" applyBorder="1" applyAlignment="1">
      <alignment horizontal="left" vertical="center" wrapText="1"/>
    </xf>
    <xf numFmtId="0" fontId="134" fillId="114" borderId="112" xfId="40" applyFont="1" applyFill="1" applyBorder="1" applyAlignment="1">
      <alignment horizontal="left" vertical="center" wrapText="1"/>
    </xf>
    <xf numFmtId="0" fontId="132" fillId="114" borderId="108" xfId="40" applyFont="1" applyFill="1" applyBorder="1" applyAlignment="1">
      <alignment horizontal="right" vertical="center" wrapText="1"/>
    </xf>
    <xf numFmtId="0" fontId="132" fillId="114" borderId="109" xfId="40" applyFont="1" applyFill="1" applyBorder="1" applyAlignment="1">
      <alignment horizontal="right" vertical="center" wrapText="1"/>
    </xf>
    <xf numFmtId="0" fontId="132" fillId="114" borderId="110" xfId="40" applyFont="1" applyFill="1" applyBorder="1" applyAlignment="1">
      <alignment horizontal="right" vertical="center" wrapText="1"/>
    </xf>
    <xf numFmtId="0" fontId="132" fillId="114" borderId="111" xfId="40" applyFont="1" applyFill="1" applyBorder="1" applyAlignment="1">
      <alignment horizontal="right" vertical="center" wrapText="1"/>
    </xf>
    <xf numFmtId="0" fontId="151" fillId="114" borderId="108" xfId="40" applyFont="1" applyFill="1" applyBorder="1" applyAlignment="1">
      <alignment horizontal="center" vertical="center" wrapText="1"/>
    </xf>
    <xf numFmtId="0" fontId="151" fillId="114" borderId="109" xfId="40" applyFont="1" applyFill="1" applyBorder="1" applyAlignment="1">
      <alignment horizontal="center" vertical="center" wrapText="1"/>
    </xf>
    <xf numFmtId="0" fontId="151" fillId="154" borderId="108" xfId="40" applyFont="1" applyFill="1" applyBorder="1" applyAlignment="1">
      <alignment horizontal="center" vertical="center" wrapText="1"/>
    </xf>
    <xf numFmtId="0" fontId="151" fillId="154" borderId="109" xfId="40" applyFont="1" applyFill="1" applyBorder="1" applyAlignment="1">
      <alignment horizontal="center" vertical="center" wrapText="1"/>
    </xf>
    <xf numFmtId="0" fontId="151" fillId="126" borderId="108" xfId="40" applyFont="1" applyFill="1" applyBorder="1" applyAlignment="1">
      <alignment horizontal="center" vertical="center" wrapText="1"/>
    </xf>
    <xf numFmtId="0" fontId="151" fillId="126" borderId="109" xfId="40" applyFont="1" applyFill="1" applyBorder="1" applyAlignment="1">
      <alignment horizontal="center" vertical="center" wrapText="1"/>
    </xf>
    <xf numFmtId="0" fontId="120" fillId="114" borderId="152" xfId="40" applyFont="1" applyFill="1" applyBorder="1" applyAlignment="1">
      <alignment horizontal="center" vertical="center" wrapText="1"/>
    </xf>
    <xf numFmtId="0" fontId="120" fillId="114" borderId="106" xfId="40" applyFont="1" applyFill="1" applyAlignment="1">
      <alignment horizontal="center" vertical="center" wrapText="1"/>
    </xf>
    <xf numFmtId="0" fontId="134" fillId="125" borderId="156" xfId="40" applyFont="1" applyFill="1" applyBorder="1" applyAlignment="1">
      <alignment horizontal="center" vertical="center" wrapText="1"/>
    </xf>
    <xf numFmtId="0" fontId="134" fillId="125" borderId="137" xfId="40" applyFont="1" applyFill="1" applyBorder="1" applyAlignment="1">
      <alignment horizontal="center" vertical="center" wrapText="1"/>
    </xf>
    <xf numFmtId="0" fontId="134" fillId="114" borderId="106" xfId="40" applyFont="1" applyFill="1" applyAlignment="1">
      <alignment horizontal="left" vertical="center" wrapText="1"/>
    </xf>
    <xf numFmtId="0" fontId="134" fillId="114" borderId="149" xfId="40" applyFont="1" applyFill="1" applyBorder="1" applyAlignment="1">
      <alignment horizontal="left" vertical="center" wrapText="1"/>
    </xf>
    <xf numFmtId="0" fontId="120" fillId="114" borderId="132" xfId="40" applyFont="1" applyFill="1" applyBorder="1" applyAlignment="1">
      <alignment horizontal="center" vertical="center" wrapText="1"/>
    </xf>
    <xf numFmtId="0" fontId="120" fillId="114" borderId="133" xfId="40" applyFont="1" applyFill="1" applyBorder="1" applyAlignment="1">
      <alignment horizontal="center" vertical="center" wrapText="1"/>
    </xf>
    <xf numFmtId="0" fontId="120" fillId="114" borderId="139" xfId="40" applyFont="1" applyFill="1" applyBorder="1" applyAlignment="1">
      <alignment horizontal="center" vertical="center" wrapText="1"/>
    </xf>
    <xf numFmtId="0" fontId="120" fillId="114" borderId="157" xfId="40" applyFont="1" applyFill="1" applyBorder="1" applyAlignment="1">
      <alignment horizontal="center" vertical="center" wrapText="1"/>
    </xf>
    <xf numFmtId="0" fontId="134" fillId="125" borderId="115" xfId="40" applyFont="1" applyFill="1" applyBorder="1" applyAlignment="1">
      <alignment horizontal="center" vertical="center" wrapText="1"/>
    </xf>
    <xf numFmtId="0" fontId="134" fillId="114" borderId="136" xfId="40" applyFont="1" applyFill="1" applyBorder="1" applyAlignment="1">
      <alignment horizontal="left" vertical="center" wrapText="1"/>
    </xf>
    <xf numFmtId="0" fontId="134" fillId="114" borderId="137" xfId="40" applyFont="1" applyFill="1" applyBorder="1" applyAlignment="1">
      <alignment horizontal="left" vertical="center" wrapText="1"/>
    </xf>
    <xf numFmtId="0" fontId="134" fillId="114" borderId="142" xfId="40" applyFont="1" applyFill="1" applyBorder="1" applyAlignment="1">
      <alignment horizontal="left" vertical="center" wrapText="1"/>
    </xf>
    <xf numFmtId="0" fontId="120" fillId="114" borderId="134" xfId="40" applyFont="1" applyFill="1" applyBorder="1" applyAlignment="1">
      <alignment horizontal="center" vertical="center" wrapText="1"/>
    </xf>
    <xf numFmtId="0" fontId="128" fillId="113" borderId="106" xfId="40" applyFont="1" applyFill="1" applyAlignment="1">
      <alignment horizontal="center"/>
    </xf>
    <xf numFmtId="0" fontId="127" fillId="113" borderId="106" xfId="40" applyFont="1" applyFill="1" applyAlignment="1">
      <alignment horizontal="center" vertical="center"/>
    </xf>
    <xf numFmtId="0" fontId="127" fillId="113" borderId="112" xfId="40" applyFont="1" applyFill="1" applyBorder="1" applyAlignment="1">
      <alignment horizontal="center"/>
    </xf>
    <xf numFmtId="0" fontId="138" fillId="114" borderId="132" xfId="40" applyFont="1" applyFill="1" applyBorder="1" applyAlignment="1">
      <alignment horizontal="left" vertical="center" wrapText="1"/>
    </xf>
    <xf numFmtId="0" fontId="138" fillId="114" borderId="133" xfId="40" applyFont="1" applyFill="1" applyBorder="1" applyAlignment="1">
      <alignment horizontal="left" vertical="center" wrapText="1"/>
    </xf>
    <xf numFmtId="0" fontId="138" fillId="114" borderId="157" xfId="40" applyFont="1" applyFill="1" applyBorder="1" applyAlignment="1">
      <alignment horizontal="left" vertical="center" wrapText="1"/>
    </xf>
    <xf numFmtId="0" fontId="125" fillId="140" borderId="114" xfId="40" applyFont="1" applyFill="1" applyBorder="1" applyAlignment="1">
      <alignment horizontal="center" vertical="center" wrapText="1"/>
    </xf>
    <xf numFmtId="0" fontId="125" fillId="140" borderId="117" xfId="40" applyFont="1" applyFill="1" applyBorder="1" applyAlignment="1">
      <alignment horizontal="center" vertical="center" wrapText="1"/>
    </xf>
    <xf numFmtId="0" fontId="143" fillId="114" borderId="146" xfId="40" applyFont="1" applyFill="1" applyBorder="1" applyAlignment="1">
      <alignment horizontal="center" vertical="center" wrapText="1"/>
    </xf>
    <xf numFmtId="0" fontId="139" fillId="114" borderId="147" xfId="40" applyFont="1" applyFill="1" applyBorder="1" applyAlignment="1">
      <alignment horizontal="center" vertical="center" wrapText="1"/>
    </xf>
    <xf numFmtId="0" fontId="139" fillId="114" borderId="148" xfId="40" applyFont="1" applyFill="1" applyBorder="1" applyAlignment="1">
      <alignment horizontal="center" vertical="center" wrapText="1"/>
    </xf>
    <xf numFmtId="0" fontId="139" fillId="114" borderId="149" xfId="40" applyFont="1" applyFill="1" applyBorder="1" applyAlignment="1">
      <alignment horizontal="center" vertical="center" wrapText="1"/>
    </xf>
    <xf numFmtId="0" fontId="120" fillId="114" borderId="108" xfId="40" applyFont="1" applyFill="1" applyBorder="1" applyAlignment="1">
      <alignment horizontal="center" vertical="center" wrapText="1"/>
    </xf>
    <xf numFmtId="0" fontId="120" fillId="114" borderId="109" xfId="40" applyFont="1" applyFill="1" applyBorder="1" applyAlignment="1">
      <alignment horizontal="center" vertical="center" wrapText="1"/>
    </xf>
    <xf numFmtId="0" fontId="120" fillId="154" borderId="108" xfId="40" applyFont="1" applyFill="1" applyBorder="1" applyAlignment="1">
      <alignment horizontal="center" vertical="center" wrapText="1"/>
    </xf>
    <xf numFmtId="0" fontId="120" fillId="154" borderId="109" xfId="40" applyFont="1" applyFill="1" applyBorder="1" applyAlignment="1">
      <alignment horizontal="center" vertical="center" wrapText="1"/>
    </xf>
    <xf numFmtId="0" fontId="120" fillId="126" borderId="108" xfId="40" applyFont="1" applyFill="1" applyBorder="1" applyAlignment="1">
      <alignment horizontal="center" vertical="center" wrapText="1"/>
    </xf>
    <xf numFmtId="0" fontId="120" fillId="126" borderId="109" xfId="40" applyFont="1" applyFill="1" applyBorder="1" applyAlignment="1">
      <alignment horizontal="center" vertical="center" wrapText="1"/>
    </xf>
    <xf numFmtId="0" fontId="125" fillId="125" borderId="108" xfId="40" applyFont="1" applyFill="1" applyBorder="1" applyAlignment="1">
      <alignment horizontal="center" vertical="center" wrapText="1"/>
    </xf>
    <xf numFmtId="0" fontId="125" fillId="125" borderId="116" xfId="40" applyFont="1" applyFill="1" applyBorder="1" applyAlignment="1">
      <alignment horizontal="center" vertical="center" wrapText="1"/>
    </xf>
    <xf numFmtId="0" fontId="125" fillId="125" borderId="143" xfId="40" applyFont="1" applyFill="1" applyBorder="1" applyAlignment="1">
      <alignment horizontal="center" vertical="center" wrapText="1"/>
    </xf>
    <xf numFmtId="0" fontId="138" fillId="114" borderId="134" xfId="40" applyFont="1" applyFill="1" applyBorder="1" applyAlignment="1">
      <alignment horizontal="left" vertical="center" wrapText="1"/>
    </xf>
    <xf numFmtId="0" fontId="138" fillId="114" borderId="115" xfId="40" applyFont="1" applyFill="1" applyBorder="1" applyAlignment="1">
      <alignment horizontal="left" vertical="center" wrapText="1"/>
    </xf>
    <xf numFmtId="0" fontId="138" fillId="114" borderId="107" xfId="40" applyFont="1" applyFill="1" applyBorder="1" applyAlignment="1">
      <alignment horizontal="left" vertical="center" wrapText="1"/>
    </xf>
    <xf numFmtId="0" fontId="138" fillId="114" borderId="128" xfId="40" applyFont="1" applyFill="1" applyBorder="1" applyAlignment="1">
      <alignment horizontal="left" vertical="center" wrapText="1"/>
    </xf>
    <xf numFmtId="0" fontId="138" fillId="114" borderId="113" xfId="40" applyFont="1" applyFill="1" applyBorder="1" applyAlignment="1">
      <alignment horizontal="left" vertical="center" wrapText="1"/>
    </xf>
    <xf numFmtId="0" fontId="170" fillId="113" borderId="106" xfId="40" applyFont="1" applyFill="1" applyAlignment="1">
      <alignment horizontal="center" vertical="center"/>
    </xf>
    <xf numFmtId="0" fontId="143" fillId="114" borderId="146" xfId="40" applyFont="1" applyFill="1" applyBorder="1" applyAlignment="1">
      <alignment horizontal="center" vertical="center" wrapText="1"/>
    </xf>
    <xf numFmtId="0" fontId="143" fillId="114" borderId="154" xfId="40" applyFont="1" applyFill="1" applyBorder="1" applyAlignment="1">
      <alignment horizontal="center" vertical="center" wrapText="1"/>
    </xf>
    <xf numFmtId="0" fontId="125" fillId="114" borderId="114" xfId="40" applyFont="1" applyFill="1" applyBorder="1" applyAlignment="1">
      <alignment horizontal="center" vertical="center"/>
    </xf>
    <xf numFmtId="0" fontId="125" fillId="114" borderId="115" xfId="40" applyFont="1" applyFill="1" applyBorder="1" applyAlignment="1">
      <alignment horizontal="center" vertical="center"/>
    </xf>
    <xf numFmtId="0" fontId="147" fillId="144" borderId="106" xfId="40" applyFont="1" applyFill="1" applyAlignment="1">
      <alignment horizontal="left" vertical="center"/>
    </xf>
    <xf numFmtId="0" fontId="147" fillId="145" borderId="106" xfId="40" applyFont="1" applyFill="1" applyAlignment="1">
      <alignment horizontal="left" vertical="center"/>
    </xf>
    <xf numFmtId="0" fontId="147" fillId="142" borderId="106" xfId="40" applyFont="1" applyFill="1" applyAlignment="1">
      <alignment horizontal="left" vertical="center"/>
    </xf>
    <xf numFmtId="0" fontId="147" fillId="143" borderId="106" xfId="40" applyFont="1" applyFill="1" applyAlignment="1">
      <alignment horizontal="left" vertical="center"/>
    </xf>
    <xf numFmtId="0" fontId="147" fillId="118" borderId="106" xfId="40" applyFont="1" applyFill="1" applyAlignment="1">
      <alignment horizontal="left" vertical="center"/>
    </xf>
    <xf numFmtId="0" fontId="159" fillId="123" borderId="115" xfId="40" applyFont="1" applyFill="1" applyBorder="1" applyAlignment="1">
      <alignment horizontal="left" vertical="center" wrapText="1"/>
    </xf>
    <xf numFmtId="0" fontId="159" fillId="156" borderId="115" xfId="40" applyFont="1" applyFill="1" applyBorder="1" applyAlignment="1">
      <alignment horizontal="center" vertical="center" wrapText="1"/>
    </xf>
    <xf numFmtId="0" fontId="174" fillId="162" borderId="159" xfId="60"/>
    <xf numFmtId="0" fontId="174" fillId="166" borderId="159" xfId="60" applyFill="1"/>
    <xf numFmtId="0" fontId="183" fillId="166" borderId="159" xfId="60" applyFont="1" applyFill="1"/>
    <xf numFmtId="0" fontId="183" fillId="162" borderId="175" xfId="60" applyFont="1" applyBorder="1" applyAlignment="1">
      <alignment horizontal="center" vertical="center"/>
    </xf>
    <xf numFmtId="0" fontId="174" fillId="169" borderId="161" xfId="60" applyFill="1" applyBorder="1"/>
    <xf numFmtId="0" fontId="174" fillId="170" borderId="169" xfId="60" applyFill="1" applyBorder="1"/>
    <xf numFmtId="0" fontId="185" fillId="171" borderId="162" xfId="60" applyFont="1" applyFill="1" applyBorder="1" applyAlignment="1">
      <alignment horizontal="center" vertical="center" wrapText="1"/>
    </xf>
    <xf numFmtId="0" fontId="174" fillId="166" borderId="159" xfId="60" applyFill="1" applyAlignment="1">
      <alignment horizontal="left" vertical="center"/>
    </xf>
    <xf numFmtId="0" fontId="185" fillId="169" borderId="168" xfId="60" applyFont="1" applyFill="1" applyBorder="1" applyAlignment="1">
      <alignment horizontal="center" vertical="center" wrapText="1"/>
    </xf>
    <xf numFmtId="0" fontId="185" fillId="171" borderId="168" xfId="60" applyFont="1" applyFill="1" applyBorder="1" applyAlignment="1">
      <alignment horizontal="center" vertical="center" wrapText="1"/>
    </xf>
    <xf numFmtId="0" fontId="183" fillId="162" borderId="176" xfId="60" applyFont="1" applyBorder="1" applyAlignment="1">
      <alignment horizontal="center" vertical="center"/>
    </xf>
    <xf numFmtId="0" fontId="174" fillId="170" borderId="168" xfId="60" applyFill="1" applyBorder="1"/>
    <xf numFmtId="0" fontId="174" fillId="172" borderId="168" xfId="60" applyFill="1" applyBorder="1"/>
    <xf numFmtId="0" fontId="174" fillId="173" borderId="170" xfId="60" applyFill="1" applyBorder="1"/>
    <xf numFmtId="0" fontId="185" fillId="170" borderId="168" xfId="60" applyFont="1" applyFill="1" applyBorder="1" applyAlignment="1">
      <alignment horizontal="center" vertical="center" wrapText="1"/>
    </xf>
    <xf numFmtId="0" fontId="185" fillId="173" borderId="168" xfId="60" applyFont="1" applyFill="1" applyBorder="1" applyAlignment="1">
      <alignment horizontal="center" vertical="center" wrapText="1"/>
    </xf>
    <xf numFmtId="0" fontId="174" fillId="173" borderId="168" xfId="60" applyFill="1" applyBorder="1"/>
    <xf numFmtId="0" fontId="185" fillId="172" borderId="168" xfId="60" applyFont="1" applyFill="1" applyBorder="1" applyAlignment="1">
      <alignment horizontal="center" vertical="center" wrapText="1"/>
    </xf>
    <xf numFmtId="0" fontId="185" fillId="174" borderId="168" xfId="60" applyFont="1" applyFill="1" applyBorder="1" applyAlignment="1">
      <alignment horizontal="center" vertical="center" wrapText="1"/>
    </xf>
    <xf numFmtId="0" fontId="183" fillId="162" borderId="177" xfId="60" applyFont="1" applyBorder="1" applyAlignment="1">
      <alignment horizontal="center" vertical="center"/>
    </xf>
    <xf numFmtId="0" fontId="185" fillId="174" borderId="163" xfId="60" applyFont="1" applyFill="1" applyBorder="1" applyAlignment="1">
      <alignment horizontal="center" vertical="center" wrapText="1"/>
    </xf>
    <xf numFmtId="0" fontId="185" fillId="174" borderId="171" xfId="60" applyFont="1" applyFill="1" applyBorder="1" applyAlignment="1">
      <alignment horizontal="center" vertical="center" wrapText="1"/>
    </xf>
    <xf numFmtId="0" fontId="185" fillId="174" borderId="164" xfId="60" applyFont="1" applyFill="1" applyBorder="1" applyAlignment="1">
      <alignment horizontal="center" vertical="center" wrapText="1"/>
    </xf>
    <xf numFmtId="0" fontId="183" fillId="162" borderId="159" xfId="60" applyFont="1"/>
    <xf numFmtId="0" fontId="183" fillId="162" borderId="178" xfId="60" applyFont="1" applyBorder="1" applyAlignment="1">
      <alignment horizontal="center" vertical="center"/>
    </xf>
    <xf numFmtId="0" fontId="183" fillId="162" borderId="179" xfId="60" applyFont="1" applyBorder="1" applyAlignment="1">
      <alignment horizontal="center" vertical="center"/>
    </xf>
    <xf numFmtId="0" fontId="174" fillId="175" borderId="169" xfId="60" applyFill="1" applyBorder="1"/>
    <xf numFmtId="0" fontId="186" fillId="175" borderId="168" xfId="60" applyFont="1" applyFill="1" applyBorder="1" applyAlignment="1">
      <alignment horizontal="center" vertical="center" wrapText="1"/>
    </xf>
    <xf numFmtId="0" fontId="174" fillId="175" borderId="167" xfId="60" applyFill="1" applyBorder="1"/>
    <xf numFmtId="0" fontId="174" fillId="172" borderId="167" xfId="60" applyFill="1" applyBorder="1"/>
    <xf numFmtId="0" fontId="174" fillId="171" borderId="168" xfId="60" applyFill="1" applyBorder="1"/>
    <xf numFmtId="0" fontId="176" fillId="166" borderId="159" xfId="60" applyFont="1" applyFill="1" applyAlignment="1">
      <alignment horizontal="left" vertical="center"/>
    </xf>
    <xf numFmtId="0" fontId="176" fillId="166" borderId="159" xfId="60" applyFont="1" applyFill="1" applyAlignment="1">
      <alignment horizontal="left" vertical="center" wrapText="1"/>
    </xf>
    <xf numFmtId="0" fontId="176" fillId="166" borderId="161" xfId="60" applyFont="1" applyFill="1" applyBorder="1" applyAlignment="1">
      <alignment horizontal="left" vertical="center" wrapText="1"/>
    </xf>
    <xf numFmtId="0" fontId="188" fillId="166" borderId="162" xfId="60" applyFont="1" applyFill="1" applyBorder="1" applyAlignment="1">
      <alignment horizontal="left" vertical="center" wrapText="1"/>
    </xf>
    <xf numFmtId="0" fontId="176" fillId="166" borderId="172" xfId="60" applyFont="1" applyFill="1" applyBorder="1" applyAlignment="1">
      <alignment horizontal="left" vertical="center" wrapText="1"/>
    </xf>
    <xf numFmtId="0" fontId="188" fillId="166" borderId="174" xfId="60" applyFont="1" applyFill="1" applyBorder="1" applyAlignment="1">
      <alignment horizontal="left" vertical="center" wrapText="1"/>
    </xf>
    <xf numFmtId="0" fontId="176" fillId="166" borderId="167" xfId="60" applyFont="1" applyFill="1" applyBorder="1" applyAlignment="1">
      <alignment horizontal="left" vertical="center" wrapText="1"/>
    </xf>
    <xf numFmtId="0" fontId="188" fillId="166" borderId="170" xfId="60" applyFont="1" applyFill="1" applyBorder="1" applyAlignment="1">
      <alignment horizontal="left" vertical="center" wrapText="1"/>
    </xf>
    <xf numFmtId="0" fontId="176" fillId="166" borderId="193" xfId="60" applyFont="1" applyFill="1" applyBorder="1" applyAlignment="1">
      <alignment horizontal="left" vertical="center" wrapText="1"/>
    </xf>
    <xf numFmtId="0" fontId="188" fillId="166" borderId="194" xfId="60" applyFont="1" applyFill="1" applyBorder="1" applyAlignment="1">
      <alignment horizontal="left" vertical="center" wrapText="1"/>
    </xf>
    <xf numFmtId="0" fontId="176" fillId="166" borderId="163" xfId="60" applyFont="1" applyFill="1" applyBorder="1" applyAlignment="1">
      <alignment horizontal="left" vertical="center" wrapText="1"/>
    </xf>
    <xf numFmtId="0" fontId="188" fillId="166" borderId="164" xfId="60" applyFont="1" applyFill="1" applyBorder="1" applyAlignment="1">
      <alignment horizontal="left" vertical="center" wrapText="1"/>
    </xf>
    <xf numFmtId="164" fontId="188" fillId="166" borderId="164" xfId="60" applyNumberFormat="1" applyFont="1" applyFill="1" applyBorder="1" applyAlignment="1">
      <alignment horizontal="left" vertical="center" wrapText="1"/>
    </xf>
    <xf numFmtId="0" fontId="196" fillId="162" borderId="168" xfId="60" applyFont="1" applyBorder="1" applyAlignment="1">
      <alignment horizontal="center" vertical="center"/>
    </xf>
    <xf numFmtId="0" fontId="197" fillId="174" borderId="168" xfId="60" applyFont="1" applyFill="1" applyBorder="1" applyAlignment="1">
      <alignment horizontal="center" vertical="center" wrapText="1"/>
    </xf>
    <xf numFmtId="0" fontId="179" fillId="166" borderId="159" xfId="60" applyFont="1" applyFill="1"/>
    <xf numFmtId="0" fontId="179" fillId="166" borderId="159" xfId="60" applyFont="1" applyFill="1" applyAlignment="1">
      <alignment horizontal="center" vertical="center" wrapText="1"/>
    </xf>
    <xf numFmtId="0" fontId="179" fillId="166" borderId="159" xfId="60" applyFont="1" applyFill="1" applyAlignment="1">
      <alignment horizontal="left" vertical="top" wrapText="1"/>
    </xf>
    <xf numFmtId="0" fontId="179" fillId="166" borderId="159" xfId="60" applyFont="1" applyFill="1" applyAlignment="1">
      <alignment horizontal="justify"/>
    </xf>
    <xf numFmtId="0" fontId="179" fillId="166" borderId="159" xfId="60" applyFont="1" applyFill="1" applyAlignment="1">
      <alignment horizontal="center" vertical="center"/>
    </xf>
    <xf numFmtId="0" fontId="179" fillId="162" borderId="159" xfId="60" applyFont="1"/>
    <xf numFmtId="0" fontId="180" fillId="166" borderId="159" xfId="60" applyFont="1" applyFill="1" applyAlignment="1">
      <alignment vertical="center"/>
    </xf>
    <xf numFmtId="0" fontId="180" fillId="162" borderId="159" xfId="60" applyFont="1" applyAlignment="1">
      <alignment vertical="center"/>
    </xf>
    <xf numFmtId="0" fontId="179" fillId="162" borderId="159" xfId="60" applyFont="1" applyAlignment="1">
      <alignment horizontal="center" vertical="center" wrapText="1"/>
    </xf>
    <xf numFmtId="0" fontId="179" fillId="162" borderId="159" xfId="60" applyFont="1" applyAlignment="1">
      <alignment horizontal="left" vertical="top" wrapText="1"/>
    </xf>
    <xf numFmtId="0" fontId="179" fillId="162" borderId="159" xfId="60" applyFont="1" applyAlignment="1">
      <alignment horizontal="justify"/>
    </xf>
    <xf numFmtId="0" fontId="179" fillId="162" borderId="159" xfId="60" applyFont="1" applyAlignment="1">
      <alignment horizontal="center" vertical="center"/>
    </xf>
    <xf numFmtId="0" fontId="188" fillId="166" borderId="159" xfId="60" applyFont="1" applyFill="1" applyAlignment="1">
      <alignment horizontal="left" vertical="center" wrapText="1"/>
    </xf>
    <xf numFmtId="0" fontId="182" fillId="166" borderId="159" xfId="60" applyFont="1" applyFill="1" applyAlignment="1">
      <alignment horizontal="left" vertical="center"/>
    </xf>
    <xf numFmtId="0" fontId="182" fillId="162" borderId="159" xfId="60" applyFont="1"/>
    <xf numFmtId="0" fontId="201" fillId="162" borderId="159" xfId="60" applyFont="1"/>
    <xf numFmtId="0" fontId="201" fillId="166" borderId="159" xfId="60" applyFont="1" applyFill="1"/>
    <xf numFmtId="0" fontId="197" fillId="174" borderId="182" xfId="60" applyFont="1" applyFill="1" applyBorder="1" applyAlignment="1">
      <alignment horizontal="center" vertical="center" wrapText="1"/>
    </xf>
    <xf numFmtId="0" fontId="196" fillId="162" borderId="182" xfId="60" applyFont="1" applyBorder="1" applyAlignment="1">
      <alignment horizontal="center" vertical="center"/>
    </xf>
    <xf numFmtId="0" fontId="197" fillId="174" borderId="204" xfId="60" applyFont="1" applyFill="1" applyBorder="1" applyAlignment="1">
      <alignment horizontal="center" vertical="center" wrapText="1"/>
    </xf>
    <xf numFmtId="0" fontId="196" fillId="162" borderId="204" xfId="60" applyFont="1" applyBorder="1" applyAlignment="1">
      <alignment horizontal="center" vertical="center"/>
    </xf>
    <xf numFmtId="0" fontId="185" fillId="174" borderId="169" xfId="60" applyFont="1" applyFill="1" applyBorder="1" applyAlignment="1">
      <alignment horizontal="center" vertical="center" wrapText="1"/>
    </xf>
    <xf numFmtId="0" fontId="185" fillId="174" borderId="206" xfId="60" applyFont="1" applyFill="1" applyBorder="1" applyAlignment="1">
      <alignment horizontal="center" vertical="center" wrapText="1"/>
    </xf>
    <xf numFmtId="0" fontId="185" fillId="174" borderId="188" xfId="60" applyFont="1" applyFill="1" applyBorder="1" applyAlignment="1">
      <alignment horizontal="center" vertical="center" wrapText="1"/>
    </xf>
    <xf numFmtId="0" fontId="187" fillId="162" borderId="167" xfId="60" applyFont="1" applyBorder="1" applyAlignment="1">
      <alignment vertical="top" wrapText="1"/>
    </xf>
    <xf numFmtId="0" fontId="196" fillId="162" borderId="170" xfId="60" applyFont="1" applyBorder="1" applyAlignment="1">
      <alignment horizontal="center" vertical="center"/>
    </xf>
    <xf numFmtId="0" fontId="187" fillId="162" borderId="183" xfId="60" applyFont="1" applyBorder="1" applyAlignment="1">
      <alignment vertical="top" wrapText="1"/>
    </xf>
    <xf numFmtId="0" fontId="174" fillId="195" borderId="205" xfId="60" applyFill="1" applyBorder="1" applyAlignment="1">
      <alignment horizontal="center"/>
    </xf>
    <xf numFmtId="0" fontId="174" fillId="199" borderId="205" xfId="60" applyFill="1" applyBorder="1" applyAlignment="1">
      <alignment horizontal="center"/>
    </xf>
    <xf numFmtId="0" fontId="174" fillId="200" borderId="205" xfId="60" applyFill="1" applyBorder="1" applyAlignment="1">
      <alignment horizontal="center"/>
    </xf>
    <xf numFmtId="0" fontId="174" fillId="197" borderId="205" xfId="60" applyFill="1" applyBorder="1" applyAlignment="1">
      <alignment horizontal="center"/>
    </xf>
    <xf numFmtId="0" fontId="174" fillId="173" borderId="205" xfId="60" applyFill="1" applyBorder="1" applyAlignment="1">
      <alignment horizontal="center"/>
    </xf>
    <xf numFmtId="0" fontId="205" fillId="162" borderId="159" xfId="60" applyFont="1" applyAlignment="1"/>
    <xf numFmtId="0" fontId="207" fillId="168" borderId="161" xfId="60" applyFont="1" applyFill="1" applyBorder="1" applyAlignment="1">
      <alignment horizontal="center" vertical="center" wrapText="1"/>
    </xf>
    <xf numFmtId="0" fontId="207" fillId="168" borderId="203" xfId="60" applyFont="1" applyFill="1" applyBorder="1" applyAlignment="1">
      <alignment vertical="center" wrapText="1"/>
    </xf>
    <xf numFmtId="0" fontId="190" fillId="179" borderId="163" xfId="60" applyFont="1" applyFill="1" applyBorder="1" applyAlignment="1">
      <alignment horizontal="center" vertical="center" wrapText="1"/>
    </xf>
    <xf numFmtId="0" fontId="190" fillId="179" borderId="164" xfId="60" applyFont="1" applyFill="1" applyBorder="1" applyAlignment="1">
      <alignment horizontal="center" vertical="center" wrapText="1"/>
    </xf>
    <xf numFmtId="0" fontId="190" fillId="168" borderId="163" xfId="60" applyFont="1" applyFill="1" applyBorder="1" applyAlignment="1">
      <alignment horizontal="center" vertical="center" wrapText="1"/>
    </xf>
    <xf numFmtId="0" fontId="208" fillId="162" borderId="171" xfId="60" applyFont="1" applyBorder="1" applyAlignment="1"/>
    <xf numFmtId="0" fontId="208" fillId="166" borderId="171" xfId="60" applyFont="1" applyFill="1" applyBorder="1" applyAlignment="1"/>
    <xf numFmtId="0" fontId="190" fillId="178" borderId="171" xfId="60" applyFont="1" applyFill="1" applyBorder="1" applyAlignment="1">
      <alignment horizontal="center" vertical="center" wrapText="1"/>
    </xf>
    <xf numFmtId="0" fontId="190" fillId="178" borderId="164" xfId="60" applyFont="1" applyFill="1" applyBorder="1" applyAlignment="1">
      <alignment horizontal="center" vertical="center" wrapText="1"/>
    </xf>
    <xf numFmtId="0" fontId="208" fillId="162" borderId="168" xfId="60" applyFont="1" applyBorder="1"/>
    <xf numFmtId="0" fontId="208" fillId="162" borderId="168" xfId="60" applyFont="1" applyBorder="1" applyAlignment="1">
      <alignment wrapText="1"/>
    </xf>
    <xf numFmtId="0" fontId="208" fillId="162" borderId="168" xfId="60" applyFont="1" applyBorder="1" applyAlignment="1">
      <alignment wrapText="1"/>
    </xf>
    <xf numFmtId="0" fontId="208" fillId="166" borderId="168" xfId="60" applyFont="1" applyFill="1" applyBorder="1"/>
    <xf numFmtId="0" fontId="208" fillId="190" borderId="168" xfId="60" applyFont="1" applyFill="1" applyBorder="1"/>
    <xf numFmtId="0" fontId="208" fillId="190" borderId="168" xfId="60" applyFont="1" applyFill="1" applyBorder="1" applyAlignment="1">
      <alignment wrapText="1"/>
    </xf>
    <xf numFmtId="0" fontId="208" fillId="190" borderId="168" xfId="60" applyFont="1" applyFill="1" applyBorder="1" applyAlignment="1">
      <alignment wrapText="1"/>
    </xf>
    <xf numFmtId="0" fontId="208" fillId="186" borderId="168" xfId="60" applyFont="1" applyFill="1" applyBorder="1"/>
    <xf numFmtId="0" fontId="208" fillId="184" borderId="168" xfId="60" applyFont="1" applyFill="1" applyBorder="1"/>
    <xf numFmtId="0" fontId="208" fillId="184" borderId="168" xfId="60" applyFont="1" applyFill="1" applyBorder="1" applyAlignment="1">
      <alignment wrapText="1"/>
    </xf>
    <xf numFmtId="0" fontId="208" fillId="184" borderId="168" xfId="60" applyFont="1" applyFill="1" applyBorder="1" applyAlignment="1">
      <alignment wrapText="1"/>
    </xf>
    <xf numFmtId="0" fontId="208" fillId="183" borderId="168" xfId="60" applyFont="1" applyFill="1" applyBorder="1"/>
    <xf numFmtId="0" fontId="209" fillId="168" borderId="163" xfId="60" applyFont="1" applyFill="1" applyBorder="1" applyAlignment="1">
      <alignment horizontal="center" vertical="center" wrapText="1"/>
    </xf>
    <xf numFmtId="0" fontId="210" fillId="162" borderId="171" xfId="60" applyFont="1" applyBorder="1" applyAlignment="1"/>
    <xf numFmtId="0" fontId="210" fillId="166" borderId="171" xfId="60" applyFont="1" applyFill="1" applyBorder="1" applyAlignment="1"/>
    <xf numFmtId="0" fontId="209" fillId="178" borderId="171" xfId="60" applyFont="1" applyFill="1" applyBorder="1" applyAlignment="1">
      <alignment horizontal="center" vertical="center" wrapText="1"/>
    </xf>
    <xf numFmtId="0" fontId="208" fillId="203" borderId="168" xfId="60" applyFont="1" applyFill="1" applyBorder="1"/>
    <xf numFmtId="0" fontId="208" fillId="203" borderId="168" xfId="60" applyFont="1" applyFill="1" applyBorder="1" applyAlignment="1">
      <alignment wrapText="1"/>
    </xf>
    <xf numFmtId="0" fontId="208" fillId="203" borderId="168" xfId="60" applyFont="1" applyFill="1" applyBorder="1" applyAlignment="1">
      <alignment wrapText="1"/>
    </xf>
    <xf numFmtId="0" fontId="208" fillId="204" borderId="168" xfId="60" applyFont="1" applyFill="1" applyBorder="1"/>
    <xf numFmtId="0" fontId="208" fillId="204" borderId="168" xfId="60" applyFont="1" applyFill="1" applyBorder="1" applyAlignment="1">
      <alignment wrapText="1"/>
    </xf>
    <xf numFmtId="0" fontId="208" fillId="204" borderId="168" xfId="60" applyFont="1" applyFill="1" applyBorder="1" applyAlignment="1">
      <alignment wrapText="1"/>
    </xf>
    <xf numFmtId="0" fontId="208" fillId="166" borderId="168" xfId="60" applyFont="1" applyFill="1" applyBorder="1" applyAlignment="1">
      <alignment horizontal="center" vertical="center" wrapText="1"/>
    </xf>
    <xf numFmtId="0" fontId="176" fillId="168" borderId="175" xfId="60" applyFont="1" applyFill="1" applyBorder="1" applyAlignment="1">
      <alignment horizontal="center" vertical="center" wrapText="1"/>
    </xf>
    <xf numFmtId="0" fontId="176" fillId="168" borderId="203" xfId="60" applyFont="1" applyFill="1" applyBorder="1" applyAlignment="1">
      <alignment horizontal="center" vertical="center" wrapText="1"/>
    </xf>
    <xf numFmtId="0" fontId="180" fillId="166" borderId="159" xfId="60" applyFont="1" applyFill="1" applyAlignment="1">
      <alignment horizontal="center" vertical="center"/>
    </xf>
    <xf numFmtId="0" fontId="180" fillId="162" borderId="159" xfId="60" applyFont="1" applyAlignment="1">
      <alignment horizontal="center" vertical="center"/>
    </xf>
    <xf numFmtId="0" fontId="193" fillId="166" borderId="159" xfId="60" applyFont="1" applyFill="1" applyAlignment="1">
      <alignment horizontal="center" vertical="center"/>
    </xf>
    <xf numFmtId="0" fontId="193" fillId="162" borderId="159" xfId="60" applyFont="1" applyAlignment="1">
      <alignment horizontal="center" vertical="center"/>
    </xf>
    <xf numFmtId="0" fontId="193" fillId="162" borderId="168" xfId="60" applyFont="1" applyBorder="1" applyAlignment="1">
      <alignment horizontal="center" vertical="center"/>
    </xf>
    <xf numFmtId="0" fontId="210" fillId="162" borderId="171" xfId="60" applyFont="1" applyBorder="1" applyAlignment="1">
      <alignment horizontal="center" vertical="center"/>
    </xf>
    <xf numFmtId="0" fontId="210" fillId="166" borderId="171" xfId="60" applyFont="1" applyFill="1" applyBorder="1" applyAlignment="1">
      <alignment horizontal="center" vertical="center"/>
    </xf>
    <xf numFmtId="0" fontId="210" fillId="177" borderId="164" xfId="60" applyFont="1" applyFill="1" applyBorder="1" applyAlignment="1">
      <alignment horizontal="center" vertical="center" wrapText="1"/>
    </xf>
    <xf numFmtId="0" fontId="210" fillId="179" borderId="163" xfId="60" applyFont="1" applyFill="1" applyBorder="1" applyAlignment="1">
      <alignment horizontal="center" vertical="center" wrapText="1"/>
    </xf>
    <xf numFmtId="0" fontId="210" fillId="179" borderId="164" xfId="60" applyFont="1" applyFill="1" applyBorder="1" applyAlignment="1">
      <alignment horizontal="center" vertical="center" wrapText="1"/>
    </xf>
    <xf numFmtId="0" fontId="210" fillId="168" borderId="163" xfId="60" applyFont="1" applyFill="1" applyBorder="1" applyAlignment="1">
      <alignment horizontal="center" vertical="center" wrapText="1"/>
    </xf>
    <xf numFmtId="0" fontId="210" fillId="178" borderId="163" xfId="60" applyFont="1" applyFill="1" applyBorder="1" applyAlignment="1">
      <alignment horizontal="center" vertical="center" wrapText="1"/>
    </xf>
    <xf numFmtId="0" fontId="210" fillId="178" borderId="171" xfId="60" applyFont="1" applyFill="1" applyBorder="1" applyAlignment="1">
      <alignment horizontal="center" vertical="center" wrapText="1"/>
    </xf>
    <xf numFmtId="0" fontId="210" fillId="178" borderId="198" xfId="60" applyFont="1" applyFill="1" applyBorder="1" applyAlignment="1">
      <alignment horizontal="center" vertical="center" wrapText="1"/>
    </xf>
    <xf numFmtId="0" fontId="210" fillId="193" borderId="167" xfId="60" applyFont="1" applyFill="1" applyBorder="1" applyAlignment="1">
      <alignment horizontal="center" vertical="center" wrapText="1"/>
    </xf>
    <xf numFmtId="0" fontId="210" fillId="193" borderId="170" xfId="60" applyFont="1" applyFill="1" applyBorder="1" applyAlignment="1">
      <alignment horizontal="center" vertical="center" wrapText="1"/>
    </xf>
    <xf numFmtId="0" fontId="211" fillId="169" borderId="171" xfId="60" applyFont="1" applyFill="1" applyBorder="1" applyAlignment="1">
      <alignment horizontal="center" vertical="center" wrapText="1"/>
    </xf>
    <xf numFmtId="0" fontId="212" fillId="175" borderId="171" xfId="60" applyFont="1" applyFill="1" applyBorder="1" applyAlignment="1">
      <alignment horizontal="center" vertical="center" wrapText="1"/>
    </xf>
    <xf numFmtId="0" fontId="211" fillId="170" borderId="171" xfId="60" applyFont="1" applyFill="1" applyBorder="1" applyAlignment="1">
      <alignment horizontal="center" vertical="center" wrapText="1"/>
    </xf>
    <xf numFmtId="0" fontId="211" fillId="172" borderId="171" xfId="60" applyFont="1" applyFill="1" applyBorder="1" applyAlignment="1">
      <alignment horizontal="center" vertical="center" wrapText="1"/>
    </xf>
    <xf numFmtId="0" fontId="211" fillId="171" borderId="171" xfId="60" applyFont="1" applyFill="1" applyBorder="1" applyAlignment="1">
      <alignment horizontal="center" vertical="center" wrapText="1"/>
    </xf>
    <xf numFmtId="0" fontId="211" fillId="173" borderId="171" xfId="60" applyFont="1" applyFill="1" applyBorder="1" applyAlignment="1">
      <alignment horizontal="center" vertical="center" wrapText="1"/>
    </xf>
    <xf numFmtId="0" fontId="211" fillId="174" borderId="171" xfId="60" applyFont="1" applyFill="1" applyBorder="1" applyAlignment="1">
      <alignment horizontal="center" vertical="center" wrapText="1"/>
    </xf>
    <xf numFmtId="0" fontId="192" fillId="166" borderId="159" xfId="60" applyFont="1" applyFill="1" applyAlignment="1">
      <alignment horizontal="left" vertical="center"/>
    </xf>
    <xf numFmtId="0" fontId="192" fillId="162" borderId="159" xfId="60" applyFont="1"/>
    <xf numFmtId="0" fontId="192" fillId="201" borderId="159" xfId="60" applyFont="1" applyFill="1"/>
    <xf numFmtId="0" fontId="208" fillId="176" borderId="168" xfId="60" applyFont="1" applyFill="1" applyBorder="1" applyAlignment="1">
      <alignment horizontal="left" vertical="center" wrapText="1"/>
    </xf>
    <xf numFmtId="0" fontId="208" fillId="179" borderId="168" xfId="60" applyFont="1" applyFill="1" applyBorder="1" applyAlignment="1">
      <alignment horizontal="center" vertical="center" wrapText="1"/>
    </xf>
    <xf numFmtId="0" fontId="208" fillId="179" borderId="168" xfId="60" applyFont="1" applyFill="1" applyBorder="1" applyAlignment="1">
      <alignment horizontal="left" vertical="center" wrapText="1"/>
    </xf>
    <xf numFmtId="0" fontId="208" fillId="178" borderId="168" xfId="60" applyFont="1" applyFill="1" applyBorder="1" applyAlignment="1">
      <alignment horizontal="center" vertical="center" wrapText="1"/>
    </xf>
    <xf numFmtId="0" fontId="208" fillId="178" borderId="168" xfId="60" applyFont="1" applyFill="1" applyBorder="1" applyAlignment="1">
      <alignment vertical="center" wrapText="1"/>
    </xf>
    <xf numFmtId="0" fontId="208" fillId="186" borderId="168" xfId="60" applyFont="1" applyFill="1" applyBorder="1" applyAlignment="1">
      <alignment horizontal="center" vertical="center" wrapText="1"/>
    </xf>
    <xf numFmtId="0" fontId="208" fillId="191" borderId="168" xfId="60" applyFont="1" applyFill="1" applyBorder="1" applyAlignment="1">
      <alignment horizontal="center" vertical="center" wrapText="1"/>
    </xf>
    <xf numFmtId="0" fontId="208" fillId="191" borderId="168" xfId="60" applyFont="1" applyFill="1" applyBorder="1" applyAlignment="1">
      <alignment horizontal="left" vertical="center" wrapText="1"/>
    </xf>
    <xf numFmtId="0" fontId="208" fillId="183" borderId="168" xfId="60" applyFont="1" applyFill="1" applyBorder="1" applyAlignment="1">
      <alignment horizontal="center" vertical="center" wrapText="1"/>
    </xf>
    <xf numFmtId="0" fontId="208" fillId="185" borderId="168" xfId="60" applyFont="1" applyFill="1" applyBorder="1" applyAlignment="1">
      <alignment horizontal="center" vertical="center" wrapText="1"/>
    </xf>
    <xf numFmtId="0" fontId="208" fillId="185" borderId="168" xfId="60" applyFont="1" applyFill="1" applyBorder="1" applyAlignment="1">
      <alignment horizontal="left" vertical="center" wrapText="1"/>
    </xf>
    <xf numFmtId="0" fontId="208" fillId="178" borderId="168" xfId="60" applyFont="1" applyFill="1" applyBorder="1" applyAlignment="1">
      <alignment horizontal="left" vertical="center" wrapText="1"/>
    </xf>
    <xf numFmtId="0" fontId="208" fillId="203" borderId="168" xfId="60" applyFont="1" applyFill="1" applyBorder="1" applyAlignment="1">
      <alignment horizontal="center" vertical="center" wrapText="1"/>
    </xf>
    <xf numFmtId="0" fontId="208" fillId="166" borderId="183" xfId="60" applyFont="1" applyFill="1" applyBorder="1" applyAlignment="1">
      <alignment horizontal="center" vertical="center" wrapText="1"/>
    </xf>
    <xf numFmtId="0" fontId="208" fillId="166" borderId="167" xfId="60" applyFont="1" applyFill="1" applyBorder="1" applyAlignment="1">
      <alignment horizontal="center" vertical="center" wrapText="1"/>
    </xf>
    <xf numFmtId="0" fontId="208" fillId="186" borderId="167" xfId="60" applyFont="1" applyFill="1" applyBorder="1" applyAlignment="1">
      <alignment horizontal="center" vertical="center" wrapText="1"/>
    </xf>
    <xf numFmtId="0" fontId="208" fillId="166" borderId="172" xfId="60" applyFont="1" applyFill="1" applyBorder="1" applyAlignment="1">
      <alignment horizontal="center" vertical="center" wrapText="1"/>
    </xf>
    <xf numFmtId="0" fontId="217" fillId="205" borderId="191" xfId="60" applyFont="1" applyFill="1" applyBorder="1" applyAlignment="1">
      <alignment horizontal="center" vertical="center" wrapText="1"/>
    </xf>
    <xf numFmtId="0" fontId="217" fillId="205" borderId="208" xfId="60" applyFont="1" applyFill="1" applyBorder="1" applyAlignment="1">
      <alignment horizontal="center" vertical="center" wrapText="1"/>
    </xf>
    <xf numFmtId="0" fontId="217" fillId="206" borderId="163" xfId="60" applyFont="1" applyFill="1" applyBorder="1" applyAlignment="1">
      <alignment horizontal="center" vertical="center" wrapText="1"/>
    </xf>
    <xf numFmtId="0" fontId="217" fillId="206" borderId="208" xfId="60" applyFont="1" applyFill="1" applyBorder="1" applyAlignment="1">
      <alignment horizontal="center" vertical="center" wrapText="1"/>
    </xf>
    <xf numFmtId="0" fontId="190" fillId="167" borderId="163" xfId="60" applyFont="1" applyFill="1" applyBorder="1" applyAlignment="1">
      <alignment horizontal="center" vertical="center" wrapText="1"/>
    </xf>
    <xf numFmtId="0" fontId="190" fillId="167" borderId="164" xfId="60" applyFont="1" applyFill="1" applyBorder="1" applyAlignment="1">
      <alignment horizontal="center" vertical="center" wrapText="1"/>
    </xf>
    <xf numFmtId="0" fontId="190" fillId="207" borderId="163" xfId="60" applyFont="1" applyFill="1" applyBorder="1" applyAlignment="1">
      <alignment horizontal="center" vertical="center" wrapText="1"/>
    </xf>
    <xf numFmtId="0" fontId="190" fillId="207" borderId="164" xfId="60" applyFont="1" applyFill="1" applyBorder="1" applyAlignment="1">
      <alignment horizontal="center" vertical="center" wrapText="1"/>
    </xf>
    <xf numFmtId="0" fontId="217" fillId="208" borderId="191" xfId="60" applyFont="1" applyFill="1" applyBorder="1" applyAlignment="1">
      <alignment horizontal="center" vertical="center" wrapText="1"/>
    </xf>
    <xf numFmtId="0" fontId="217" fillId="208" borderId="208" xfId="60" applyFont="1" applyFill="1" applyBorder="1" applyAlignment="1">
      <alignment horizontal="center" vertical="center" wrapText="1"/>
    </xf>
    <xf numFmtId="0" fontId="208" fillId="207" borderId="168" xfId="60" applyFont="1" applyFill="1" applyBorder="1" applyAlignment="1">
      <alignment horizontal="center" vertical="center" wrapText="1"/>
    </xf>
    <xf numFmtId="0" fontId="208" fillId="209" borderId="168" xfId="60" applyFont="1" applyFill="1" applyBorder="1" applyAlignment="1">
      <alignment horizontal="center" vertical="center" wrapText="1"/>
    </xf>
    <xf numFmtId="0" fontId="208" fillId="210" borderId="168" xfId="60" applyFont="1" applyFill="1" applyBorder="1" applyAlignment="1">
      <alignment horizontal="center" vertical="center" wrapText="1"/>
    </xf>
    <xf numFmtId="0" fontId="208" fillId="167" borderId="168" xfId="60" applyFont="1" applyFill="1" applyBorder="1" applyAlignment="1">
      <alignment horizontal="center" vertical="center" wrapText="1"/>
    </xf>
    <xf numFmtId="0" fontId="208" fillId="211" borderId="168" xfId="60" applyFont="1" applyFill="1" applyBorder="1" applyAlignment="1">
      <alignment horizontal="center" vertical="center" wrapText="1"/>
    </xf>
    <xf numFmtId="0" fontId="208" fillId="212" borderId="168" xfId="60" applyFont="1" applyFill="1" applyBorder="1" applyAlignment="1">
      <alignment horizontal="center" vertical="center" wrapText="1"/>
    </xf>
    <xf numFmtId="0" fontId="208" fillId="179" borderId="168" xfId="60" applyFont="1" applyFill="1" applyBorder="1" applyAlignment="1">
      <alignment vertical="center" wrapText="1"/>
    </xf>
    <xf numFmtId="0" fontId="219" fillId="169" borderId="171" xfId="60" applyFont="1" applyFill="1" applyBorder="1" applyAlignment="1">
      <alignment horizontal="center" vertical="center" wrapText="1"/>
    </xf>
    <xf numFmtId="0" fontId="207" fillId="175" borderId="171" xfId="60" applyFont="1" applyFill="1" applyBorder="1" applyAlignment="1">
      <alignment horizontal="center" vertical="center" wrapText="1"/>
    </xf>
    <xf numFmtId="0" fontId="219" fillId="170" borderId="171" xfId="60" applyFont="1" applyFill="1" applyBorder="1" applyAlignment="1">
      <alignment horizontal="center" vertical="center" wrapText="1"/>
    </xf>
    <xf numFmtId="0" fontId="219" fillId="172" borderId="171" xfId="60" applyFont="1" applyFill="1" applyBorder="1" applyAlignment="1">
      <alignment horizontal="center" vertical="center" wrapText="1"/>
    </xf>
    <xf numFmtId="0" fontId="219" fillId="171" borderId="171" xfId="60" applyFont="1" applyFill="1" applyBorder="1" applyAlignment="1">
      <alignment horizontal="center" vertical="center" wrapText="1"/>
    </xf>
    <xf numFmtId="0" fontId="219" fillId="173" borderId="171" xfId="60" applyFont="1" applyFill="1" applyBorder="1" applyAlignment="1">
      <alignment horizontal="center" vertical="center" wrapText="1"/>
    </xf>
    <xf numFmtId="0" fontId="219" fillId="174" borderId="171" xfId="60" applyFont="1" applyFill="1" applyBorder="1" applyAlignment="1">
      <alignment horizontal="center" vertical="center" wrapText="1"/>
    </xf>
    <xf numFmtId="0" fontId="192" fillId="166" borderId="167" xfId="60" applyFont="1" applyFill="1" applyBorder="1" applyAlignment="1">
      <alignment horizontal="center" vertical="center" wrapText="1"/>
    </xf>
    <xf numFmtId="0" fontId="210" fillId="166" borderId="167" xfId="60" applyFont="1" applyFill="1" applyBorder="1" applyAlignment="1">
      <alignment horizontal="center" vertical="center" wrapText="1"/>
    </xf>
    <xf numFmtId="0" fontId="192" fillId="162" borderId="159" xfId="60" applyFont="1" applyAlignment="1">
      <alignment wrapText="1"/>
    </xf>
    <xf numFmtId="0" fontId="208" fillId="178" borderId="168" xfId="60" applyFont="1" applyFill="1" applyBorder="1" applyAlignment="1">
      <alignment horizontal="center" vertical="center" wrapText="1"/>
    </xf>
    <xf numFmtId="0" fontId="208" fillId="176" borderId="168" xfId="60" applyFont="1" applyFill="1" applyBorder="1" applyAlignment="1">
      <alignment vertical="center" wrapText="1"/>
    </xf>
    <xf numFmtId="0" fontId="220" fillId="169" borderId="171" xfId="60" applyFont="1" applyFill="1" applyBorder="1" applyAlignment="1">
      <alignment horizontal="center" vertical="center" wrapText="1"/>
    </xf>
    <xf numFmtId="0" fontId="221" fillId="175" borderId="171" xfId="60" applyFont="1" applyFill="1" applyBorder="1" applyAlignment="1">
      <alignment horizontal="center" vertical="center" wrapText="1"/>
    </xf>
    <xf numFmtId="0" fontId="220" fillId="170" borderId="171" xfId="60" applyFont="1" applyFill="1" applyBorder="1" applyAlignment="1">
      <alignment horizontal="center" vertical="center" wrapText="1"/>
    </xf>
    <xf numFmtId="0" fontId="220" fillId="172" borderId="171" xfId="60" applyFont="1" applyFill="1" applyBorder="1" applyAlignment="1">
      <alignment horizontal="center" vertical="center" wrapText="1"/>
    </xf>
    <xf numFmtId="0" fontId="220" fillId="171" borderId="171" xfId="60" applyFont="1" applyFill="1" applyBorder="1" applyAlignment="1">
      <alignment horizontal="center" vertical="center" wrapText="1"/>
    </xf>
    <xf numFmtId="0" fontId="220" fillId="173" borderId="171" xfId="60" applyFont="1" applyFill="1" applyBorder="1" applyAlignment="1">
      <alignment horizontal="center" vertical="center" wrapText="1"/>
    </xf>
    <xf numFmtId="0" fontId="220" fillId="174" borderId="171" xfId="60" applyFont="1" applyFill="1" applyBorder="1" applyAlignment="1">
      <alignment horizontal="center" vertical="center" wrapText="1"/>
    </xf>
    <xf numFmtId="0" fontId="222" fillId="174" borderId="168" xfId="60" applyFont="1" applyFill="1" applyBorder="1" applyAlignment="1">
      <alignment horizontal="center" vertical="center" wrapText="1"/>
    </xf>
    <xf numFmtId="0" fontId="222" fillId="169" borderId="168" xfId="60" applyFont="1" applyFill="1" applyBorder="1" applyAlignment="1">
      <alignment horizontal="center" vertical="center" wrapText="1"/>
    </xf>
    <xf numFmtId="0" fontId="176" fillId="175" borderId="168" xfId="60" applyFont="1" applyFill="1" applyBorder="1" applyAlignment="1">
      <alignment horizontal="center" vertical="center" wrapText="1"/>
    </xf>
    <xf numFmtId="0" fontId="222" fillId="170" borderId="168" xfId="60" applyFont="1" applyFill="1" applyBorder="1" applyAlignment="1">
      <alignment horizontal="center" vertical="center" wrapText="1"/>
    </xf>
    <xf numFmtId="0" fontId="222" fillId="172" borderId="168" xfId="60" applyFont="1" applyFill="1" applyBorder="1" applyAlignment="1">
      <alignment horizontal="center" vertical="center" wrapText="1"/>
    </xf>
    <xf numFmtId="0" fontId="222" fillId="171" borderId="168" xfId="60" applyFont="1" applyFill="1" applyBorder="1" applyAlignment="1">
      <alignment horizontal="center" vertical="center" wrapText="1"/>
    </xf>
    <xf numFmtId="0" fontId="222" fillId="173" borderId="168" xfId="60" applyFont="1" applyFill="1" applyBorder="1" applyAlignment="1">
      <alignment horizontal="center" vertical="center" wrapText="1"/>
    </xf>
    <xf numFmtId="0" fontId="192" fillId="166" borderId="159" xfId="60" applyFont="1" applyFill="1" applyAlignment="1">
      <alignment horizontal="center" vertical="center"/>
    </xf>
    <xf numFmtId="0" fontId="208" fillId="177" borderId="184" xfId="60" applyFont="1" applyFill="1" applyBorder="1" applyAlignment="1">
      <alignment horizontal="center" vertical="center" wrapText="1"/>
    </xf>
    <xf numFmtId="0" fontId="208" fillId="179" borderId="168" xfId="60" applyFont="1" applyFill="1" applyBorder="1" applyAlignment="1">
      <alignment horizontal="center" vertical="center" wrapText="1"/>
    </xf>
    <xf numFmtId="0" fontId="208" fillId="179" borderId="184" xfId="60" applyFont="1" applyFill="1" applyBorder="1" applyAlignment="1">
      <alignment horizontal="center" vertical="center" wrapText="1"/>
    </xf>
    <xf numFmtId="0" fontId="208" fillId="178" borderId="184" xfId="60" applyFont="1" applyFill="1" applyBorder="1" applyAlignment="1">
      <alignment horizontal="center" vertical="center" wrapText="1"/>
    </xf>
    <xf numFmtId="0" fontId="208" fillId="178" borderId="184" xfId="60" applyFont="1" applyFill="1" applyBorder="1" applyAlignment="1">
      <alignment horizontal="center" vertical="center" wrapText="1"/>
    </xf>
    <xf numFmtId="0" fontId="192" fillId="162" borderId="159" xfId="60" applyFont="1" applyAlignment="1">
      <alignment horizontal="center" vertical="center"/>
    </xf>
    <xf numFmtId="0" fontId="192" fillId="162" borderId="168" xfId="60" applyFont="1" applyBorder="1" applyAlignment="1">
      <alignment horizontal="center" vertical="center"/>
    </xf>
    <xf numFmtId="0" fontId="208" fillId="177" borderId="168" xfId="60" applyFont="1" applyFill="1" applyBorder="1" applyAlignment="1">
      <alignment horizontal="center" vertical="center" wrapText="1"/>
    </xf>
    <xf numFmtId="0" fontId="208" fillId="188" borderId="168" xfId="60" applyFont="1" applyFill="1" applyBorder="1" applyAlignment="1">
      <alignment horizontal="center" vertical="center" wrapText="1"/>
    </xf>
    <xf numFmtId="0" fontId="208" fillId="189" borderId="168" xfId="60" applyFont="1" applyFill="1" applyBorder="1" applyAlignment="1">
      <alignment horizontal="center" vertical="center" wrapText="1"/>
    </xf>
    <xf numFmtId="0" fontId="208" fillId="192" borderId="168" xfId="60" applyFont="1" applyFill="1" applyBorder="1" applyAlignment="1">
      <alignment horizontal="center" vertical="center" wrapText="1"/>
    </xf>
    <xf numFmtId="0" fontId="208" fillId="181" borderId="168" xfId="60" applyFont="1" applyFill="1" applyBorder="1" applyAlignment="1">
      <alignment horizontal="center" vertical="center" wrapText="1"/>
    </xf>
    <xf numFmtId="0" fontId="208" fillId="182" borderId="168" xfId="60" applyFont="1" applyFill="1" applyBorder="1" applyAlignment="1">
      <alignment horizontal="center" vertical="center" wrapText="1"/>
    </xf>
    <xf numFmtId="0" fontId="208" fillId="181" borderId="173" xfId="60" applyFont="1" applyFill="1" applyBorder="1" applyAlignment="1">
      <alignment horizontal="center" vertical="center" wrapText="1"/>
    </xf>
    <xf numFmtId="0" fontId="208" fillId="182" borderId="173" xfId="60" applyFont="1" applyFill="1" applyBorder="1" applyAlignment="1">
      <alignment horizontal="center" vertical="center" wrapText="1"/>
    </xf>
    <xf numFmtId="0" fontId="208" fillId="185" borderId="173" xfId="60" applyFont="1" applyFill="1" applyBorder="1" applyAlignment="1">
      <alignment horizontal="center" vertical="center" wrapText="1"/>
    </xf>
    <xf numFmtId="0" fontId="208" fillId="179" borderId="173" xfId="60" applyFont="1" applyFill="1" applyBorder="1" applyAlignment="1">
      <alignment horizontal="center" vertical="center" wrapText="1"/>
    </xf>
    <xf numFmtId="0" fontId="179" fillId="166" borderId="159" xfId="60" applyFont="1" applyFill="1" applyAlignment="1">
      <alignment horizontal="left" vertical="center" wrapText="1"/>
    </xf>
    <xf numFmtId="0" fontId="208" fillId="166" borderId="184" xfId="60" applyFont="1" applyFill="1" applyBorder="1" applyAlignment="1">
      <alignment horizontal="left" vertical="center" wrapText="1"/>
    </xf>
    <xf numFmtId="0" fontId="208" fillId="166" borderId="168" xfId="60" applyFont="1" applyFill="1" applyBorder="1" applyAlignment="1">
      <alignment horizontal="left" vertical="center" wrapText="1"/>
    </xf>
    <xf numFmtId="0" fontId="208" fillId="166" borderId="173" xfId="60" applyFont="1" applyFill="1" applyBorder="1" applyAlignment="1">
      <alignment horizontal="left" vertical="center" wrapText="1"/>
    </xf>
    <xf numFmtId="0" fontId="215" fillId="201" borderId="184" xfId="60" applyFont="1" applyFill="1" applyBorder="1" applyAlignment="1">
      <alignment horizontal="left" vertical="center" wrapText="1"/>
    </xf>
    <xf numFmtId="0" fontId="179" fillId="162" borderId="159" xfId="60" applyFont="1" applyAlignment="1">
      <alignment horizontal="left" vertical="center" wrapText="1"/>
    </xf>
    <xf numFmtId="0" fontId="208" fillId="176" borderId="184" xfId="60" applyFont="1" applyFill="1" applyBorder="1" applyAlignment="1">
      <alignment horizontal="left" vertical="center" wrapText="1"/>
    </xf>
    <xf numFmtId="0" fontId="208" fillId="179" borderId="168" xfId="60" applyFont="1" applyFill="1" applyBorder="1" applyAlignment="1">
      <alignment horizontal="left" vertical="center" wrapText="1"/>
    </xf>
    <xf numFmtId="0" fontId="208" fillId="179" borderId="184" xfId="60" applyFont="1" applyFill="1" applyBorder="1" applyAlignment="1">
      <alignment horizontal="left" vertical="center" wrapText="1"/>
    </xf>
    <xf numFmtId="0" fontId="208" fillId="201" borderId="184" xfId="60" applyFont="1" applyFill="1" applyBorder="1" applyAlignment="1">
      <alignment horizontal="left" vertical="center" wrapText="1"/>
    </xf>
    <xf numFmtId="0" fontId="208" fillId="201" borderId="184" xfId="60" applyFont="1" applyFill="1" applyBorder="1" applyAlignment="1">
      <alignment horizontal="left" vertical="center"/>
    </xf>
    <xf numFmtId="0" fontId="208" fillId="201" borderId="184" xfId="60" applyFont="1" applyFill="1" applyBorder="1" applyAlignment="1">
      <alignment horizontal="left" vertical="center" wrapText="1"/>
    </xf>
    <xf numFmtId="0" fontId="208" fillId="178" borderId="184" xfId="60" applyFont="1" applyFill="1" applyBorder="1" applyAlignment="1">
      <alignment horizontal="left" vertical="center" wrapText="1"/>
    </xf>
    <xf numFmtId="0" fontId="208" fillId="193" borderId="184" xfId="60" applyFont="1" applyFill="1" applyBorder="1" applyAlignment="1">
      <alignment horizontal="left" vertical="center" wrapText="1"/>
    </xf>
    <xf numFmtId="0" fontId="208" fillId="176" borderId="168" xfId="60" applyFont="1" applyFill="1" applyBorder="1" applyAlignment="1">
      <alignment horizontal="left" vertical="center" wrapText="1"/>
    </xf>
    <xf numFmtId="0" fontId="208" fillId="201" borderId="168" xfId="60" applyFont="1" applyFill="1" applyBorder="1" applyAlignment="1">
      <alignment horizontal="left" vertical="center" wrapText="1"/>
    </xf>
    <xf numFmtId="0" fontId="208" fillId="201" borderId="168" xfId="60" applyFont="1" applyFill="1" applyBorder="1" applyAlignment="1">
      <alignment horizontal="left" vertical="center"/>
    </xf>
    <xf numFmtId="0" fontId="208" fillId="201" borderId="168" xfId="60" applyFont="1" applyFill="1" applyBorder="1" applyAlignment="1">
      <alignment horizontal="left" vertical="center" wrapText="1"/>
    </xf>
    <xf numFmtId="0" fontId="208" fillId="178" borderId="168" xfId="60" applyFont="1" applyFill="1" applyBorder="1" applyAlignment="1">
      <alignment horizontal="left" vertical="center" wrapText="1"/>
    </xf>
    <xf numFmtId="0" fontId="208" fillId="193" borderId="168" xfId="60" applyFont="1" applyFill="1" applyBorder="1" applyAlignment="1">
      <alignment horizontal="left" vertical="center" wrapText="1"/>
    </xf>
    <xf numFmtId="0" fontId="208" fillId="187" borderId="168" xfId="60" applyFont="1" applyFill="1" applyBorder="1" applyAlignment="1">
      <alignment horizontal="left" vertical="center" wrapText="1"/>
    </xf>
    <xf numFmtId="0" fontId="208" fillId="186" borderId="168" xfId="60" applyFont="1" applyFill="1" applyBorder="1" applyAlignment="1">
      <alignment horizontal="left" vertical="center" wrapText="1"/>
    </xf>
    <xf numFmtId="0" fontId="208" fillId="192" borderId="168" xfId="60" applyFont="1" applyFill="1" applyBorder="1" applyAlignment="1">
      <alignment horizontal="left" vertical="center" wrapText="1"/>
    </xf>
    <xf numFmtId="0" fontId="208" fillId="180" borderId="168" xfId="60" applyFont="1" applyFill="1" applyBorder="1" applyAlignment="1">
      <alignment horizontal="left" vertical="center" wrapText="1"/>
    </xf>
    <xf numFmtId="0" fontId="208" fillId="185" borderId="168" xfId="60" applyFont="1" applyFill="1" applyBorder="1" applyAlignment="1">
      <alignment horizontal="left" vertical="center" wrapText="1"/>
    </xf>
    <xf numFmtId="0" fontId="208" fillId="166" borderId="184" xfId="60" applyFont="1" applyFill="1" applyBorder="1" applyAlignment="1">
      <alignment horizontal="left" vertical="center"/>
    </xf>
    <xf numFmtId="0" fontId="208" fillId="166" borderId="168" xfId="60" applyFont="1" applyFill="1" applyBorder="1" applyAlignment="1">
      <alignment horizontal="left" vertical="center"/>
    </xf>
    <xf numFmtId="0" fontId="208" fillId="180" borderId="173" xfId="60" applyFont="1" applyFill="1" applyBorder="1" applyAlignment="1">
      <alignment horizontal="left" vertical="center" wrapText="1"/>
    </xf>
    <xf numFmtId="0" fontId="208" fillId="182" borderId="173" xfId="60" applyFont="1" applyFill="1" applyBorder="1" applyAlignment="1">
      <alignment horizontal="left" vertical="center" wrapText="1"/>
    </xf>
    <xf numFmtId="0" fontId="208" fillId="183" borderId="173" xfId="60" applyFont="1" applyFill="1" applyBorder="1" applyAlignment="1">
      <alignment horizontal="left" vertical="center" wrapText="1"/>
    </xf>
    <xf numFmtId="0" fontId="208" fillId="184" borderId="173" xfId="60" applyFont="1" applyFill="1" applyBorder="1" applyAlignment="1">
      <alignment horizontal="left" vertical="center"/>
    </xf>
    <xf numFmtId="0" fontId="208" fillId="184" borderId="173" xfId="60" applyFont="1" applyFill="1" applyBorder="1" applyAlignment="1">
      <alignment horizontal="left" vertical="center" wrapText="1"/>
    </xf>
    <xf numFmtId="0" fontId="208" fillId="184" borderId="173" xfId="60" applyFont="1" applyFill="1" applyBorder="1" applyAlignment="1">
      <alignment horizontal="left" vertical="center" wrapText="1"/>
    </xf>
    <xf numFmtId="0" fontId="208" fillId="183" borderId="173" xfId="60" applyFont="1" applyFill="1" applyBorder="1" applyAlignment="1">
      <alignment horizontal="left" vertical="center"/>
    </xf>
    <xf numFmtId="0" fontId="208" fillId="194" borderId="173" xfId="60" applyFont="1" applyFill="1" applyBorder="1" applyAlignment="1">
      <alignment horizontal="left" vertical="center" wrapText="1"/>
    </xf>
    <xf numFmtId="0" fontId="208" fillId="191" borderId="168" xfId="60" applyFont="1" applyFill="1" applyBorder="1" applyAlignment="1">
      <alignment horizontal="left" vertical="center" wrapText="1"/>
    </xf>
    <xf numFmtId="0" fontId="208" fillId="202" borderId="168" xfId="60" applyFont="1" applyFill="1" applyBorder="1" applyAlignment="1">
      <alignment horizontal="left" vertical="center" wrapText="1"/>
    </xf>
    <xf numFmtId="0" fontId="208" fillId="194" borderId="168" xfId="60" applyFont="1" applyFill="1" applyBorder="1" applyAlignment="1">
      <alignment horizontal="left" vertical="center" wrapText="1"/>
    </xf>
    <xf numFmtId="0" fontId="208" fillId="185" borderId="173" xfId="60" applyFont="1" applyFill="1" applyBorder="1" applyAlignment="1">
      <alignment horizontal="left" vertical="center" wrapText="1"/>
    </xf>
    <xf numFmtId="0" fontId="208" fillId="193" borderId="173" xfId="60" applyFont="1" applyFill="1" applyBorder="1" applyAlignment="1">
      <alignment horizontal="left" vertical="center" wrapText="1"/>
    </xf>
    <xf numFmtId="0" fontId="208" fillId="193" borderId="209" xfId="60" applyFont="1" applyFill="1" applyBorder="1" applyAlignment="1">
      <alignment horizontal="left" vertical="center" wrapText="1"/>
    </xf>
    <xf numFmtId="0" fontId="208" fillId="193" borderId="180" xfId="60" applyFont="1" applyFill="1" applyBorder="1" applyAlignment="1">
      <alignment horizontal="left" vertical="center" wrapText="1"/>
    </xf>
    <xf numFmtId="0" fontId="185" fillId="162" borderId="169" xfId="60" applyFont="1" applyBorder="1" applyAlignment="1">
      <alignment horizontal="center" vertical="center" wrapText="1"/>
    </xf>
    <xf numFmtId="0" fontId="186" fillId="162" borderId="169" xfId="60" applyFont="1" applyBorder="1" applyAlignment="1">
      <alignment horizontal="center" vertical="center" wrapText="1"/>
    </xf>
    <xf numFmtId="0" fontId="185" fillId="162" borderId="162" xfId="60" applyFont="1" applyBorder="1" applyAlignment="1">
      <alignment horizontal="center" vertical="center" wrapText="1"/>
    </xf>
    <xf numFmtId="0" fontId="197" fillId="162" borderId="168" xfId="60" applyFont="1" applyBorder="1" applyAlignment="1">
      <alignment horizontal="center" vertical="center" wrapText="1"/>
    </xf>
    <xf numFmtId="0" fontId="198" fillId="162" borderId="168" xfId="60" applyFont="1" applyBorder="1" applyAlignment="1">
      <alignment horizontal="center" vertical="center" wrapText="1"/>
    </xf>
    <xf numFmtId="0" fontId="197" fillId="162" borderId="170" xfId="60" applyFont="1" applyBorder="1" applyAlignment="1">
      <alignment horizontal="center" vertical="center" wrapText="1"/>
    </xf>
    <xf numFmtId="0" fontId="181" fillId="167" borderId="163" xfId="60" applyFont="1" applyFill="1" applyBorder="1" applyAlignment="1">
      <alignment horizontal="center" vertical="center" wrapText="1"/>
    </xf>
    <xf numFmtId="0" fontId="210" fillId="167" borderId="164" xfId="60" applyFont="1" applyFill="1" applyBorder="1" applyAlignment="1">
      <alignment horizontal="center" vertical="center" wrapText="1"/>
    </xf>
    <xf numFmtId="0" fontId="208" fillId="167" borderId="184" xfId="60" applyFont="1" applyFill="1" applyBorder="1" applyAlignment="1">
      <alignment horizontal="center" vertical="center" wrapText="1"/>
    </xf>
    <xf numFmtId="0" fontId="208" fillId="167" borderId="168" xfId="60" applyFont="1" applyFill="1" applyBorder="1" applyAlignment="1">
      <alignment horizontal="center" vertical="center" wrapText="1"/>
    </xf>
    <xf numFmtId="0" fontId="208" fillId="211" borderId="168" xfId="60" applyFont="1" applyFill="1" applyBorder="1" applyAlignment="1">
      <alignment horizontal="center" vertical="center" wrapText="1"/>
    </xf>
    <xf numFmtId="0" fontId="208" fillId="212" borderId="168" xfId="60" applyFont="1" applyFill="1" applyBorder="1" applyAlignment="1">
      <alignment horizontal="center" vertical="center" wrapText="1"/>
    </xf>
    <xf numFmtId="0" fontId="208" fillId="212" borderId="173" xfId="60" applyFont="1" applyFill="1" applyBorder="1" applyAlignment="1">
      <alignment horizontal="center" vertical="center" wrapText="1"/>
    </xf>
    <xf numFmtId="0" fontId="208" fillId="167" borderId="173" xfId="60" applyFont="1" applyFill="1" applyBorder="1" applyAlignment="1">
      <alignment horizontal="center" vertical="center" wrapText="1"/>
    </xf>
    <xf numFmtId="0" fontId="210" fillId="207" borderId="163" xfId="60" applyFont="1" applyFill="1" applyBorder="1" applyAlignment="1">
      <alignment horizontal="center" vertical="center" wrapText="1"/>
    </xf>
    <xf numFmtId="0" fontId="208" fillId="207" borderId="184" xfId="60" applyFont="1" applyFill="1" applyBorder="1" applyAlignment="1">
      <alignment horizontal="center" vertical="center" wrapText="1"/>
    </xf>
    <xf numFmtId="0" fontId="208" fillId="207" borderId="168" xfId="60" applyFont="1" applyFill="1" applyBorder="1" applyAlignment="1">
      <alignment horizontal="center" vertical="center" wrapText="1"/>
    </xf>
    <xf numFmtId="0" fontId="208" fillId="210" borderId="168" xfId="60" applyFont="1" applyFill="1" applyBorder="1" applyAlignment="1">
      <alignment horizontal="center" vertical="center" wrapText="1"/>
    </xf>
    <xf numFmtId="0" fontId="208" fillId="209" borderId="168" xfId="60" applyFont="1" applyFill="1" applyBorder="1" applyAlignment="1">
      <alignment horizontal="center" vertical="center" wrapText="1"/>
    </xf>
    <xf numFmtId="0" fontId="208" fillId="209" borderId="173" xfId="60" applyFont="1" applyFill="1" applyBorder="1" applyAlignment="1">
      <alignment horizontal="center" vertical="center" wrapText="1"/>
    </xf>
    <xf numFmtId="0" fontId="208" fillId="207" borderId="173" xfId="60" applyFont="1" applyFill="1" applyBorder="1" applyAlignment="1">
      <alignment horizontal="center" vertical="center" wrapText="1"/>
    </xf>
    <xf numFmtId="0" fontId="223" fillId="166" borderId="168" xfId="60" applyFont="1" applyFill="1" applyBorder="1" applyAlignment="1">
      <alignment horizontal="center" vertical="center" wrapText="1"/>
    </xf>
    <xf numFmtId="0" fontId="190" fillId="179" borderId="163" xfId="60" applyFont="1" applyFill="1" applyBorder="1" applyAlignment="1">
      <alignment horizontal="center" vertical="center"/>
    </xf>
    <xf numFmtId="0" fontId="224" fillId="166" borderId="159" xfId="60" applyFont="1" applyFill="1" applyAlignment="1">
      <alignment horizontal="center" vertical="center" wrapText="1"/>
    </xf>
    <xf numFmtId="0" fontId="227" fillId="166" borderId="159" xfId="60" applyFont="1" applyFill="1" applyAlignment="1">
      <alignment horizontal="center" vertical="center" wrapText="1"/>
    </xf>
    <xf numFmtId="0" fontId="225" fillId="166" borderId="159" xfId="60" applyFont="1" applyFill="1" applyAlignment="1">
      <alignment vertical="top" wrapText="1"/>
    </xf>
    <xf numFmtId="0" fontId="228" fillId="166" borderId="159" xfId="60" applyFont="1" applyFill="1" applyAlignment="1">
      <alignment horizontal="center" vertical="center"/>
    </xf>
    <xf numFmtId="0" fontId="190" fillId="178" borderId="198" xfId="60" applyFont="1" applyFill="1" applyBorder="1" applyAlignment="1">
      <alignment horizontal="center" vertical="center" wrapText="1"/>
    </xf>
    <xf numFmtId="0" fontId="192" fillId="178" borderId="209" xfId="60" applyFont="1" applyFill="1" applyBorder="1" applyAlignment="1">
      <alignment horizontal="center" vertical="center" wrapText="1"/>
    </xf>
    <xf numFmtId="0" fontId="192" fillId="178" borderId="180" xfId="60" applyFont="1" applyFill="1" applyBorder="1" applyAlignment="1">
      <alignment horizontal="center" vertical="center" wrapText="1"/>
    </xf>
    <xf numFmtId="0" fontId="192" fillId="192" borderId="180" xfId="60" applyFont="1" applyFill="1" applyBorder="1" applyAlignment="1">
      <alignment horizontal="center" vertical="center" wrapText="1"/>
    </xf>
    <xf numFmtId="0" fontId="190" fillId="178" borderId="168" xfId="60" applyFont="1" applyFill="1" applyBorder="1" applyAlignment="1">
      <alignment horizontal="center" vertical="center" wrapText="1"/>
    </xf>
    <xf numFmtId="0" fontId="182" fillId="162" borderId="168" xfId="60" applyFont="1" applyBorder="1"/>
    <xf numFmtId="0" fontId="192" fillId="162" borderId="168" xfId="60" applyFont="1" applyBorder="1"/>
    <xf numFmtId="0" fontId="192" fillId="178" borderId="180" xfId="60" applyFont="1" applyFill="1" applyBorder="1" applyAlignment="1">
      <alignment horizontal="center" vertical="center" wrapText="1"/>
    </xf>
    <xf numFmtId="0" fontId="192" fillId="178" borderId="196" xfId="60" applyFont="1" applyFill="1" applyBorder="1" applyAlignment="1">
      <alignment horizontal="center" vertical="center" wrapText="1"/>
    </xf>
    <xf numFmtId="0" fontId="192" fillId="185" borderId="180" xfId="60" applyFont="1" applyFill="1" applyBorder="1" applyAlignment="1">
      <alignment horizontal="center" vertical="center" wrapText="1"/>
    </xf>
    <xf numFmtId="0" fontId="192" fillId="191" borderId="180" xfId="60" applyFont="1" applyFill="1" applyBorder="1" applyAlignment="1">
      <alignment horizontal="center" vertical="center" wrapText="1"/>
    </xf>
    <xf numFmtId="0" fontId="192" fillId="162" borderId="168" xfId="60" applyFont="1" applyBorder="1" applyAlignment="1">
      <alignment vertical="center" wrapText="1"/>
    </xf>
    <xf numFmtId="0" fontId="208" fillId="162" borderId="168" xfId="60" applyFont="1" applyBorder="1" applyAlignment="1">
      <alignment vertical="center" wrapText="1"/>
    </xf>
    <xf numFmtId="0" fontId="208" fillId="201" borderId="168" xfId="60" applyFont="1" applyFill="1" applyBorder="1" applyAlignment="1">
      <alignment vertical="center" wrapText="1"/>
    </xf>
    <xf numFmtId="0" fontId="208" fillId="162" borderId="168" xfId="60" applyFont="1" applyBorder="1" applyAlignment="1">
      <alignment horizontal="left" vertical="center" wrapText="1"/>
    </xf>
    <xf numFmtId="0" fontId="217" fillId="162" borderId="168" xfId="60" applyFont="1" applyBorder="1" applyAlignment="1">
      <alignment vertical="center" wrapText="1"/>
    </xf>
    <xf numFmtId="0" fontId="192" fillId="178" borderId="180" xfId="60" applyFont="1" applyFill="1" applyBorder="1" applyAlignment="1">
      <alignment horizontal="left" vertical="center" wrapText="1"/>
    </xf>
    <xf numFmtId="0" fontId="192" fillId="185" borderId="197" xfId="60" applyFont="1" applyFill="1" applyBorder="1" applyAlignment="1">
      <alignment horizontal="left" vertical="center" wrapText="1"/>
    </xf>
    <xf numFmtId="0" fontId="192" fillId="191" borderId="168" xfId="60" applyFont="1" applyFill="1" applyBorder="1" applyAlignment="1">
      <alignment horizontal="left" vertical="center" wrapText="1"/>
    </xf>
    <xf numFmtId="0" fontId="192" fillId="191" borderId="209" xfId="60" applyFont="1" applyFill="1" applyBorder="1" applyAlignment="1">
      <alignment horizontal="left" vertical="center" wrapText="1"/>
    </xf>
    <xf numFmtId="0" fontId="208" fillId="178" borderId="180" xfId="60" applyFont="1" applyFill="1" applyBorder="1" applyAlignment="1">
      <alignment horizontal="left" vertical="center" wrapText="1"/>
    </xf>
    <xf numFmtId="0" fontId="229" fillId="178" borderId="209" xfId="60" applyFont="1" applyFill="1" applyBorder="1" applyAlignment="1">
      <alignment horizontal="left" vertical="center" wrapText="1"/>
    </xf>
    <xf numFmtId="0" fontId="190" fillId="167" borderId="160" xfId="60" applyFont="1" applyFill="1" applyBorder="1" applyAlignment="1">
      <alignment vertical="center" wrapText="1"/>
    </xf>
    <xf numFmtId="0" fontId="190" fillId="167" borderId="181" xfId="60" applyFont="1" applyFill="1" applyBorder="1" applyAlignment="1">
      <alignment vertical="center" wrapText="1"/>
    </xf>
    <xf numFmtId="0" fontId="190" fillId="167" borderId="165" xfId="60" applyFont="1" applyFill="1" applyBorder="1" applyAlignment="1">
      <alignment vertical="center" wrapText="1"/>
    </xf>
    <xf numFmtId="0" fontId="190" fillId="167" borderId="159" xfId="60" applyFont="1" applyFill="1" applyAlignment="1">
      <alignment vertical="center" wrapText="1"/>
    </xf>
    <xf numFmtId="0" fontId="190" fillId="167" borderId="202" xfId="60" applyFont="1" applyFill="1" applyBorder="1" applyAlignment="1">
      <alignment vertical="center" wrapText="1"/>
    </xf>
    <xf numFmtId="0" fontId="182" fillId="162" borderId="184" xfId="60" applyFont="1" applyBorder="1"/>
    <xf numFmtId="0" fontId="208" fillId="178" borderId="196" xfId="60" applyFont="1" applyFill="1" applyBorder="1" applyAlignment="1">
      <alignment horizontal="left" vertical="center" wrapText="1"/>
    </xf>
    <xf numFmtId="0" fontId="208" fillId="185" borderId="180" xfId="60" applyFont="1" applyFill="1" applyBorder="1" applyAlignment="1">
      <alignment horizontal="left" vertical="center" wrapText="1"/>
    </xf>
    <xf numFmtId="0" fontId="192" fillId="185" borderId="180" xfId="60" applyFont="1" applyFill="1" applyBorder="1" applyAlignment="1">
      <alignment horizontal="left" vertical="center" wrapText="1"/>
    </xf>
    <xf numFmtId="0" fontId="212" fillId="162" borderId="180" xfId="60" applyFont="1" applyBorder="1" applyAlignment="1">
      <alignment vertical="center" wrapText="1"/>
    </xf>
    <xf numFmtId="0" fontId="211" fillId="162" borderId="211" xfId="60" applyFont="1" applyBorder="1" applyAlignment="1">
      <alignment vertical="center" wrapText="1"/>
    </xf>
    <xf numFmtId="0" fontId="212" fillId="162" borderId="209" xfId="60" applyFont="1" applyBorder="1" applyAlignment="1">
      <alignment vertical="center" wrapText="1"/>
    </xf>
    <xf numFmtId="0" fontId="212" fillId="186" borderId="180" xfId="60" applyFont="1" applyFill="1" applyBorder="1" applyAlignment="1">
      <alignment vertical="center" wrapText="1"/>
    </xf>
    <xf numFmtId="0" fontId="212" fillId="162" borderId="197" xfId="60" applyFont="1" applyBorder="1" applyAlignment="1">
      <alignment vertical="center" wrapText="1"/>
    </xf>
    <xf numFmtId="0" fontId="212" fillId="190" borderId="180" xfId="60" applyFont="1" applyFill="1" applyBorder="1" applyAlignment="1">
      <alignment vertical="center" wrapText="1"/>
    </xf>
    <xf numFmtId="0" fontId="208" fillId="213" borderId="168" xfId="60" applyFont="1" applyFill="1" applyBorder="1" applyAlignment="1">
      <alignment horizontal="left" vertical="center" wrapText="1"/>
    </xf>
    <xf numFmtId="0" fontId="208" fillId="214" borderId="168" xfId="60" applyFont="1" applyFill="1" applyBorder="1" applyAlignment="1">
      <alignment horizontal="left" vertical="center" wrapText="1"/>
    </xf>
    <xf numFmtId="0" fontId="204" fillId="166" borderId="159" xfId="60" applyFont="1" applyFill="1" applyAlignment="1">
      <alignment horizontal="center" vertical="center"/>
    </xf>
    <xf numFmtId="0" fontId="191" fillId="166" borderId="159" xfId="60" applyFont="1" applyFill="1" applyAlignment="1">
      <alignment horizontal="center" vertical="center"/>
    </xf>
    <xf numFmtId="0" fontId="200" fillId="167" borderId="160" xfId="60" applyFont="1" applyFill="1" applyBorder="1" applyAlignment="1">
      <alignment horizontal="left" vertical="center" wrapText="1"/>
    </xf>
    <xf numFmtId="0" fontId="200" fillId="167" borderId="181" xfId="60" applyFont="1" applyFill="1" applyBorder="1" applyAlignment="1">
      <alignment horizontal="left" vertical="center" wrapText="1"/>
    </xf>
    <xf numFmtId="0" fontId="200" fillId="167" borderId="166" xfId="60" applyFont="1" applyFill="1" applyBorder="1" applyAlignment="1">
      <alignment horizontal="left" vertical="center" wrapText="1"/>
    </xf>
    <xf numFmtId="0" fontId="190" fillId="167" borderId="160" xfId="60" applyFont="1" applyFill="1" applyBorder="1" applyAlignment="1">
      <alignment horizontal="left" vertical="center" wrapText="1"/>
    </xf>
    <xf numFmtId="0" fontId="190" fillId="167" borderId="181" xfId="60" applyFont="1" applyFill="1" applyBorder="1" applyAlignment="1">
      <alignment horizontal="left" vertical="center" wrapText="1"/>
    </xf>
    <xf numFmtId="0" fontId="190" fillId="167" borderId="165" xfId="60" applyFont="1" applyFill="1" applyBorder="1" applyAlignment="1">
      <alignment horizontal="left" vertical="center" wrapText="1"/>
    </xf>
    <xf numFmtId="0" fontId="188" fillId="167" borderId="161" xfId="60" applyFont="1" applyFill="1" applyBorder="1" applyAlignment="1">
      <alignment horizontal="right" vertical="center" wrapText="1"/>
    </xf>
    <xf numFmtId="0" fontId="188" fillId="167" borderId="162" xfId="60" applyFont="1" applyFill="1" applyBorder="1" applyAlignment="1">
      <alignment horizontal="right" vertical="center" wrapText="1"/>
    </xf>
    <xf numFmtId="0" fontId="188" fillId="167" borderId="163" xfId="60" applyFont="1" applyFill="1" applyBorder="1" applyAlignment="1">
      <alignment horizontal="right" vertical="center" wrapText="1"/>
    </xf>
    <xf numFmtId="0" fontId="188" fillId="167" borderId="164" xfId="60" applyFont="1" applyFill="1" applyBorder="1" applyAlignment="1">
      <alignment horizontal="right" vertical="center" wrapText="1"/>
    </xf>
    <xf numFmtId="0" fontId="207" fillId="167" borderId="161" xfId="60" applyFont="1" applyFill="1" applyBorder="1" applyAlignment="1">
      <alignment horizontal="center" vertical="center" wrapText="1"/>
    </xf>
    <xf numFmtId="0" fontId="207" fillId="167" borderId="162" xfId="60" applyFont="1" applyFill="1" applyBorder="1" applyAlignment="1">
      <alignment horizontal="center" vertical="center" wrapText="1"/>
    </xf>
    <xf numFmtId="0" fontId="207" fillId="207" borderId="161" xfId="60" applyFont="1" applyFill="1" applyBorder="1" applyAlignment="1">
      <alignment horizontal="center" vertical="center" wrapText="1"/>
    </xf>
    <xf numFmtId="0" fontId="207" fillId="207" borderId="162" xfId="60" applyFont="1" applyFill="1" applyBorder="1" applyAlignment="1">
      <alignment horizontal="center" vertical="center" wrapText="1"/>
    </xf>
    <xf numFmtId="0" fontId="207" fillId="179" borderId="161" xfId="60" applyFont="1" applyFill="1" applyBorder="1" applyAlignment="1">
      <alignment horizontal="center" vertical="center" wrapText="1"/>
    </xf>
    <xf numFmtId="0" fontId="207" fillId="179" borderId="162" xfId="60" applyFont="1" applyFill="1" applyBorder="1" applyAlignment="1">
      <alignment horizontal="center" vertical="center" wrapText="1"/>
    </xf>
    <xf numFmtId="0" fontId="176" fillId="167" borderId="205" xfId="60" applyFont="1" applyFill="1" applyBorder="1" applyAlignment="1">
      <alignment horizontal="center" vertical="center" wrapText="1"/>
    </xf>
    <xf numFmtId="0" fontId="176" fillId="167" borderId="159" xfId="60" applyFont="1" applyFill="1" applyAlignment="1">
      <alignment horizontal="center" vertical="center" wrapText="1"/>
    </xf>
    <xf numFmtId="0" fontId="190" fillId="178" borderId="209" xfId="60" applyFont="1" applyFill="1" applyBorder="1" applyAlignment="1">
      <alignment horizontal="center" vertical="center" wrapText="1"/>
    </xf>
    <xf numFmtId="0" fontId="190" fillId="178" borderId="190" xfId="60" applyFont="1" applyFill="1" applyBorder="1" applyAlignment="1">
      <alignment horizontal="center" vertical="center" wrapText="1"/>
    </xf>
    <xf numFmtId="0" fontId="190" fillId="167" borderId="159" xfId="60" applyFont="1" applyFill="1" applyAlignment="1">
      <alignment horizontal="left" vertical="center" wrapText="1"/>
    </xf>
    <xf numFmtId="0" fontId="190" fillId="167" borderId="202" xfId="60" applyFont="1" applyFill="1" applyBorder="1" applyAlignment="1">
      <alignment horizontal="left" vertical="center" wrapText="1"/>
    </xf>
    <xf numFmtId="0" fontId="176" fillId="167" borderId="185" xfId="60" applyFont="1" applyFill="1" applyBorder="1" applyAlignment="1">
      <alignment horizontal="center" vertical="center" wrapText="1"/>
    </xf>
    <xf numFmtId="0" fontId="176" fillId="167" borderId="186" xfId="60" applyFont="1" applyFill="1" applyBorder="1" applyAlignment="1">
      <alignment horizontal="center" vertical="center" wrapText="1"/>
    </xf>
    <xf numFmtId="0" fontId="176" fillId="167" borderId="192" xfId="60" applyFont="1" applyFill="1" applyBorder="1" applyAlignment="1">
      <alignment horizontal="center" vertical="center" wrapText="1"/>
    </xf>
    <xf numFmtId="0" fontId="176" fillId="167" borderId="210" xfId="60" applyFont="1" applyFill="1" applyBorder="1" applyAlignment="1">
      <alignment horizontal="center" vertical="center" wrapText="1"/>
    </xf>
    <xf numFmtId="0" fontId="190" fillId="178" borderId="168" xfId="60" applyFont="1" applyFill="1" applyBorder="1" applyAlignment="1">
      <alignment horizontal="center" vertical="center" wrapText="1"/>
    </xf>
    <xf numFmtId="0" fontId="190" fillId="167" borderId="189" xfId="60" applyFont="1" applyFill="1" applyBorder="1" applyAlignment="1">
      <alignment horizontal="left" vertical="center" wrapText="1"/>
    </xf>
    <xf numFmtId="0" fontId="190" fillId="167" borderId="190" xfId="60" applyFont="1" applyFill="1" applyBorder="1" applyAlignment="1">
      <alignment horizontal="left" vertical="center" wrapText="1"/>
    </xf>
    <xf numFmtId="0" fontId="190" fillId="167" borderId="195" xfId="60" applyFont="1" applyFill="1" applyBorder="1" applyAlignment="1">
      <alignment horizontal="left" vertical="center" wrapText="1"/>
    </xf>
    <xf numFmtId="0" fontId="176" fillId="167" borderId="187" xfId="60" applyFont="1" applyFill="1" applyBorder="1" applyAlignment="1">
      <alignment horizontal="center" vertical="center" wrapText="1"/>
    </xf>
    <xf numFmtId="0" fontId="184" fillId="166" borderId="159" xfId="60" applyFont="1" applyFill="1" applyAlignment="1">
      <alignment horizontal="center"/>
    </xf>
    <xf numFmtId="0" fontId="183" fillId="166" borderId="159" xfId="60" applyFont="1" applyFill="1" applyAlignment="1">
      <alignment horizontal="center" vertical="center"/>
    </xf>
    <xf numFmtId="0" fontId="183" fillId="166" borderId="165" xfId="60" applyFont="1" applyFill="1" applyBorder="1" applyAlignment="1">
      <alignment horizontal="center"/>
    </xf>
    <xf numFmtId="0" fontId="194" fillId="167" borderId="185" xfId="60" applyFont="1" applyFill="1" applyBorder="1" applyAlignment="1">
      <alignment horizontal="left" vertical="center" wrapText="1"/>
    </xf>
    <xf numFmtId="0" fontId="194" fillId="167" borderId="186" xfId="60" applyFont="1" applyFill="1" applyBorder="1" applyAlignment="1">
      <alignment horizontal="left" vertical="center" wrapText="1"/>
    </xf>
    <xf numFmtId="0" fontId="194" fillId="167" borderId="210" xfId="60" applyFont="1" applyFill="1" applyBorder="1" applyAlignment="1">
      <alignment horizontal="left" vertical="center" wrapText="1"/>
    </xf>
    <xf numFmtId="0" fontId="181" fillId="193" borderId="167" xfId="60" applyFont="1" applyFill="1" applyBorder="1" applyAlignment="1">
      <alignment horizontal="center" vertical="center" wrapText="1"/>
    </xf>
    <xf numFmtId="0" fontId="181" fillId="193" borderId="170" xfId="60" applyFont="1" applyFill="1" applyBorder="1" applyAlignment="1">
      <alignment horizontal="center" vertical="center" wrapText="1"/>
    </xf>
    <xf numFmtId="0" fontId="199" fillId="167" borderId="199" xfId="60" applyFont="1" applyFill="1" applyBorder="1" applyAlignment="1">
      <alignment horizontal="center" vertical="center" wrapText="1"/>
    </xf>
    <xf numFmtId="0" fontId="195" fillId="167" borderId="200" xfId="60" applyFont="1" applyFill="1" applyBorder="1" applyAlignment="1">
      <alignment horizontal="center" vertical="center" wrapText="1"/>
    </xf>
    <xf numFmtId="0" fontId="195" fillId="167" borderId="201" xfId="60" applyFont="1" applyFill="1" applyBorder="1" applyAlignment="1">
      <alignment horizontal="center" vertical="center" wrapText="1"/>
    </xf>
    <xf numFmtId="0" fontId="195" fillId="167" borderId="202" xfId="60" applyFont="1" applyFill="1" applyBorder="1" applyAlignment="1">
      <alignment horizontal="center" vertical="center" wrapText="1"/>
    </xf>
    <xf numFmtId="0" fontId="176" fillId="167" borderId="161" xfId="60" applyFont="1" applyFill="1" applyBorder="1" applyAlignment="1">
      <alignment horizontal="center" vertical="center" wrapText="1"/>
    </xf>
    <xf numFmtId="0" fontId="176" fillId="167" borderId="162" xfId="60" applyFont="1" applyFill="1" applyBorder="1" applyAlignment="1">
      <alignment horizontal="center" vertical="center" wrapText="1"/>
    </xf>
    <xf numFmtId="0" fontId="176" fillId="207" borderId="161" xfId="60" applyFont="1" applyFill="1" applyBorder="1" applyAlignment="1">
      <alignment horizontal="center" vertical="center" wrapText="1"/>
    </xf>
    <xf numFmtId="0" fontId="176" fillId="207" borderId="162" xfId="60" applyFont="1" applyFill="1" applyBorder="1" applyAlignment="1">
      <alignment horizontal="center" vertical="center" wrapText="1"/>
    </xf>
    <xf numFmtId="0" fontId="176" fillId="179" borderId="161" xfId="60" applyFont="1" applyFill="1" applyBorder="1" applyAlignment="1">
      <alignment horizontal="center" vertical="center" wrapText="1"/>
    </xf>
    <xf numFmtId="0" fontId="176" fillId="179" borderId="162" xfId="60" applyFont="1" applyFill="1" applyBorder="1" applyAlignment="1">
      <alignment horizontal="center" vertical="center" wrapText="1"/>
    </xf>
    <xf numFmtId="0" fontId="181" fillId="178" borderId="161" xfId="60" applyFont="1" applyFill="1" applyBorder="1" applyAlignment="1">
      <alignment horizontal="center" vertical="center" wrapText="1"/>
    </xf>
    <xf numFmtId="0" fontId="181" fillId="178" borderId="169" xfId="60" applyFont="1" applyFill="1" applyBorder="1" applyAlignment="1">
      <alignment horizontal="center" vertical="center" wrapText="1"/>
    </xf>
    <xf numFmtId="0" fontId="181" fillId="178" borderId="196" xfId="60" applyFont="1" applyFill="1" applyBorder="1" applyAlignment="1">
      <alignment horizontal="center" vertical="center" wrapText="1"/>
    </xf>
    <xf numFmtId="0" fontId="194" fillId="167" borderId="187" xfId="60" applyFont="1" applyFill="1" applyBorder="1" applyAlignment="1">
      <alignment horizontal="left" vertical="center" wrapText="1"/>
    </xf>
    <xf numFmtId="0" fontId="194" fillId="167" borderId="168" xfId="60" applyFont="1" applyFill="1" applyBorder="1" applyAlignment="1">
      <alignment horizontal="left" vertical="center" wrapText="1"/>
    </xf>
    <xf numFmtId="0" fontId="194" fillId="167" borderId="160" xfId="60" applyFont="1" applyFill="1" applyBorder="1" applyAlignment="1">
      <alignment horizontal="left" vertical="center" wrapText="1"/>
    </xf>
    <xf numFmtId="0" fontId="194" fillId="167" borderId="181" xfId="60" applyFont="1" applyFill="1" applyBorder="1" applyAlignment="1">
      <alignment horizontal="left" vertical="center" wrapText="1"/>
    </xf>
    <xf numFmtId="0" fontId="194" fillId="167" borderId="166" xfId="60" applyFont="1" applyFill="1" applyBorder="1" applyAlignment="1">
      <alignment horizontal="left" vertical="center" wrapText="1"/>
    </xf>
    <xf numFmtId="0" fontId="226" fillId="166" borderId="159" xfId="60" applyFont="1" applyFill="1" applyAlignment="1">
      <alignment horizontal="center" vertical="center"/>
    </xf>
    <xf numFmtId="0" fontId="199" fillId="167" borderId="199" xfId="60" applyFont="1" applyFill="1" applyBorder="1" applyAlignment="1">
      <alignment horizontal="center" vertical="center" wrapText="1"/>
    </xf>
    <xf numFmtId="0" fontId="199" fillId="167" borderId="207" xfId="60" applyFont="1" applyFill="1" applyBorder="1" applyAlignment="1">
      <alignment horizontal="center" vertical="center" wrapText="1"/>
    </xf>
    <xf numFmtId="0" fontId="181" fillId="167" borderId="167" xfId="60" applyFont="1" applyFill="1" applyBorder="1" applyAlignment="1">
      <alignment horizontal="center" vertical="center"/>
    </xf>
    <xf numFmtId="0" fontId="181" fillId="167" borderId="168" xfId="60" applyFont="1" applyFill="1" applyBorder="1" applyAlignment="1">
      <alignment horizontal="center" vertical="center"/>
    </xf>
    <xf numFmtId="0" fontId="203" fillId="197" borderId="159" xfId="60" applyFont="1" applyFill="1" applyAlignment="1">
      <alignment horizontal="left" vertical="center"/>
    </xf>
    <xf numFmtId="0" fontId="203" fillId="198" borderId="159" xfId="60" applyFont="1" applyFill="1" applyAlignment="1">
      <alignment horizontal="left" vertical="center"/>
    </xf>
    <xf numFmtId="0" fontId="203" fillId="195" borderId="159" xfId="60" applyFont="1" applyFill="1" applyAlignment="1">
      <alignment horizontal="left" vertical="center"/>
    </xf>
    <xf numFmtId="0" fontId="203" fillId="196" borderId="159" xfId="60" applyFont="1" applyFill="1" applyAlignment="1">
      <alignment horizontal="left" vertical="center"/>
    </xf>
    <xf numFmtId="0" fontId="203" fillId="171" borderId="159" xfId="60" applyFont="1" applyFill="1" applyAlignment="1">
      <alignment horizontal="left" vertical="center"/>
    </xf>
    <xf numFmtId="0" fontId="215" fillId="176" borderId="168" xfId="60" applyFont="1" applyFill="1" applyBorder="1" applyAlignment="1">
      <alignment horizontal="left" vertical="center" wrapText="1"/>
    </xf>
    <xf numFmtId="0" fontId="215" fillId="209" borderId="168" xfId="60" applyFont="1" applyFill="1" applyBorder="1" applyAlignment="1">
      <alignment horizontal="center" vertical="center" wrapText="1"/>
    </xf>
    <xf numFmtId="0" fontId="230" fillId="162" borderId="159" xfId="60" applyNumberFormat="1" applyFont="1" applyFill="1" applyBorder="1"/>
    <xf numFmtId="0" fontId="231" fillId="162" borderId="159" xfId="60" applyNumberFormat="1" applyFont="1" applyFill="1" applyBorder="1"/>
    <xf numFmtId="0" fontId="232" fillId="162" borderId="159" xfId="60" applyNumberFormat="1" applyFont="1" applyFill="1" applyBorder="1"/>
    <xf numFmtId="0" fontId="230" fillId="215" borderId="159" xfId="60" applyNumberFormat="1" applyFont="1" applyFill="1" applyBorder="1"/>
    <xf numFmtId="0" fontId="233" fillId="215" borderId="159" xfId="60" applyNumberFormat="1" applyFont="1" applyFill="1" applyBorder="1"/>
    <xf numFmtId="0" fontId="233" fillId="215" borderId="159" xfId="60" applyNumberFormat="1" applyFont="1" applyFill="1" applyBorder="1" applyAlignment="1">
      <alignment wrapText="1"/>
    </xf>
    <xf numFmtId="0" fontId="233" fillId="215" borderId="159" xfId="60" applyNumberFormat="1" applyFont="1" applyFill="1" applyBorder="1" applyAlignment="1">
      <alignment vertical="center" wrapText="1"/>
    </xf>
    <xf numFmtId="165" fontId="230" fillId="162" borderId="159" xfId="60" applyNumberFormat="1" applyFont="1" applyFill="1" applyBorder="1"/>
    <xf numFmtId="0" fontId="230" fillId="162" borderId="159" xfId="60" applyNumberFormat="1" applyFont="1" applyFill="1" applyBorder="1" applyAlignment="1">
      <alignment horizontal="right"/>
    </xf>
    <xf numFmtId="165" fontId="230" fillId="162" borderId="159" xfId="60" applyNumberFormat="1" applyFont="1" applyFill="1" applyBorder="1" applyAlignment="1">
      <alignment horizontal="right"/>
    </xf>
    <xf numFmtId="0" fontId="230" fillId="216" borderId="159" xfId="60" applyNumberFormat="1" applyFont="1" applyFill="1" applyBorder="1"/>
    <xf numFmtId="0" fontId="230" fillId="216" borderId="159" xfId="60" applyNumberFormat="1" applyFont="1" applyFill="1" applyBorder="1" applyAlignment="1">
      <alignment horizontal="right"/>
    </xf>
    <xf numFmtId="165" fontId="230" fillId="216" borderId="159" xfId="60" applyNumberFormat="1" applyFont="1" applyFill="1" applyBorder="1" applyAlignment="1">
      <alignment horizontal="right"/>
    </xf>
    <xf numFmtId="0" fontId="234" fillId="216" borderId="159" xfId="60" applyNumberFormat="1" applyFont="1" applyFill="1" applyBorder="1"/>
    <xf numFmtId="0" fontId="234" fillId="216" borderId="159" xfId="60" applyNumberFormat="1" applyFont="1" applyFill="1" applyBorder="1" applyAlignment="1">
      <alignment horizontal="right"/>
    </xf>
    <xf numFmtId="165" fontId="234" fillId="216" borderId="159" xfId="60" applyNumberFormat="1" applyFont="1" applyFill="1" applyBorder="1" applyAlignment="1">
      <alignment horizontal="right"/>
    </xf>
    <xf numFmtId="0" fontId="230" fillId="217" borderId="159" xfId="60" applyNumberFormat="1" applyFont="1" applyFill="1" applyBorder="1"/>
    <xf numFmtId="0" fontId="230" fillId="217" borderId="159" xfId="60" applyNumberFormat="1" applyFont="1" applyFill="1" applyBorder="1" applyAlignment="1">
      <alignment horizontal="right"/>
    </xf>
    <xf numFmtId="165" fontId="230" fillId="217" borderId="159" xfId="60" applyNumberFormat="1" applyFont="1" applyFill="1" applyBorder="1" applyAlignment="1">
      <alignment horizontal="right"/>
    </xf>
    <xf numFmtId="0" fontId="230" fillId="217" borderId="159" xfId="60" applyNumberFormat="1" applyFont="1" applyFill="1" applyBorder="1" applyAlignment="1">
      <alignment wrapText="1"/>
    </xf>
    <xf numFmtId="0" fontId="230" fillId="162" borderId="159" xfId="60" applyNumberFormat="1" applyFont="1" applyFill="1" applyBorder="1" applyAlignment="1">
      <alignment wrapText="1"/>
    </xf>
    <xf numFmtId="165" fontId="230" fillId="217" borderId="159" xfId="60" applyNumberFormat="1" applyFont="1" applyFill="1" applyBorder="1"/>
    <xf numFmtId="166" fontId="230" fillId="162" borderId="159" xfId="60" applyNumberFormat="1" applyFont="1" applyFill="1" applyBorder="1"/>
    <xf numFmtId="166" fontId="230" fillId="217" borderId="159" xfId="60" applyNumberFormat="1" applyFont="1" applyFill="1" applyBorder="1"/>
    <xf numFmtId="0" fontId="235" fillId="162" borderId="159" xfId="60" applyNumberFormat="1" applyFont="1" applyFill="1" applyBorder="1"/>
    <xf numFmtId="0" fontId="236" fillId="114" borderId="108" xfId="40" applyNumberFormat="1" applyFont="1" applyFill="1" applyBorder="1" applyAlignment="1">
      <alignment horizontal="right" vertical="center" wrapText="1"/>
    </xf>
    <xf numFmtId="0" fontId="236" fillId="114" borderId="109" xfId="40" applyNumberFormat="1" applyFont="1" applyFill="1" applyBorder="1" applyAlignment="1">
      <alignment horizontal="right" vertical="center" wrapText="1"/>
    </xf>
    <xf numFmtId="0" fontId="237" fillId="114" borderId="108" xfId="40" applyNumberFormat="1" applyFont="1" applyFill="1" applyBorder="1" applyAlignment="1">
      <alignment horizontal="center" vertical="center" wrapText="1"/>
    </xf>
    <xf numFmtId="0" fontId="237" fillId="114" borderId="109" xfId="40" applyNumberFormat="1" applyFont="1" applyFill="1" applyBorder="1" applyAlignment="1">
      <alignment horizontal="center" vertical="center" wrapText="1"/>
    </xf>
    <xf numFmtId="0" fontId="237" fillId="154" borderId="108" xfId="40" applyNumberFormat="1" applyFont="1" applyFill="1" applyBorder="1" applyAlignment="1">
      <alignment horizontal="center" vertical="center" wrapText="1"/>
    </xf>
    <xf numFmtId="0" fontId="237" fillId="154" borderId="109" xfId="40" applyNumberFormat="1" applyFont="1" applyFill="1" applyBorder="1" applyAlignment="1">
      <alignment horizontal="center" vertical="center" wrapText="1"/>
    </xf>
    <xf numFmtId="0" fontId="237" fillId="126" borderId="108" xfId="40" applyNumberFormat="1" applyFont="1" applyFill="1" applyBorder="1" applyAlignment="1">
      <alignment horizontal="center" vertical="center" wrapText="1"/>
    </xf>
    <xf numFmtId="0" fontId="237" fillId="126" borderId="109" xfId="40" applyNumberFormat="1" applyFont="1" applyFill="1" applyBorder="1" applyAlignment="1">
      <alignment horizontal="center" vertical="center" wrapText="1"/>
    </xf>
    <xf numFmtId="0" fontId="237" fillId="115" borderId="108" xfId="40" applyNumberFormat="1" applyFont="1" applyFill="1" applyBorder="1" applyAlignment="1">
      <alignment horizontal="center" vertical="center" wrapText="1"/>
    </xf>
    <xf numFmtId="0" fontId="237" fillId="115" borderId="150" xfId="40" applyNumberFormat="1" applyFont="1" applyFill="1" applyBorder="1" applyAlignment="1">
      <alignment vertical="center" wrapText="1"/>
    </xf>
    <xf numFmtId="0" fontId="237" fillId="125" borderId="156" xfId="40" applyNumberFormat="1" applyFont="1" applyFill="1" applyBorder="1" applyAlignment="1">
      <alignment horizontal="center" vertical="center" wrapText="1"/>
    </xf>
    <xf numFmtId="0" fontId="236" fillId="114" borderId="110" xfId="40" applyNumberFormat="1" applyFont="1" applyFill="1" applyBorder="1" applyAlignment="1">
      <alignment horizontal="right" vertical="center" wrapText="1"/>
    </xf>
    <xf numFmtId="0" fontId="236" fillId="114" borderId="111" xfId="40" applyNumberFormat="1" applyFont="1" applyFill="1" applyBorder="1" applyAlignment="1">
      <alignment horizontal="right" vertical="center" wrapText="1"/>
    </xf>
    <xf numFmtId="0" fontId="237" fillId="114" borderId="110" xfId="40" applyNumberFormat="1" applyFont="1" applyFill="1" applyBorder="1" applyAlignment="1">
      <alignment horizontal="center" vertical="center" wrapText="1"/>
    </xf>
    <xf numFmtId="0" fontId="237" fillId="114" borderId="155" xfId="40" applyNumberFormat="1" applyFont="1" applyFill="1" applyBorder="1" applyAlignment="1">
      <alignment horizontal="center" vertical="center" wrapText="1"/>
    </xf>
    <xf numFmtId="0" fontId="237" fillId="154" borderId="138" xfId="40" applyNumberFormat="1" applyFont="1" applyFill="1" applyBorder="1" applyAlignment="1">
      <alignment horizontal="center" vertical="center" wrapText="1"/>
    </xf>
    <xf numFmtId="0" fontId="237" fillId="154" borderId="155" xfId="40" applyNumberFormat="1" applyFont="1" applyFill="1" applyBorder="1" applyAlignment="1">
      <alignment horizontal="center" vertical="center" wrapText="1"/>
    </xf>
    <xf numFmtId="0" fontId="237" fillId="152" borderId="138" xfId="40" applyNumberFormat="1" applyFont="1" applyFill="1" applyBorder="1" applyAlignment="1">
      <alignment horizontal="center" vertical="center" wrapText="1"/>
    </xf>
    <xf numFmtId="0" fontId="237" fillId="152" borderId="155" xfId="40" applyNumberFormat="1" applyFont="1" applyFill="1" applyBorder="1" applyAlignment="1">
      <alignment horizontal="center" vertical="center" wrapText="1"/>
    </xf>
    <xf numFmtId="0" fontId="237" fillId="115" borderId="110" xfId="40" applyNumberFormat="1" applyFont="1" applyFill="1" applyBorder="1" applyAlignment="1">
      <alignment horizontal="center" vertical="center" wrapText="1"/>
    </xf>
    <xf numFmtId="0" fontId="236" fillId="109" borderId="118" xfId="40" applyNumberFormat="1" applyFont="1" applyFill="1" applyBorder="1"/>
    <xf numFmtId="0" fontId="237" fillId="116" borderId="118" xfId="40" applyNumberFormat="1" applyFont="1" applyFill="1" applyBorder="1" applyAlignment="1">
      <alignment horizontal="center" vertical="center" wrapText="1"/>
    </xf>
    <xf numFmtId="0" fontId="237" fillId="122" borderId="118" xfId="40" applyNumberFormat="1" applyFont="1" applyFill="1" applyBorder="1" applyAlignment="1">
      <alignment horizontal="center" vertical="center" wrapText="1"/>
    </xf>
    <xf numFmtId="0" fontId="237" fillId="117" borderId="118" xfId="40" applyNumberFormat="1" applyFont="1" applyFill="1" applyBorder="1" applyAlignment="1">
      <alignment horizontal="center" vertical="center" wrapText="1"/>
    </xf>
    <xf numFmtId="0" fontId="237" fillId="119" borderId="118" xfId="40" applyNumberFormat="1" applyFont="1" applyFill="1" applyBorder="1" applyAlignment="1">
      <alignment horizontal="center" vertical="center" wrapText="1"/>
    </xf>
    <xf numFmtId="0" fontId="237" fillId="118" borderId="118" xfId="40" applyNumberFormat="1" applyFont="1" applyFill="1" applyBorder="1" applyAlignment="1">
      <alignment horizontal="center" vertical="center" wrapText="1"/>
    </xf>
    <xf numFmtId="0" fontId="237" fillId="120" borderId="118" xfId="40" applyNumberFormat="1" applyFont="1" applyFill="1" applyBorder="1" applyAlignment="1">
      <alignment horizontal="center" vertical="center" wrapText="1"/>
    </xf>
    <xf numFmtId="0" fontId="237" fillId="121" borderId="118" xfId="40" applyNumberFormat="1" applyFont="1" applyFill="1" applyBorder="1" applyAlignment="1">
      <alignment horizontal="center" vertical="center" wrapText="1"/>
    </xf>
    <xf numFmtId="0" fontId="236" fillId="113" borderId="118" xfId="40" applyNumberFormat="1" applyFont="1" applyFill="1" applyBorder="1"/>
    <xf numFmtId="0" fontId="237" fillId="125" borderId="118" xfId="40" applyNumberFormat="1" applyFont="1" applyFill="1" applyBorder="1" applyAlignment="1">
      <alignment horizontal="center" vertical="center" wrapText="1"/>
    </xf>
    <xf numFmtId="0" fontId="237" fillId="114" borderId="107" xfId="40" applyNumberFormat="1" applyFont="1" applyFill="1" applyBorder="1" applyAlignment="1">
      <alignment horizontal="left" vertical="center" wrapText="1"/>
    </xf>
    <xf numFmtId="0" fontId="237" fillId="114" borderId="128" xfId="40" applyNumberFormat="1" applyFont="1" applyFill="1" applyBorder="1" applyAlignment="1">
      <alignment horizontal="left" vertical="center" wrapText="1"/>
    </xf>
    <xf numFmtId="0" fontId="237" fillId="114" borderId="112" xfId="40" applyNumberFormat="1" applyFont="1" applyFill="1" applyBorder="1" applyAlignment="1">
      <alignment horizontal="left" vertical="center" wrapText="1"/>
    </xf>
    <xf numFmtId="0" fontId="236" fillId="113" borderId="130" xfId="40" applyNumberFormat="1" applyFont="1" applyFill="1" applyBorder="1" applyAlignment="1">
      <alignment horizontal="center" vertical="center" wrapText="1"/>
    </xf>
    <xf numFmtId="0" fontId="237" fillId="109" borderId="156" xfId="40" applyNumberFormat="1" applyFont="1" applyFill="1" applyBorder="1" applyAlignment="1">
      <alignment vertical="center" wrapText="1"/>
    </xf>
    <xf numFmtId="0" fontId="236" fillId="123" borderId="115" xfId="40" applyNumberFormat="1" applyFont="1" applyFill="1" applyBorder="1" applyAlignment="1">
      <alignment horizontal="left" vertical="center" wrapText="1"/>
    </xf>
    <xf numFmtId="0" fontId="236" fillId="114" borderId="115" xfId="40" applyNumberFormat="1" applyFont="1" applyFill="1" applyBorder="1" applyAlignment="1">
      <alignment horizontal="center" vertical="center" wrapText="1"/>
    </xf>
    <xf numFmtId="0" fontId="236" fillId="154" borderId="115" xfId="40" applyNumberFormat="1" applyFont="1" applyFill="1" applyBorder="1" applyAlignment="1">
      <alignment horizontal="center" vertical="center" wrapText="1"/>
    </xf>
    <xf numFmtId="0" fontId="236" fillId="160" borderId="115" xfId="40" applyNumberFormat="1" applyFont="1" applyFill="1" applyBorder="1" applyAlignment="1">
      <alignment horizontal="left" vertical="center" wrapText="1"/>
    </xf>
    <xf numFmtId="0" fontId="236" fillId="126" borderId="115" xfId="40" applyNumberFormat="1" applyFont="1" applyFill="1" applyBorder="1" applyAlignment="1">
      <alignment horizontal="center" vertical="center" wrapText="1"/>
    </xf>
    <xf numFmtId="0" fontId="236" fillId="126" borderId="115" xfId="40" applyNumberFormat="1" applyFont="1" applyFill="1" applyBorder="1" applyAlignment="1">
      <alignment vertical="center" wrapText="1"/>
    </xf>
    <xf numFmtId="0" fontId="236" fillId="113" borderId="115" xfId="40" applyNumberFormat="1" applyFont="1" applyFill="1" applyBorder="1" applyAlignment="1">
      <alignment horizontal="center" vertical="center" wrapText="1"/>
    </xf>
    <xf numFmtId="0" fontId="236" fillId="109" borderId="115" xfId="40" applyNumberFormat="1" applyFont="1" applyFill="1" applyBorder="1"/>
    <xf numFmtId="0" fontId="236" fillId="109" borderId="115" xfId="40" applyNumberFormat="1" applyFont="1" applyFill="1" applyBorder="1" applyAlignment="1">
      <alignment wrapText="1"/>
    </xf>
    <xf numFmtId="0" fontId="236" fillId="113" borderId="115" xfId="40" applyNumberFormat="1" applyFont="1" applyFill="1" applyBorder="1"/>
    <xf numFmtId="0" fontId="236" fillId="125" borderId="115" xfId="40" applyNumberFormat="1" applyFont="1" applyFill="1" applyBorder="1" applyAlignment="1">
      <alignment vertical="center" wrapText="1"/>
    </xf>
    <xf numFmtId="0" fontId="236" fillId="113" borderId="114" xfId="40" applyNumberFormat="1" applyFont="1" applyFill="1" applyBorder="1" applyAlignment="1">
      <alignment horizontal="center" vertical="center" wrapText="1"/>
    </xf>
    <xf numFmtId="0" fontId="237" fillId="109" borderId="127" xfId="40" applyNumberFormat="1" applyFont="1" applyFill="1" applyBorder="1" applyAlignment="1">
      <alignment vertical="center" wrapText="1"/>
    </xf>
    <xf numFmtId="0" fontId="236" fillId="150" borderId="115" xfId="40" applyNumberFormat="1" applyFont="1" applyFill="1" applyBorder="1"/>
    <xf numFmtId="0" fontId="236" fillId="150" borderId="115" xfId="40" applyNumberFormat="1" applyFont="1" applyFill="1" applyBorder="1" applyAlignment="1">
      <alignment wrapText="1"/>
    </xf>
    <xf numFmtId="0" fontId="237" fillId="113" borderId="127" xfId="40" applyNumberFormat="1" applyFont="1" applyFill="1" applyBorder="1" applyAlignment="1">
      <alignment vertical="center" wrapText="1"/>
    </xf>
    <xf numFmtId="0" fontId="236" fillId="131" borderId="115" xfId="40" applyNumberFormat="1" applyFont="1" applyFill="1" applyBorder="1"/>
    <xf numFmtId="0" fontId="236" fillId="131" borderId="115" xfId="40" applyNumberFormat="1" applyFont="1" applyFill="1" applyBorder="1" applyAlignment="1">
      <alignment wrapText="1"/>
    </xf>
    <xf numFmtId="0" fontId="236" fillId="125" borderId="115" xfId="40" applyNumberFormat="1" applyFont="1" applyFill="1" applyBorder="1" applyAlignment="1">
      <alignment horizontal="left" vertical="center" wrapText="1"/>
    </xf>
    <xf numFmtId="0" fontId="236" fillId="113" borderId="119" xfId="40" applyNumberFormat="1" applyFont="1" applyFill="1" applyBorder="1" applyAlignment="1">
      <alignment horizontal="center" vertical="center" wrapText="1"/>
    </xf>
    <xf numFmtId="0" fontId="237" fillId="109" borderId="144" xfId="40" applyNumberFormat="1" applyFont="1" applyFill="1" applyBorder="1" applyAlignment="1">
      <alignment vertical="center" wrapText="1"/>
    </xf>
    <xf numFmtId="0" fontId="238" fillId="113" borderId="130" xfId="40" applyNumberFormat="1" applyFont="1" applyFill="1" applyBorder="1" applyAlignment="1">
      <alignment horizontal="center" vertical="center" wrapText="1"/>
    </xf>
    <xf numFmtId="0" fontId="238" fillId="109" borderId="156" xfId="40" applyNumberFormat="1" applyFont="1" applyFill="1" applyBorder="1" applyAlignment="1">
      <alignment vertical="center" wrapText="1"/>
    </xf>
    <xf numFmtId="0" fontId="238" fillId="123" borderId="115" xfId="40" applyNumberFormat="1" applyFont="1" applyFill="1" applyBorder="1" applyAlignment="1">
      <alignment horizontal="left" vertical="center" wrapText="1"/>
    </xf>
    <xf numFmtId="0" fontId="238" fillId="114" borderId="115" xfId="40" applyNumberFormat="1" applyFont="1" applyFill="1" applyBorder="1" applyAlignment="1">
      <alignment horizontal="center" vertical="center" wrapText="1"/>
    </xf>
    <xf numFmtId="0" fontId="238" fillId="154" borderId="115" xfId="40" applyNumberFormat="1" applyFont="1" applyFill="1" applyBorder="1" applyAlignment="1">
      <alignment horizontal="center" vertical="center" wrapText="1"/>
    </xf>
    <xf numFmtId="0" fontId="238" fillId="160" borderId="115" xfId="40" applyNumberFormat="1" applyFont="1" applyFill="1" applyBorder="1" applyAlignment="1">
      <alignment horizontal="left" vertical="center" wrapText="1"/>
    </xf>
    <xf numFmtId="0" fontId="238" fillId="126" borderId="115" xfId="40" applyNumberFormat="1" applyFont="1" applyFill="1" applyBorder="1" applyAlignment="1">
      <alignment horizontal="center" vertical="center" wrapText="1"/>
    </xf>
    <xf numFmtId="0" fontId="238" fillId="126" borderId="115" xfId="40" applyNumberFormat="1" applyFont="1" applyFill="1" applyBorder="1" applyAlignment="1">
      <alignment vertical="center" wrapText="1"/>
    </xf>
    <xf numFmtId="0" fontId="238" fillId="113" borderId="115" xfId="40" applyNumberFormat="1" applyFont="1" applyFill="1" applyBorder="1" applyAlignment="1">
      <alignment horizontal="center" vertical="center" wrapText="1"/>
    </xf>
    <xf numFmtId="0" fontId="238" fillId="109" borderId="115" xfId="40" applyNumberFormat="1" applyFont="1" applyFill="1" applyBorder="1"/>
    <xf numFmtId="0" fontId="238" fillId="109" borderId="115" xfId="40" applyNumberFormat="1" applyFont="1" applyFill="1" applyBorder="1" applyAlignment="1">
      <alignment wrapText="1"/>
    </xf>
    <xf numFmtId="0" fontId="238" fillId="113" borderId="115" xfId="40" applyNumberFormat="1" applyFont="1" applyFill="1" applyBorder="1"/>
    <xf numFmtId="0" fontId="238" fillId="125" borderId="115" xfId="40" applyNumberFormat="1" applyFont="1" applyFill="1" applyBorder="1" applyAlignment="1">
      <alignment vertical="center" wrapText="1"/>
    </xf>
    <xf numFmtId="0" fontId="238" fillId="113" borderId="114" xfId="40" applyNumberFormat="1" applyFont="1" applyFill="1" applyBorder="1" applyAlignment="1">
      <alignment horizontal="center" vertical="center" wrapText="1"/>
    </xf>
    <xf numFmtId="0" fontId="238" fillId="109" borderId="127" xfId="40" applyNumberFormat="1" applyFont="1" applyFill="1" applyBorder="1" applyAlignment="1">
      <alignment vertical="center" wrapText="1"/>
    </xf>
    <xf numFmtId="0" fontId="238" fillId="150" borderId="115" xfId="40" applyNumberFormat="1" applyFont="1" applyFill="1" applyBorder="1"/>
    <xf numFmtId="0" fontId="238" fillId="150" borderId="115" xfId="40" applyNumberFormat="1" applyFont="1" applyFill="1" applyBorder="1" applyAlignment="1">
      <alignment wrapText="1"/>
    </xf>
    <xf numFmtId="0" fontId="238" fillId="113" borderId="127" xfId="40" applyNumberFormat="1" applyFont="1" applyFill="1" applyBorder="1" applyAlignment="1">
      <alignment vertical="center" wrapText="1"/>
    </xf>
    <xf numFmtId="0" fontId="238" fillId="131" borderId="115" xfId="40" applyNumberFormat="1" applyFont="1" applyFill="1" applyBorder="1"/>
    <xf numFmtId="0" fontId="238" fillId="131" borderId="115" xfId="40" applyNumberFormat="1" applyFont="1" applyFill="1" applyBorder="1" applyAlignment="1">
      <alignment wrapText="1"/>
    </xf>
    <xf numFmtId="0" fontId="238" fillId="125" borderId="115" xfId="40" applyNumberFormat="1" applyFont="1" applyFill="1" applyBorder="1" applyAlignment="1">
      <alignment horizontal="left" vertical="center" wrapText="1"/>
    </xf>
    <xf numFmtId="0" fontId="238" fillId="113" borderId="119" xfId="40" applyNumberFormat="1" applyFont="1" applyFill="1" applyBorder="1" applyAlignment="1">
      <alignment horizontal="center" vertical="center" wrapText="1"/>
    </xf>
    <xf numFmtId="0" fontId="238" fillId="109" borderId="144" xfId="40" applyNumberFormat="1" applyFont="1" applyFill="1" applyBorder="1" applyAlignment="1">
      <alignment vertical="center" wrapText="1"/>
    </xf>
    <xf numFmtId="0" fontId="144" fillId="218" borderId="107" xfId="40" applyNumberFormat="1" applyFont="1" applyFill="1" applyBorder="1" applyAlignment="1">
      <alignment horizontal="left" vertical="center" wrapText="1"/>
    </xf>
    <xf numFmtId="0" fontId="144" fillId="218" borderId="128" xfId="40" applyNumberFormat="1" applyFont="1" applyFill="1" applyBorder="1" applyAlignment="1">
      <alignment horizontal="left" vertical="center" wrapText="1"/>
    </xf>
    <xf numFmtId="0" fontId="144" fillId="218" borderId="113" xfId="40" applyNumberFormat="1" applyFont="1" applyFill="1" applyBorder="1" applyAlignment="1">
      <alignment horizontal="left" vertical="center" wrapText="1"/>
    </xf>
    <xf numFmtId="0" fontId="123" fillId="218" borderId="106" xfId="40" applyNumberFormat="1" applyFont="1" applyFill="1" applyBorder="1" applyAlignment="1">
      <alignment horizontal="justify"/>
    </xf>
    <xf numFmtId="0" fontId="120" fillId="218" borderId="152" xfId="40" applyNumberFormat="1" applyFont="1" applyFill="1" applyBorder="1" applyAlignment="1">
      <alignment horizontal="center" vertical="center" wrapText="1"/>
    </xf>
    <xf numFmtId="0" fontId="120" fillId="218" borderId="106" xfId="40" applyNumberFormat="1" applyFont="1" applyFill="1" applyBorder="1" applyAlignment="1">
      <alignment horizontal="center" vertical="center" wrapText="1"/>
    </xf>
    <xf numFmtId="0" fontId="239" fillId="218" borderId="107" xfId="40" applyNumberFormat="1" applyFont="1" applyFill="1" applyBorder="1" applyAlignment="1">
      <alignment horizontal="left" vertical="center" wrapText="1"/>
    </xf>
    <xf numFmtId="0" fontId="239" fillId="218" borderId="128" xfId="40" applyNumberFormat="1" applyFont="1" applyFill="1" applyBorder="1" applyAlignment="1">
      <alignment horizontal="left" vertical="center" wrapText="1"/>
    </xf>
    <xf numFmtId="0" fontId="239" fillId="218" borderId="113" xfId="40" applyNumberFormat="1" applyFont="1" applyFill="1" applyBorder="1" applyAlignment="1">
      <alignment horizontal="left" vertical="center" wrapText="1"/>
    </xf>
    <xf numFmtId="0" fontId="239" fillId="218" borderId="106" xfId="40" applyNumberFormat="1" applyFont="1" applyFill="1" applyBorder="1" applyAlignment="1">
      <alignment horizontal="justify"/>
    </xf>
    <xf numFmtId="0" fontId="239" fillId="218" borderId="152" xfId="40" applyNumberFormat="1" applyFont="1" applyFill="1" applyBorder="1" applyAlignment="1">
      <alignment horizontal="center" vertical="center" wrapText="1"/>
    </xf>
    <xf numFmtId="0" fontId="239" fillId="218" borderId="106" xfId="40" applyNumberFormat="1" applyFont="1" applyFill="1" applyBorder="1" applyAlignment="1">
      <alignment horizontal="center" vertical="center" wrapText="1"/>
    </xf>
    <xf numFmtId="0" fontId="239" fillId="218" borderId="106" xfId="40" applyNumberFormat="1" applyFont="1" applyFill="1" applyBorder="1" applyAlignment="1">
      <alignment horizontal="justify" wrapText="1"/>
    </xf>
    <xf numFmtId="0" fontId="239" fillId="218" borderId="106" xfId="40" applyNumberFormat="1" applyFont="1" applyFill="1" applyBorder="1" applyAlignment="1">
      <alignment horizontal="justify" vertical="center" wrapText="1"/>
    </xf>
    <xf numFmtId="0" fontId="236" fillId="219" borderId="108" xfId="40" applyNumberFormat="1" applyFont="1" applyFill="1" applyBorder="1" applyAlignment="1">
      <alignment horizontal="right" vertical="center" wrapText="1"/>
    </xf>
    <xf numFmtId="0" fontId="236" fillId="219" borderId="109" xfId="40" applyNumberFormat="1" applyFont="1" applyFill="1" applyBorder="1" applyAlignment="1">
      <alignment horizontal="right" vertical="center" wrapText="1"/>
    </xf>
    <xf numFmtId="0" fontId="236" fillId="219" borderId="110" xfId="40" applyNumberFormat="1" applyFont="1" applyFill="1" applyBorder="1" applyAlignment="1">
      <alignment horizontal="right" vertical="center" wrapText="1"/>
    </xf>
    <xf numFmtId="0" fontId="236" fillId="219" borderId="111" xfId="40" applyNumberFormat="1" applyFont="1" applyFill="1" applyBorder="1" applyAlignment="1">
      <alignment horizontal="right" vertical="center" wrapText="1"/>
    </xf>
    <xf numFmtId="0" fontId="240" fillId="219" borderId="108" xfId="40" applyNumberFormat="1" applyFont="1" applyFill="1" applyBorder="1" applyAlignment="1">
      <alignment horizontal="right" vertical="center" wrapText="1"/>
    </xf>
    <xf numFmtId="0" fontId="240" fillId="219" borderId="109" xfId="40" applyNumberFormat="1" applyFont="1" applyFill="1" applyBorder="1" applyAlignment="1">
      <alignment horizontal="right" vertical="center" wrapText="1"/>
    </xf>
    <xf numFmtId="0" fontId="240" fillId="219" borderId="110" xfId="40" applyNumberFormat="1" applyFont="1" applyFill="1" applyBorder="1" applyAlignment="1">
      <alignment horizontal="right" vertical="center" wrapText="1"/>
    </xf>
    <xf numFmtId="0" fontId="240" fillId="219" borderId="111" xfId="40" applyNumberFormat="1" applyFont="1" applyFill="1" applyBorder="1" applyAlignment="1">
      <alignment horizontal="right" vertical="center" wrapText="1"/>
    </xf>
    <xf numFmtId="0" fontId="240" fillId="219" borderId="108" xfId="40" applyNumberFormat="1" applyFont="1" applyFill="1" applyBorder="1" applyAlignment="1">
      <alignment horizontal="center" vertical="center" wrapText="1"/>
    </xf>
    <xf numFmtId="0" fontId="240" fillId="219" borderId="109" xfId="40" applyNumberFormat="1" applyFont="1" applyFill="1" applyBorder="1" applyAlignment="1">
      <alignment horizontal="center" vertical="center" wrapText="1"/>
    </xf>
    <xf numFmtId="0" fontId="240" fillId="219" borderId="110" xfId="40" applyNumberFormat="1" applyFont="1" applyFill="1" applyBorder="1" applyAlignment="1">
      <alignment horizontal="center" vertical="center" wrapText="1"/>
    </xf>
    <xf numFmtId="0" fontId="240" fillId="219" borderId="111" xfId="40" applyNumberFormat="1" applyFont="1" applyFill="1" applyBorder="1" applyAlignment="1">
      <alignment horizontal="center" vertical="center" wrapText="1"/>
    </xf>
    <xf numFmtId="0" fontId="237" fillId="218" borderId="108" xfId="40" applyNumberFormat="1" applyFont="1" applyFill="1" applyBorder="1" applyAlignment="1">
      <alignment horizontal="center" vertical="center" wrapText="1"/>
    </xf>
    <xf numFmtId="0" fontId="237" fillId="218" borderId="109" xfId="40" applyNumberFormat="1" applyFont="1" applyFill="1" applyBorder="1" applyAlignment="1">
      <alignment horizontal="center" vertical="center" wrapText="1"/>
    </xf>
    <xf numFmtId="0" fontId="237" fillId="218" borderId="110" xfId="40" applyNumberFormat="1" applyFont="1" applyFill="1" applyBorder="1" applyAlignment="1">
      <alignment horizontal="center" vertical="center" wrapText="1"/>
    </xf>
    <xf numFmtId="0" fontId="237" fillId="218" borderId="155" xfId="40" applyNumberFormat="1" applyFont="1" applyFill="1" applyBorder="1" applyAlignment="1">
      <alignment horizontal="center" vertical="center" wrapText="1"/>
    </xf>
    <xf numFmtId="0" fontId="237" fillId="220" borderId="108" xfId="40" applyNumberFormat="1" applyFont="1" applyFill="1" applyBorder="1" applyAlignment="1">
      <alignment horizontal="center" vertical="center" wrapText="1"/>
    </xf>
    <xf numFmtId="0" fontId="237" fillId="220" borderId="109" xfId="40" applyNumberFormat="1" applyFont="1" applyFill="1" applyBorder="1" applyAlignment="1">
      <alignment horizontal="center" vertical="center" wrapText="1"/>
    </xf>
    <xf numFmtId="0" fontId="237" fillId="220" borderId="138" xfId="40" applyNumberFormat="1" applyFont="1" applyFill="1" applyBorder="1" applyAlignment="1">
      <alignment horizontal="center" vertical="center" wrapText="1"/>
    </xf>
    <xf numFmtId="0" fontId="237" fillId="220" borderId="155" xfId="40" applyNumberFormat="1" applyFont="1" applyFill="1" applyBorder="1" applyAlignment="1">
      <alignment horizontal="center" vertical="center" wrapText="1"/>
    </xf>
    <xf numFmtId="0" fontId="237" fillId="221" borderId="108" xfId="40" applyNumberFormat="1" applyFont="1" applyFill="1" applyBorder="1" applyAlignment="1">
      <alignment horizontal="center" vertical="center" wrapText="1"/>
    </xf>
    <xf numFmtId="0" fontId="237" fillId="221" borderId="109" xfId="40" applyNumberFormat="1" applyFont="1" applyFill="1" applyBorder="1" applyAlignment="1">
      <alignment horizontal="center" vertical="center" wrapText="1"/>
    </xf>
    <xf numFmtId="0" fontId="237" fillId="221" borderId="138" xfId="40" applyNumberFormat="1" applyFont="1" applyFill="1" applyBorder="1" applyAlignment="1">
      <alignment horizontal="center" vertical="center" wrapText="1"/>
    </xf>
    <xf numFmtId="0" fontId="237" fillId="221" borderId="155" xfId="40" applyNumberFormat="1" applyFont="1" applyFill="1" applyBorder="1" applyAlignment="1">
      <alignment horizontal="center" vertical="center" wrapText="1"/>
    </xf>
    <xf numFmtId="0" fontId="237" fillId="222" borderId="108" xfId="40" applyNumberFormat="1" applyFont="1" applyFill="1" applyBorder="1" applyAlignment="1">
      <alignment horizontal="center" vertical="center" wrapText="1"/>
    </xf>
    <xf numFmtId="0" fontId="237" fillId="222" borderId="110" xfId="40" applyNumberFormat="1" applyFont="1" applyFill="1" applyBorder="1" applyAlignment="1">
      <alignment horizontal="center" vertical="center" wrapText="1"/>
    </xf>
    <xf numFmtId="0" fontId="237" fillId="218" borderId="156" xfId="40" applyNumberFormat="1" applyFont="1" applyFill="1" applyBorder="1" applyAlignment="1">
      <alignment horizontal="center" vertical="center" wrapText="1"/>
    </xf>
    <xf numFmtId="0" fontId="134" fillId="218" borderId="137" xfId="40" applyNumberFormat="1" applyFont="1" applyFill="1" applyBorder="1" applyAlignment="1">
      <alignment horizontal="center" vertical="center" wrapText="1"/>
    </xf>
    <xf numFmtId="0" fontId="237" fillId="218" borderId="118" xfId="40" applyNumberFormat="1" applyFont="1" applyFill="1" applyBorder="1" applyAlignment="1">
      <alignment horizontal="center" vertical="center" wrapText="1"/>
    </xf>
    <xf numFmtId="0" fontId="134" fillId="218" borderId="145" xfId="40" applyNumberFormat="1" applyFont="1" applyFill="1" applyBorder="1" applyAlignment="1">
      <alignment horizontal="center" vertical="center" wrapText="1"/>
    </xf>
    <xf numFmtId="0" fontId="134" fillId="218" borderId="115" xfId="40" applyNumberFormat="1" applyFont="1" applyFill="1" applyBorder="1" applyAlignment="1">
      <alignment horizontal="center" vertical="center" wrapText="1"/>
    </xf>
    <xf numFmtId="0" fontId="237" fillId="109" borderId="118" xfId="40" applyNumberFormat="1" applyFont="1" applyFill="1" applyBorder="1"/>
    <xf numFmtId="0" fontId="237" fillId="113" borderId="118" xfId="40" applyNumberFormat="1" applyFont="1" applyFill="1" applyBorder="1"/>
    <xf numFmtId="0" fontId="237" fillId="109" borderId="118" xfId="40" applyNumberFormat="1" applyFont="1" applyFill="1" applyBorder="1" applyAlignment="1">
      <alignment wrapText="1"/>
    </xf>
    <xf numFmtId="0" fontId="237" fillId="113" borderId="118" xfId="40" applyNumberFormat="1" applyFont="1" applyFill="1" applyBorder="1" applyAlignment="1">
      <alignment wrapText="1"/>
    </xf>
    <xf numFmtId="0" fontId="237" fillId="109" borderId="118" xfId="40" applyNumberFormat="1" applyFont="1" applyFill="1" applyBorder="1" applyAlignment="1">
      <alignment vertical="center" wrapText="1"/>
    </xf>
    <xf numFmtId="0" fontId="237" fillId="113" borderId="118" xfId="40" applyNumberFormat="1" applyFont="1" applyFill="1" applyBorder="1" applyAlignment="1">
      <alignment vertical="center" wrapText="1"/>
    </xf>
    <xf numFmtId="0" fontId="237" fillId="223" borderId="107" xfId="40" applyNumberFormat="1" applyFont="1" applyFill="1" applyBorder="1" applyAlignment="1">
      <alignment horizontal="left" vertical="center" wrapText="1"/>
    </xf>
    <xf numFmtId="0" fontId="237" fillId="223" borderId="128" xfId="40" applyNumberFormat="1" applyFont="1" applyFill="1" applyBorder="1" applyAlignment="1">
      <alignment horizontal="left" vertical="center" wrapText="1"/>
    </xf>
    <xf numFmtId="0" fontId="237" fillId="223" borderId="112" xfId="40" applyNumberFormat="1" applyFont="1" applyFill="1" applyBorder="1" applyAlignment="1">
      <alignment horizontal="left" vertical="center" wrapText="1"/>
    </xf>
    <xf numFmtId="0" fontId="134" fillId="223" borderId="128" xfId="40" applyNumberFormat="1" applyFont="1" applyFill="1" applyBorder="1" applyAlignment="1">
      <alignment horizontal="left" vertical="center" wrapText="1"/>
    </xf>
    <xf numFmtId="0" fontId="241" fillId="223" borderId="107" xfId="40" applyNumberFormat="1" applyFont="1" applyFill="1" applyBorder="1" applyAlignment="1">
      <alignment horizontal="left" vertical="center" wrapText="1"/>
    </xf>
    <xf numFmtId="0" fontId="241" fillId="223" borderId="128" xfId="40" applyNumberFormat="1" applyFont="1" applyFill="1" applyBorder="1" applyAlignment="1">
      <alignment horizontal="left" vertical="center" wrapText="1"/>
    </xf>
    <xf numFmtId="0" fontId="241" fillId="223" borderId="112" xfId="40" applyNumberFormat="1" applyFont="1" applyFill="1" applyBorder="1" applyAlignment="1">
      <alignment horizontal="left" vertical="center" wrapText="1"/>
    </xf>
    <xf numFmtId="0" fontId="238" fillId="113" borderId="130" xfId="40" applyNumberFormat="1" applyFont="1" applyFill="1" applyBorder="1" applyAlignment="1">
      <alignment horizontal="center" vertical="top" wrapText="1"/>
    </xf>
    <xf numFmtId="0" fontId="238" fillId="109" borderId="156" xfId="40" applyNumberFormat="1" applyFont="1" applyFill="1" applyBorder="1" applyAlignment="1">
      <alignment vertical="top" wrapText="1"/>
    </xf>
    <xf numFmtId="0" fontId="238" fillId="123" borderId="115" xfId="40" applyNumberFormat="1" applyFont="1" applyFill="1" applyBorder="1" applyAlignment="1">
      <alignment horizontal="left" vertical="top" wrapText="1"/>
    </xf>
    <xf numFmtId="0" fontId="238" fillId="114" borderId="115" xfId="40" applyNumberFormat="1" applyFont="1" applyFill="1" applyBorder="1" applyAlignment="1">
      <alignment horizontal="center" vertical="top" wrapText="1"/>
    </xf>
    <xf numFmtId="0" fontId="238" fillId="154" borderId="115" xfId="40" applyNumberFormat="1" applyFont="1" applyFill="1" applyBorder="1" applyAlignment="1">
      <alignment horizontal="center" vertical="top" wrapText="1"/>
    </xf>
    <xf numFmtId="0" fontId="238" fillId="160" borderId="115" xfId="40" applyNumberFormat="1" applyFont="1" applyFill="1" applyBorder="1" applyAlignment="1">
      <alignment horizontal="left" vertical="top" wrapText="1"/>
    </xf>
    <xf numFmtId="0" fontId="238" fillId="126" borderId="115" xfId="40" applyNumberFormat="1" applyFont="1" applyFill="1" applyBorder="1" applyAlignment="1">
      <alignment horizontal="center" vertical="top" wrapText="1"/>
    </xf>
    <xf numFmtId="0" fontId="238" fillId="126" borderId="115" xfId="40" applyNumberFormat="1" applyFont="1" applyFill="1" applyBorder="1" applyAlignment="1">
      <alignment vertical="top" wrapText="1"/>
    </xf>
    <xf numFmtId="0" fontId="238" fillId="113" borderId="115" xfId="40" applyNumberFormat="1" applyFont="1" applyFill="1" applyBorder="1" applyAlignment="1">
      <alignment horizontal="center" vertical="top" wrapText="1"/>
    </xf>
    <xf numFmtId="0" fontId="238" fillId="109" borderId="115" xfId="40" applyNumberFormat="1" applyFont="1" applyFill="1" applyBorder="1" applyAlignment="1">
      <alignment vertical="top"/>
    </xf>
    <xf numFmtId="0" fontId="238" fillId="109" borderId="115" xfId="40" applyNumberFormat="1" applyFont="1" applyFill="1" applyBorder="1" applyAlignment="1">
      <alignment vertical="top" wrapText="1"/>
    </xf>
    <xf numFmtId="0" fontId="238" fillId="113" borderId="115" xfId="40" applyNumberFormat="1" applyFont="1" applyFill="1" applyBorder="1" applyAlignment="1">
      <alignment vertical="top"/>
    </xf>
    <xf numFmtId="0" fontId="238" fillId="125" borderId="115" xfId="40" applyNumberFormat="1" applyFont="1" applyFill="1" applyBorder="1" applyAlignment="1">
      <alignment vertical="top" wrapText="1"/>
    </xf>
    <xf numFmtId="0" fontId="238" fillId="113" borderId="114" xfId="40" applyNumberFormat="1" applyFont="1" applyFill="1" applyBorder="1" applyAlignment="1">
      <alignment horizontal="center" vertical="top" wrapText="1"/>
    </xf>
    <xf numFmtId="0" fontId="238" fillId="109" borderId="127" xfId="40" applyNumberFormat="1" applyFont="1" applyFill="1" applyBorder="1" applyAlignment="1">
      <alignment vertical="top" wrapText="1"/>
    </xf>
    <xf numFmtId="0" fontId="238" fillId="150" borderId="115" xfId="40" applyNumberFormat="1" applyFont="1" applyFill="1" applyBorder="1" applyAlignment="1">
      <alignment vertical="top"/>
    </xf>
    <xf numFmtId="0" fontId="238" fillId="150" borderId="115" xfId="40" applyNumberFormat="1" applyFont="1" applyFill="1" applyBorder="1" applyAlignment="1">
      <alignment vertical="top" wrapText="1"/>
    </xf>
    <xf numFmtId="0" fontId="238" fillId="113" borderId="127" xfId="40" applyNumberFormat="1" applyFont="1" applyFill="1" applyBorder="1" applyAlignment="1">
      <alignment vertical="top" wrapText="1"/>
    </xf>
    <xf numFmtId="0" fontId="238" fillId="131" borderId="115" xfId="40" applyNumberFormat="1" applyFont="1" applyFill="1" applyBorder="1" applyAlignment="1">
      <alignment vertical="top"/>
    </xf>
    <xf numFmtId="0" fontId="238" fillId="131" borderId="115" xfId="40" applyNumberFormat="1" applyFont="1" applyFill="1" applyBorder="1" applyAlignment="1">
      <alignment vertical="top" wrapText="1"/>
    </xf>
    <xf numFmtId="0" fontId="238" fillId="125" borderId="115" xfId="40" applyNumberFormat="1" applyFont="1" applyFill="1" applyBorder="1" applyAlignment="1">
      <alignment horizontal="left" vertical="top" wrapText="1"/>
    </xf>
    <xf numFmtId="0" fontId="238" fillId="113" borderId="119" xfId="40" applyNumberFormat="1" applyFont="1" applyFill="1" applyBorder="1" applyAlignment="1">
      <alignment horizontal="center" vertical="top" wrapText="1"/>
    </xf>
    <xf numFmtId="0" fontId="238" fillId="109" borderId="144" xfId="40" applyNumberFormat="1" applyFont="1" applyFill="1" applyBorder="1" applyAlignment="1">
      <alignment vertical="top" wrapText="1"/>
    </xf>
    <xf numFmtId="0" fontId="238" fillId="113" borderId="115" xfId="40" applyNumberFormat="1" applyFont="1" applyFill="1" applyBorder="1" applyAlignment="1">
      <alignment vertical="top" wrapText="1"/>
    </xf>
    <xf numFmtId="0" fontId="237" fillId="109" borderId="156" xfId="40" applyNumberFormat="1" applyFont="1" applyFill="1" applyBorder="1" applyAlignment="1">
      <alignment vertical="top" wrapText="1"/>
    </xf>
    <xf numFmtId="0" fontId="237" fillId="109" borderId="127" xfId="40" applyNumberFormat="1" applyFont="1" applyFill="1" applyBorder="1" applyAlignment="1">
      <alignment vertical="top" wrapText="1"/>
    </xf>
    <xf numFmtId="0" fontId="237" fillId="113" borderId="127" xfId="40" applyNumberFormat="1" applyFont="1" applyFill="1" applyBorder="1" applyAlignment="1">
      <alignment vertical="top" wrapText="1"/>
    </xf>
    <xf numFmtId="0" fontId="237" fillId="109" borderId="144" xfId="40" applyNumberFormat="1" applyFont="1" applyFill="1" applyBorder="1" applyAlignment="1">
      <alignment vertical="top" wrapText="1"/>
    </xf>
    <xf numFmtId="0" fontId="237" fillId="224" borderId="156" xfId="40" applyNumberFormat="1" applyFont="1" applyFill="1" applyBorder="1" applyAlignment="1">
      <alignment vertical="top" wrapText="1"/>
    </xf>
    <xf numFmtId="0" fontId="237" fillId="224" borderId="127" xfId="40" applyNumberFormat="1" applyFont="1" applyFill="1" applyBorder="1" applyAlignment="1">
      <alignment vertical="top" wrapText="1"/>
    </xf>
    <xf numFmtId="0" fontId="237" fillId="224" borderId="144" xfId="40" applyNumberFormat="1" applyFont="1" applyFill="1" applyBorder="1" applyAlignment="1">
      <alignment vertical="top" wrapText="1"/>
    </xf>
    <xf numFmtId="0" fontId="238" fillId="224" borderId="115" xfId="40" applyNumberFormat="1" applyFont="1" applyFill="1" applyBorder="1" applyAlignment="1">
      <alignment horizontal="left" vertical="top" wrapText="1"/>
    </xf>
    <xf numFmtId="0" fontId="238" fillId="224" borderId="115" xfId="40" applyNumberFormat="1" applyFont="1" applyFill="1" applyBorder="1" applyAlignment="1">
      <alignment vertical="top" wrapText="1"/>
    </xf>
    <xf numFmtId="0" fontId="238" fillId="225" borderId="115" xfId="40" applyNumberFormat="1" applyFont="1" applyFill="1" applyBorder="1" applyAlignment="1">
      <alignment horizontal="center" vertical="top" wrapText="1"/>
    </xf>
    <xf numFmtId="0" fontId="237" fillId="225" borderId="115" xfId="40" applyNumberFormat="1" applyFont="1" applyFill="1" applyBorder="1" applyAlignment="1">
      <alignment horizontal="center" vertical="top" wrapText="1"/>
    </xf>
    <xf numFmtId="166" fontId="237" fillId="225" borderId="115" xfId="40" applyNumberFormat="1" applyFont="1" applyFill="1" applyBorder="1" applyAlignment="1">
      <alignment horizontal="center" vertical="top" wrapText="1"/>
    </xf>
    <xf numFmtId="0" fontId="238" fillId="223" borderId="130" xfId="40" applyNumberFormat="1" applyFont="1" applyFill="1" applyBorder="1" applyAlignment="1">
      <alignment horizontal="center" vertical="top" wrapText="1"/>
    </xf>
    <xf numFmtId="0" fontId="238" fillId="223" borderId="114" xfId="40" applyNumberFormat="1" applyFont="1" applyFill="1" applyBorder="1" applyAlignment="1">
      <alignment horizontal="center" vertical="top" wrapText="1"/>
    </xf>
    <xf numFmtId="0" fontId="238" fillId="223" borderId="119" xfId="40" applyNumberFormat="1" applyFont="1" applyFill="1" applyBorder="1" applyAlignment="1">
      <alignment horizontal="center" vertical="top" wrapText="1"/>
    </xf>
    <xf numFmtId="0" fontId="238" fillId="223" borderId="115" xfId="40" applyNumberFormat="1" applyFont="1" applyFill="1" applyBorder="1" applyAlignment="1">
      <alignment horizontal="center" vertical="top" wrapText="1"/>
    </xf>
    <xf numFmtId="0" fontId="237" fillId="125" borderId="115" xfId="40" applyNumberFormat="1" applyFont="1" applyFill="1" applyBorder="1" applyAlignment="1">
      <alignment horizontal="center" vertical="center" wrapText="1"/>
    </xf>
    <xf numFmtId="0" fontId="237" fillId="114" borderId="107" xfId="40" applyNumberFormat="1" applyFont="1" applyFill="1" applyBorder="1" applyAlignment="1">
      <alignment vertical="center" wrapText="1"/>
    </xf>
    <xf numFmtId="0" fontId="237" fillId="114" borderId="128" xfId="40" applyNumberFormat="1" applyFont="1" applyFill="1" applyBorder="1" applyAlignment="1">
      <alignment vertical="center" wrapText="1"/>
    </xf>
    <xf numFmtId="0" fontId="237" fillId="114" borderId="112" xfId="40" applyNumberFormat="1" applyFont="1" applyFill="1" applyBorder="1" applyAlignment="1">
      <alignment vertical="center" wrapText="1"/>
    </xf>
    <xf numFmtId="0" fontId="237" fillId="114" borderId="106" xfId="40" applyNumberFormat="1" applyFont="1" applyFill="1" applyBorder="1" applyAlignment="1">
      <alignment vertical="center" wrapText="1"/>
    </xf>
    <xf numFmtId="0" fontId="236" fillId="126" borderId="115" xfId="40" applyNumberFormat="1" applyFont="1" applyFill="1" applyBorder="1" applyAlignment="1">
      <alignment horizontal="left" vertical="center" wrapText="1"/>
    </xf>
    <xf numFmtId="0" fontId="238" fillId="126" borderId="115" xfId="40" applyNumberFormat="1" applyFont="1" applyFill="1" applyBorder="1" applyAlignment="1">
      <alignment horizontal="left" vertical="center" wrapText="1"/>
    </xf>
    <xf numFmtId="0" fontId="236" fillId="226" borderId="108" xfId="40" applyNumberFormat="1" applyFont="1" applyFill="1" applyBorder="1" applyAlignment="1">
      <alignment horizontal="right" vertical="center" wrapText="1"/>
    </xf>
    <xf numFmtId="0" fontId="236" fillId="226" borderId="109" xfId="40" applyNumberFormat="1" applyFont="1" applyFill="1" applyBorder="1" applyAlignment="1">
      <alignment horizontal="right" vertical="center" wrapText="1"/>
    </xf>
    <xf numFmtId="0" fontId="236" fillId="226" borderId="110" xfId="40" applyNumberFormat="1" applyFont="1" applyFill="1" applyBorder="1" applyAlignment="1">
      <alignment horizontal="right" vertical="center" wrapText="1"/>
    </xf>
    <xf numFmtId="0" fontId="236" fillId="226" borderId="111" xfId="40" applyNumberFormat="1" applyFont="1" applyFill="1" applyBorder="1" applyAlignment="1">
      <alignment horizontal="right" vertical="center" wrapText="1"/>
    </xf>
    <xf numFmtId="0" fontId="173" fillId="226" borderId="108" xfId="40" applyNumberFormat="1" applyFont="1" applyFill="1" applyBorder="1" applyAlignment="1">
      <alignment horizontal="right" vertical="center" wrapText="1"/>
    </xf>
    <xf numFmtId="0" fontId="173" fillId="226" borderId="109" xfId="40" applyNumberFormat="1" applyFont="1" applyFill="1" applyBorder="1" applyAlignment="1">
      <alignment horizontal="right" vertical="center" wrapText="1"/>
    </xf>
    <xf numFmtId="0" fontId="173" fillId="226" borderId="110" xfId="40" applyNumberFormat="1" applyFont="1" applyFill="1" applyBorder="1" applyAlignment="1">
      <alignment horizontal="right" vertical="center" wrapText="1"/>
    </xf>
    <xf numFmtId="0" fontId="173" fillId="226" borderId="111" xfId="40" applyNumberFormat="1" applyFont="1" applyFill="1" applyBorder="1" applyAlignment="1">
      <alignment horizontal="right" vertical="center" wrapText="1"/>
    </xf>
    <xf numFmtId="0" fontId="173" fillId="226" borderId="108" xfId="40" applyNumberFormat="1" applyFont="1" applyFill="1" applyBorder="1" applyAlignment="1">
      <alignment horizontal="center" vertical="center" wrapText="1"/>
    </xf>
    <xf numFmtId="0" fontId="173" fillId="226" borderId="109" xfId="40" applyNumberFormat="1" applyFont="1" applyFill="1" applyBorder="1" applyAlignment="1">
      <alignment horizontal="center" vertical="center" wrapText="1"/>
    </xf>
    <xf numFmtId="0" fontId="173" fillId="226" borderId="110" xfId="40" applyNumberFormat="1" applyFont="1" applyFill="1" applyBorder="1" applyAlignment="1">
      <alignment horizontal="center" vertical="center" wrapText="1"/>
    </xf>
    <xf numFmtId="0" fontId="173" fillId="226" borderId="111" xfId="40" applyNumberFormat="1" applyFont="1" applyFill="1" applyBorder="1" applyAlignment="1">
      <alignment horizontal="center" vertical="center" wrapText="1"/>
    </xf>
    <xf numFmtId="0" fontId="237" fillId="218" borderId="115" xfId="40" applyNumberFormat="1" applyFont="1" applyFill="1" applyBorder="1" applyAlignment="1">
      <alignment horizontal="center" vertical="center" wrapText="1"/>
    </xf>
    <xf numFmtId="0" fontId="237" fillId="223" borderId="107" xfId="40" applyNumberFormat="1" applyFont="1" applyFill="1" applyBorder="1" applyAlignment="1">
      <alignment vertical="center" wrapText="1"/>
    </xf>
    <xf numFmtId="0" fontId="237" fillId="223" borderId="128" xfId="40" applyNumberFormat="1" applyFont="1" applyFill="1" applyBorder="1" applyAlignment="1">
      <alignment vertical="center" wrapText="1"/>
    </xf>
    <xf numFmtId="0" fontId="237" fillId="223" borderId="112" xfId="40" applyNumberFormat="1" applyFont="1" applyFill="1" applyBorder="1" applyAlignment="1">
      <alignment vertical="center" wrapText="1"/>
    </xf>
    <xf numFmtId="0" fontId="237" fillId="223" borderId="106" xfId="40" applyNumberFormat="1" applyFont="1" applyFill="1" applyBorder="1" applyAlignment="1">
      <alignment vertical="center" wrapText="1"/>
    </xf>
    <xf numFmtId="0" fontId="134" fillId="223" borderId="149" xfId="40" applyNumberFormat="1" applyFont="1" applyFill="1" applyBorder="1" applyAlignment="1">
      <alignment vertical="center" wrapText="1"/>
    </xf>
    <xf numFmtId="0" fontId="241" fillId="223" borderId="107" xfId="40" applyNumberFormat="1" applyFont="1" applyFill="1" applyBorder="1" applyAlignment="1">
      <alignment vertical="center" wrapText="1"/>
    </xf>
    <xf numFmtId="0" fontId="241" fillId="223" borderId="128" xfId="40" applyNumberFormat="1" applyFont="1" applyFill="1" applyBorder="1" applyAlignment="1">
      <alignment vertical="center" wrapText="1"/>
    </xf>
    <xf numFmtId="0" fontId="241" fillId="223" borderId="112" xfId="40" applyNumberFormat="1" applyFont="1" applyFill="1" applyBorder="1" applyAlignment="1">
      <alignment vertical="center" wrapText="1"/>
    </xf>
    <xf numFmtId="0" fontId="241" fillId="223" borderId="106" xfId="40" applyNumberFormat="1" applyFont="1" applyFill="1" applyBorder="1" applyAlignment="1">
      <alignment vertical="center" wrapText="1"/>
    </xf>
    <xf numFmtId="0" fontId="241" fillId="223" borderId="149" xfId="40" applyNumberFormat="1" applyFont="1" applyFill="1" applyBorder="1" applyAlignment="1">
      <alignment vertical="center" wrapText="1"/>
    </xf>
    <xf numFmtId="0" fontId="238" fillId="126" borderId="115" xfId="40" applyNumberFormat="1" applyFont="1" applyFill="1" applyBorder="1" applyAlignment="1">
      <alignment horizontal="left" vertical="top" wrapText="1"/>
    </xf>
    <xf numFmtId="0" fontId="237" fillId="114" borderId="106" xfId="40" applyNumberFormat="1" applyFont="1" applyFill="1" applyBorder="1" applyAlignment="1">
      <alignment horizontal="left" vertical="center" wrapText="1"/>
    </xf>
    <xf numFmtId="0" fontId="237" fillId="109" borderId="158" xfId="40" applyNumberFormat="1" applyFont="1" applyFill="1" applyBorder="1" applyAlignment="1">
      <alignment vertical="center" wrapText="1"/>
    </xf>
    <xf numFmtId="0" fontId="236" fillId="150" borderId="115" xfId="40" applyNumberFormat="1" applyFont="1" applyFill="1" applyBorder="1" applyAlignment="1">
      <alignment horizontal="center" vertical="center" wrapText="1"/>
    </xf>
    <xf numFmtId="0" fontId="238" fillId="109" borderId="158" xfId="40" applyNumberFormat="1" applyFont="1" applyFill="1" applyBorder="1" applyAlignment="1">
      <alignment vertical="center" wrapText="1"/>
    </xf>
    <xf numFmtId="0" fontId="238" fillId="150" borderId="115" xfId="40" applyNumberFormat="1" applyFont="1" applyFill="1" applyBorder="1" applyAlignment="1">
      <alignment horizontal="center" vertical="center" wrapText="1"/>
    </xf>
    <xf numFmtId="0" fontId="120" fillId="218" borderId="132" xfId="40" applyNumberFormat="1" applyFont="1" applyFill="1" applyBorder="1" applyAlignment="1">
      <alignment horizontal="center" vertical="center" wrapText="1"/>
    </xf>
    <xf numFmtId="0" fontId="120" fillId="218" borderId="133" xfId="40" applyNumberFormat="1" applyFont="1" applyFill="1" applyBorder="1" applyAlignment="1">
      <alignment horizontal="center" vertical="center" wrapText="1"/>
    </xf>
    <xf numFmtId="0" fontId="120" fillId="218" borderId="139" xfId="40" applyNumberFormat="1" applyFont="1" applyFill="1" applyBorder="1" applyAlignment="1">
      <alignment horizontal="center" vertical="center" wrapText="1"/>
    </xf>
    <xf numFmtId="0" fontId="239" fillId="218" borderId="132" xfId="40" applyNumberFormat="1" applyFont="1" applyFill="1" applyBorder="1" applyAlignment="1">
      <alignment horizontal="center" vertical="center" wrapText="1"/>
    </xf>
    <xf numFmtId="0" fontId="239" fillId="218" borderId="133" xfId="40" applyNumberFormat="1" applyFont="1" applyFill="1" applyBorder="1" applyAlignment="1">
      <alignment horizontal="center" vertical="center" wrapText="1"/>
    </xf>
    <xf numFmtId="0" fontId="239" fillId="218" borderId="139" xfId="40" applyNumberFormat="1" applyFont="1" applyFill="1" applyBorder="1" applyAlignment="1">
      <alignment horizontal="center" vertical="center" wrapText="1"/>
    </xf>
    <xf numFmtId="0" fontId="236" fillId="227" borderId="108" xfId="40" applyNumberFormat="1" applyFont="1" applyFill="1" applyBorder="1" applyAlignment="1">
      <alignment horizontal="right" vertical="center" wrapText="1"/>
    </xf>
    <xf numFmtId="0" fontId="236" fillId="227" borderId="109" xfId="40" applyNumberFormat="1" applyFont="1" applyFill="1" applyBorder="1" applyAlignment="1">
      <alignment horizontal="right" vertical="center" wrapText="1"/>
    </xf>
    <xf numFmtId="0" fontId="236" fillId="227" borderId="110" xfId="40" applyNumberFormat="1" applyFont="1" applyFill="1" applyBorder="1" applyAlignment="1">
      <alignment horizontal="right" vertical="center" wrapText="1"/>
    </xf>
    <xf numFmtId="0" fontId="236" fillId="227" borderId="111" xfId="40" applyNumberFormat="1" applyFont="1" applyFill="1" applyBorder="1" applyAlignment="1">
      <alignment horizontal="right" vertical="center" wrapText="1"/>
    </xf>
    <xf numFmtId="0" fontId="173" fillId="227" borderId="108" xfId="40" applyNumberFormat="1" applyFont="1" applyFill="1" applyBorder="1" applyAlignment="1">
      <alignment horizontal="right" vertical="center" wrapText="1"/>
    </xf>
    <xf numFmtId="0" fontId="173" fillId="227" borderId="109" xfId="40" applyNumberFormat="1" applyFont="1" applyFill="1" applyBorder="1" applyAlignment="1">
      <alignment horizontal="right" vertical="center" wrapText="1"/>
    </xf>
    <xf numFmtId="0" fontId="173" fillId="227" borderId="110" xfId="40" applyNumberFormat="1" applyFont="1" applyFill="1" applyBorder="1" applyAlignment="1">
      <alignment horizontal="right" vertical="center" wrapText="1"/>
    </xf>
    <xf numFmtId="0" fontId="173" fillId="227" borderId="111" xfId="40" applyNumberFormat="1" applyFont="1" applyFill="1" applyBorder="1" applyAlignment="1">
      <alignment horizontal="right" vertical="center" wrapText="1"/>
    </xf>
    <xf numFmtId="0" fontId="173" fillId="227" borderId="108" xfId="40" applyNumberFormat="1" applyFont="1" applyFill="1" applyBorder="1" applyAlignment="1">
      <alignment horizontal="center" vertical="center" wrapText="1"/>
    </xf>
    <xf numFmtId="0" fontId="173" fillId="227" borderId="109" xfId="40" applyNumberFormat="1" applyFont="1" applyFill="1" applyBorder="1" applyAlignment="1">
      <alignment horizontal="center" vertical="center" wrapText="1"/>
    </xf>
    <xf numFmtId="0" fontId="173" fillId="227" borderId="110" xfId="40" applyNumberFormat="1" applyFont="1" applyFill="1" applyBorder="1" applyAlignment="1">
      <alignment horizontal="center" vertical="center" wrapText="1"/>
    </xf>
    <xf numFmtId="0" fontId="173" fillId="227" borderId="111" xfId="40" applyNumberFormat="1" applyFont="1" applyFill="1" applyBorder="1" applyAlignment="1">
      <alignment horizontal="center" vertical="center" wrapText="1"/>
    </xf>
    <xf numFmtId="0" fontId="237" fillId="223" borderId="106" xfId="40" applyNumberFormat="1" applyFont="1" applyFill="1" applyBorder="1" applyAlignment="1">
      <alignment horizontal="left" vertical="center" wrapText="1"/>
    </xf>
    <xf numFmtId="0" fontId="134" fillId="223" borderId="149" xfId="40" applyNumberFormat="1" applyFont="1" applyFill="1" applyBorder="1" applyAlignment="1">
      <alignment horizontal="left" vertical="center" wrapText="1"/>
    </xf>
    <xf numFmtId="0" fontId="241" fillId="223" borderId="106" xfId="40" applyNumberFormat="1" applyFont="1" applyFill="1" applyBorder="1" applyAlignment="1">
      <alignment horizontal="left" vertical="center" wrapText="1"/>
    </xf>
    <xf numFmtId="0" fontId="241" fillId="223" borderId="149" xfId="40" applyNumberFormat="1" applyFont="1" applyFill="1" applyBorder="1" applyAlignment="1">
      <alignment horizontal="left" vertical="center" wrapText="1"/>
    </xf>
    <xf numFmtId="0" fontId="238" fillId="109" borderId="158" xfId="40" applyNumberFormat="1" applyFont="1" applyFill="1" applyBorder="1" applyAlignment="1">
      <alignment vertical="top" wrapText="1"/>
    </xf>
    <xf numFmtId="0" fontId="238" fillId="150" borderId="115" xfId="40" applyNumberFormat="1" applyFont="1" applyFill="1" applyBorder="1" applyAlignment="1">
      <alignment horizontal="center" vertical="top" wrapText="1"/>
    </xf>
    <xf numFmtId="0" fontId="237" fillId="109" borderId="158" xfId="40" applyNumberFormat="1" applyFont="1" applyFill="1" applyBorder="1" applyAlignment="1">
      <alignment vertical="top" wrapText="1"/>
    </xf>
    <xf numFmtId="0" fontId="237" fillId="224" borderId="158" xfId="40" applyNumberFormat="1" applyFont="1" applyFill="1" applyBorder="1" applyAlignment="1">
      <alignment vertical="top" wrapText="1"/>
    </xf>
    <xf numFmtId="0" fontId="237" fillId="114" borderId="111" xfId="40" applyNumberFormat="1" applyFont="1" applyFill="1" applyBorder="1" applyAlignment="1">
      <alignment horizontal="center" vertical="center" wrapText="1"/>
    </xf>
    <xf numFmtId="0" fontId="237" fillId="154" borderId="110" xfId="40" applyNumberFormat="1" applyFont="1" applyFill="1" applyBorder="1" applyAlignment="1">
      <alignment horizontal="center" vertical="center" wrapText="1"/>
    </xf>
    <xf numFmtId="0" fontId="237" fillId="154" borderId="111" xfId="40" applyNumberFormat="1" applyFont="1" applyFill="1" applyBorder="1" applyAlignment="1">
      <alignment horizontal="center" vertical="center" wrapText="1"/>
    </xf>
    <xf numFmtId="0" fontId="237" fillId="126" borderId="110" xfId="40" applyNumberFormat="1" applyFont="1" applyFill="1" applyBorder="1" applyAlignment="1">
      <alignment horizontal="center" vertical="center" wrapText="1"/>
    </xf>
    <xf numFmtId="0" fontId="237" fillId="126" borderId="111" xfId="40" applyNumberFormat="1" applyFont="1" applyFill="1" applyBorder="1" applyAlignment="1">
      <alignment horizontal="center" vertical="center" wrapText="1"/>
    </xf>
    <xf numFmtId="0" fontId="237" fillId="114" borderId="136" xfId="40" applyNumberFormat="1" applyFont="1" applyFill="1" applyBorder="1" applyAlignment="1">
      <alignment horizontal="left" vertical="center" wrapText="1"/>
    </xf>
    <xf numFmtId="0" fontId="237" fillId="114" borderId="137" xfId="40" applyNumberFormat="1" applyFont="1" applyFill="1" applyBorder="1" applyAlignment="1">
      <alignment horizontal="left" vertical="center" wrapText="1"/>
    </xf>
    <xf numFmtId="0" fontId="236" fillId="228" borderId="108" xfId="40" applyNumberFormat="1" applyFont="1" applyFill="1" applyBorder="1" applyAlignment="1">
      <alignment horizontal="right" vertical="center" wrapText="1"/>
    </xf>
    <xf numFmtId="0" fontId="236" fillId="228" borderId="109" xfId="40" applyNumberFormat="1" applyFont="1" applyFill="1" applyBorder="1" applyAlignment="1">
      <alignment horizontal="right" vertical="center" wrapText="1"/>
    </xf>
    <xf numFmtId="0" fontId="236" fillId="228" borderId="110" xfId="40" applyNumberFormat="1" applyFont="1" applyFill="1" applyBorder="1" applyAlignment="1">
      <alignment horizontal="right" vertical="center" wrapText="1"/>
    </xf>
    <xf numFmtId="0" fontId="236" fillId="228" borderId="111" xfId="40" applyNumberFormat="1" applyFont="1" applyFill="1" applyBorder="1" applyAlignment="1">
      <alignment horizontal="right" vertical="center" wrapText="1"/>
    </xf>
    <xf numFmtId="0" fontId="173" fillId="228" borderId="108" xfId="40" applyNumberFormat="1" applyFont="1" applyFill="1" applyBorder="1" applyAlignment="1">
      <alignment horizontal="right" vertical="center" wrapText="1"/>
    </xf>
    <xf numFmtId="0" fontId="173" fillId="228" borderId="109" xfId="40" applyNumberFormat="1" applyFont="1" applyFill="1" applyBorder="1" applyAlignment="1">
      <alignment horizontal="right" vertical="center" wrapText="1"/>
    </xf>
    <xf numFmtId="0" fontId="173" fillId="228" borderId="110" xfId="40" applyNumberFormat="1" applyFont="1" applyFill="1" applyBorder="1" applyAlignment="1">
      <alignment horizontal="right" vertical="center" wrapText="1"/>
    </xf>
    <xf numFmtId="0" fontId="173" fillId="228" borderId="111" xfId="40" applyNumberFormat="1" applyFont="1" applyFill="1" applyBorder="1" applyAlignment="1">
      <alignment horizontal="right" vertical="center" wrapText="1"/>
    </xf>
    <xf numFmtId="0" fontId="173" fillId="228" borderId="108" xfId="40" applyNumberFormat="1" applyFont="1" applyFill="1" applyBorder="1" applyAlignment="1">
      <alignment horizontal="center" vertical="center" wrapText="1"/>
    </xf>
    <xf numFmtId="0" fontId="173" fillId="228" borderId="109" xfId="40" applyNumberFormat="1" applyFont="1" applyFill="1" applyBorder="1" applyAlignment="1">
      <alignment horizontal="center" vertical="center" wrapText="1"/>
    </xf>
    <xf numFmtId="0" fontId="173" fillId="228" borderId="110" xfId="40" applyNumberFormat="1" applyFont="1" applyFill="1" applyBorder="1" applyAlignment="1">
      <alignment horizontal="center" vertical="center" wrapText="1"/>
    </xf>
    <xf numFmtId="0" fontId="173" fillId="228" borderId="111" xfId="40" applyNumberFormat="1" applyFont="1" applyFill="1" applyBorder="1" applyAlignment="1">
      <alignment horizontal="center" vertical="center" wrapText="1"/>
    </xf>
    <xf numFmtId="0" fontId="237" fillId="218" borderId="111" xfId="40" applyNumberFormat="1" applyFont="1" applyFill="1" applyBorder="1" applyAlignment="1">
      <alignment horizontal="center" vertical="center" wrapText="1"/>
    </xf>
    <xf numFmtId="0" fontId="237" fillId="220" borderId="110" xfId="40" applyNumberFormat="1" applyFont="1" applyFill="1" applyBorder="1" applyAlignment="1">
      <alignment horizontal="center" vertical="center" wrapText="1"/>
    </xf>
    <xf numFmtId="0" fontId="237" fillId="220" borderId="111" xfId="40" applyNumberFormat="1" applyFont="1" applyFill="1" applyBorder="1" applyAlignment="1">
      <alignment horizontal="center" vertical="center" wrapText="1"/>
    </xf>
    <xf numFmtId="0" fontId="237" fillId="221" borderId="110" xfId="40" applyNumberFormat="1" applyFont="1" applyFill="1" applyBorder="1" applyAlignment="1">
      <alignment horizontal="center" vertical="center" wrapText="1"/>
    </xf>
    <xf numFmtId="0" fontId="237" fillId="221" borderId="111" xfId="40" applyNumberFormat="1" applyFont="1" applyFill="1" applyBorder="1" applyAlignment="1">
      <alignment horizontal="center" vertical="center" wrapText="1"/>
    </xf>
    <xf numFmtId="0" fontId="134" fillId="218" borderId="111" xfId="40" applyNumberFormat="1" applyFont="1" applyFill="1" applyBorder="1" applyAlignment="1">
      <alignment horizontal="center" vertical="center" wrapText="1"/>
    </xf>
    <xf numFmtId="0" fontId="237" fillId="223" borderId="136" xfId="40" applyNumberFormat="1" applyFont="1" applyFill="1" applyBorder="1" applyAlignment="1">
      <alignment horizontal="left" vertical="center" wrapText="1"/>
    </xf>
    <xf numFmtId="0" fontId="237" fillId="223" borderId="137" xfId="40" applyNumberFormat="1" applyFont="1" applyFill="1" applyBorder="1" applyAlignment="1">
      <alignment horizontal="left" vertical="center" wrapText="1"/>
    </xf>
    <xf numFmtId="0" fontId="134" fillId="223" borderId="142" xfId="40" applyNumberFormat="1" applyFont="1" applyFill="1" applyBorder="1" applyAlignment="1">
      <alignment horizontal="left" vertical="center" wrapText="1"/>
    </xf>
    <xf numFmtId="0" fontId="241" fillId="223" borderId="136" xfId="40" applyNumberFormat="1" applyFont="1" applyFill="1" applyBorder="1" applyAlignment="1">
      <alignment horizontal="left" vertical="center" wrapText="1"/>
    </xf>
    <xf numFmtId="0" fontId="241" fillId="223" borderId="137" xfId="40" applyNumberFormat="1" applyFont="1" applyFill="1" applyBorder="1" applyAlignment="1">
      <alignment horizontal="left" vertical="center" wrapText="1"/>
    </xf>
    <xf numFmtId="0" fontId="241" fillId="223" borderId="142" xfId="40" applyNumberFormat="1" applyFont="1" applyFill="1" applyBorder="1" applyAlignment="1">
      <alignment horizontal="left" vertical="center" wrapText="1"/>
    </xf>
    <xf numFmtId="0" fontId="236" fillId="123" borderId="115" xfId="40" applyNumberFormat="1" applyFont="1" applyFill="1" applyBorder="1" applyAlignment="1">
      <alignment vertical="center" wrapText="1"/>
    </xf>
    <xf numFmtId="0" fontId="237" fillId="126" borderId="110" xfId="40" applyNumberFormat="1" applyFont="1" applyFill="1" applyBorder="1" applyAlignment="1">
      <alignment horizontal="center" vertical="center"/>
    </xf>
    <xf numFmtId="0" fontId="238" fillId="123" borderId="115" xfId="40" applyNumberFormat="1" applyFont="1" applyFill="1" applyBorder="1" applyAlignment="1">
      <alignment vertical="center" wrapText="1"/>
    </xf>
    <xf numFmtId="0" fontId="238" fillId="126" borderId="110" xfId="40" applyNumberFormat="1" applyFont="1" applyFill="1" applyBorder="1" applyAlignment="1">
      <alignment horizontal="center" vertical="center"/>
    </xf>
    <xf numFmtId="0" fontId="236" fillId="229" borderId="108" xfId="40" applyNumberFormat="1" applyFont="1" applyFill="1" applyBorder="1" applyAlignment="1">
      <alignment horizontal="right" vertical="center" wrapText="1"/>
    </xf>
    <xf numFmtId="0" fontId="236" fillId="229" borderId="109" xfId="40" applyNumberFormat="1" applyFont="1" applyFill="1" applyBorder="1" applyAlignment="1">
      <alignment horizontal="right" vertical="center" wrapText="1"/>
    </xf>
    <xf numFmtId="0" fontId="236" fillId="229" borderId="110" xfId="40" applyNumberFormat="1" applyFont="1" applyFill="1" applyBorder="1" applyAlignment="1">
      <alignment horizontal="right" vertical="center" wrapText="1"/>
    </xf>
    <xf numFmtId="0" fontId="236" fillId="229" borderId="111" xfId="40" applyNumberFormat="1" applyFont="1" applyFill="1" applyBorder="1" applyAlignment="1">
      <alignment horizontal="right" vertical="center" wrapText="1"/>
    </xf>
    <xf numFmtId="0" fontId="240" fillId="229" borderId="108" xfId="40" applyNumberFormat="1" applyFont="1" applyFill="1" applyBorder="1" applyAlignment="1">
      <alignment horizontal="right" vertical="center" wrapText="1"/>
    </xf>
    <xf numFmtId="0" fontId="240" fillId="229" borderId="109" xfId="40" applyNumberFormat="1" applyFont="1" applyFill="1" applyBorder="1" applyAlignment="1">
      <alignment horizontal="right" vertical="center" wrapText="1"/>
    </xf>
    <xf numFmtId="0" fontId="240" fillId="229" borderId="110" xfId="40" applyNumberFormat="1" applyFont="1" applyFill="1" applyBorder="1" applyAlignment="1">
      <alignment horizontal="right" vertical="center" wrapText="1"/>
    </xf>
    <xf numFmtId="0" fontId="240" fillId="229" borderId="111" xfId="40" applyNumberFormat="1" applyFont="1" applyFill="1" applyBorder="1" applyAlignment="1">
      <alignment horizontal="right" vertical="center" wrapText="1"/>
    </xf>
    <xf numFmtId="0" fontId="240" fillId="229" borderId="108" xfId="40" applyNumberFormat="1" applyFont="1" applyFill="1" applyBorder="1" applyAlignment="1">
      <alignment horizontal="center" vertical="center" wrapText="1"/>
    </xf>
    <xf numFmtId="0" fontId="240" fillId="229" borderId="109" xfId="40" applyNumberFormat="1" applyFont="1" applyFill="1" applyBorder="1" applyAlignment="1">
      <alignment horizontal="center" vertical="center" wrapText="1"/>
    </xf>
    <xf numFmtId="0" fontId="240" fillId="229" borderId="110" xfId="40" applyNumberFormat="1" applyFont="1" applyFill="1" applyBorder="1" applyAlignment="1">
      <alignment horizontal="center" vertical="center" wrapText="1"/>
    </xf>
    <xf numFmtId="0" fontId="240" fillId="229" borderId="111" xfId="40" applyNumberFormat="1" applyFont="1" applyFill="1" applyBorder="1" applyAlignment="1">
      <alignment horizontal="center" vertical="center" wrapText="1"/>
    </xf>
    <xf numFmtId="0" fontId="238" fillId="123" borderId="115" xfId="40" applyNumberFormat="1" applyFont="1" applyFill="1" applyBorder="1" applyAlignment="1">
      <alignment vertical="top" wrapText="1"/>
    </xf>
    <xf numFmtId="0" fontId="238" fillId="126" borderId="110" xfId="40" applyNumberFormat="1" applyFont="1" applyFill="1" applyBorder="1" applyAlignment="1">
      <alignment horizontal="center" vertical="top"/>
    </xf>
    <xf numFmtId="0" fontId="238" fillId="126" borderId="110" xfId="40" applyNumberFormat="1" applyFont="1" applyFill="1" applyBorder="1" applyAlignment="1">
      <alignment horizontal="center" vertical="top" wrapText="1"/>
    </xf>
    <xf numFmtId="0" fontId="238" fillId="225" borderId="110" xfId="40" applyNumberFormat="1" applyFont="1" applyFill="1" applyBorder="1" applyAlignment="1">
      <alignment horizontal="center" vertical="top" wrapText="1"/>
    </xf>
    <xf numFmtId="0" fontId="237" fillId="225" borderId="110" xfId="40" applyNumberFormat="1" applyFont="1" applyFill="1" applyBorder="1" applyAlignment="1">
      <alignment horizontal="center" vertical="top" wrapText="1"/>
    </xf>
    <xf numFmtId="166" fontId="237" fillId="225" borderId="110" xfId="40" applyNumberFormat="1" applyFont="1" applyFill="1" applyBorder="1" applyAlignment="1">
      <alignment horizontal="center" vertical="top" wrapText="1"/>
    </xf>
    <xf numFmtId="0" fontId="236" fillId="109" borderId="106" xfId="40" applyNumberFormat="1" applyFont="1" applyFill="1" applyBorder="1"/>
    <xf numFmtId="0" fontId="236" fillId="109" borderId="106" xfId="40" applyNumberFormat="1" applyFont="1" applyFill="1" applyBorder="1" applyAlignment="1">
      <alignment vertical="center"/>
    </xf>
    <xf numFmtId="0" fontId="236" fillId="109" borderId="106" xfId="40" applyNumberFormat="1" applyFont="1" applyFill="1" applyBorder="1" applyAlignment="1">
      <alignment vertical="center" wrapText="1"/>
    </xf>
    <xf numFmtId="0" fontId="236" fillId="218" borderId="106" xfId="40" applyNumberFormat="1" applyFont="1" applyFill="1" applyBorder="1" applyAlignment="1">
      <alignment vertical="center" wrapText="1"/>
    </xf>
    <xf numFmtId="0" fontId="237" fillId="218" borderId="106" xfId="40" applyNumberFormat="1" applyFont="1" applyFill="1" applyBorder="1" applyAlignment="1">
      <alignment vertical="center" wrapText="1"/>
    </xf>
    <xf numFmtId="0" fontId="242" fillId="218" borderId="106" xfId="40" applyNumberFormat="1" applyFont="1" applyFill="1" applyBorder="1" applyAlignment="1">
      <alignment vertical="center" wrapText="1"/>
    </xf>
    <xf numFmtId="0" fontId="242" fillId="218" borderId="212" xfId="40" applyNumberFormat="1" applyFont="1" applyFill="1" applyBorder="1" applyAlignment="1">
      <alignment vertical="center" wrapText="1"/>
    </xf>
    <xf numFmtId="0" fontId="242" fillId="218" borderId="213" xfId="40" applyNumberFormat="1" applyFont="1" applyFill="1" applyBorder="1" applyAlignment="1">
      <alignment vertical="center" wrapText="1"/>
    </xf>
    <xf numFmtId="0" fontId="242" fillId="218" borderId="214" xfId="40" applyNumberFormat="1" applyFont="1" applyFill="1" applyBorder="1" applyAlignment="1">
      <alignment vertical="center" wrapText="1"/>
    </xf>
    <xf numFmtId="0" fontId="238" fillId="109" borderId="106" xfId="40" applyNumberFormat="1" applyFont="1" applyFill="1" applyBorder="1" applyAlignment="1">
      <alignment vertical="center" wrapText="1"/>
    </xf>
    <xf numFmtId="0" fontId="237" fillId="218" borderId="106" xfId="40" applyNumberFormat="1" applyFont="1" applyFill="1" applyBorder="1" applyAlignment="1">
      <alignment horizontal="center" vertical="center" wrapText="1"/>
    </xf>
    <xf numFmtId="0" fontId="242" fillId="218" borderId="106" xfId="40" applyNumberFormat="1" applyFont="1" applyFill="1" applyBorder="1" applyAlignment="1">
      <alignment horizontal="center" vertical="center" wrapText="1"/>
    </xf>
    <xf numFmtId="165" fontId="242" fillId="218" borderId="106" xfId="40" applyNumberFormat="1" applyFont="1" applyFill="1" applyBorder="1" applyAlignment="1">
      <alignment horizontal="center" vertical="center" wrapText="1"/>
    </xf>
    <xf numFmtId="0" fontId="236" fillId="222" borderId="106" xfId="40" applyNumberFormat="1" applyFont="1" applyFill="1" applyBorder="1" applyAlignment="1">
      <alignment vertical="center" wrapText="1"/>
    </xf>
    <xf numFmtId="0" fontId="237" fillId="222" borderId="106" xfId="40" applyNumberFormat="1" applyFont="1" applyFill="1" applyBorder="1" applyAlignment="1">
      <alignment vertical="center" wrapText="1"/>
    </xf>
    <xf numFmtId="0" fontId="237" fillId="222" borderId="106" xfId="40" applyNumberFormat="1" applyFont="1" applyFill="1" applyBorder="1" applyAlignment="1">
      <alignment horizontal="center" vertical="center" wrapText="1"/>
    </xf>
    <xf numFmtId="0" fontId="242" fillId="222" borderId="106" xfId="40" applyNumberFormat="1" applyFont="1" applyFill="1" applyBorder="1" applyAlignment="1">
      <alignment horizontal="center" vertical="center" wrapText="1"/>
    </xf>
    <xf numFmtId="0" fontId="236" fillId="220" borderId="106" xfId="40" applyNumberFormat="1" applyFont="1" applyFill="1" applyBorder="1" applyAlignment="1">
      <alignment vertical="center" wrapText="1"/>
    </xf>
    <xf numFmtId="0" fontId="237" fillId="220" borderId="106" xfId="40" applyNumberFormat="1" applyFont="1" applyFill="1" applyBorder="1" applyAlignment="1">
      <alignment vertical="center" wrapText="1"/>
    </xf>
    <xf numFmtId="0" fontId="237" fillId="220" borderId="106" xfId="40" applyNumberFormat="1" applyFont="1" applyFill="1" applyBorder="1" applyAlignment="1">
      <alignment horizontal="center" vertical="center" wrapText="1"/>
    </xf>
    <xf numFmtId="0" fontId="242" fillId="220" borderId="106" xfId="40" applyNumberFormat="1" applyFont="1" applyFill="1" applyBorder="1" applyAlignment="1">
      <alignment horizontal="center" vertical="center" wrapText="1"/>
    </xf>
    <xf numFmtId="165" fontId="242" fillId="220" borderId="106" xfId="40" applyNumberFormat="1" applyFont="1" applyFill="1" applyBorder="1" applyAlignment="1">
      <alignment horizontal="center" vertical="center" wrapText="1"/>
    </xf>
    <xf numFmtId="0" fontId="236" fillId="221" borderId="106" xfId="40" applyNumberFormat="1" applyFont="1" applyFill="1" applyBorder="1" applyAlignment="1">
      <alignment vertical="center" wrapText="1"/>
    </xf>
    <xf numFmtId="0" fontId="237" fillId="221" borderId="106" xfId="40" applyNumberFormat="1" applyFont="1" applyFill="1" applyBorder="1" applyAlignment="1">
      <alignment vertical="center" wrapText="1"/>
    </xf>
    <xf numFmtId="0" fontId="237" fillId="221" borderId="106" xfId="40" applyNumberFormat="1" applyFont="1" applyFill="1" applyBorder="1" applyAlignment="1">
      <alignment horizontal="center" vertical="center" wrapText="1"/>
    </xf>
    <xf numFmtId="0" fontId="242" fillId="221" borderId="106" xfId="40" applyNumberFormat="1" applyFont="1" applyFill="1" applyBorder="1" applyAlignment="1">
      <alignment horizontal="center" vertical="center" wrapText="1"/>
    </xf>
    <xf numFmtId="165" fontId="242" fillId="221" borderId="106" xfId="40" applyNumberFormat="1" applyFont="1" applyFill="1" applyBorder="1" applyAlignment="1">
      <alignment horizontal="center" vertical="center" wrapText="1"/>
    </xf>
    <xf numFmtId="0" fontId="243" fillId="109" borderId="106" xfId="40" applyNumberFormat="1" applyFont="1" applyFill="1" applyBorder="1" applyAlignment="1">
      <alignment vertical="center" wrapText="1"/>
    </xf>
    <xf numFmtId="0" fontId="237" fillId="218" borderId="212" xfId="40" applyNumberFormat="1" applyFont="1" applyFill="1" applyBorder="1" applyAlignment="1">
      <alignment vertical="center" wrapText="1"/>
    </xf>
    <xf numFmtId="0" fontId="237" fillId="218" borderId="213" xfId="40" applyNumberFormat="1" applyFont="1" applyFill="1" applyBorder="1" applyAlignment="1">
      <alignment vertical="center" wrapText="1"/>
    </xf>
    <xf numFmtId="0" fontId="237" fillId="218" borderId="214" xfId="40" applyNumberFormat="1" applyFont="1" applyFill="1" applyBorder="1" applyAlignment="1">
      <alignment vertical="center" wrapText="1"/>
    </xf>
    <xf numFmtId="0" fontId="236" fillId="218" borderId="106" xfId="40" applyNumberFormat="1" applyFont="1" applyFill="1" applyBorder="1" applyAlignment="1">
      <alignment vertical="center"/>
    </xf>
    <xf numFmtId="0" fontId="237" fillId="218" borderId="106" xfId="40" applyNumberFormat="1" applyFont="1" applyFill="1" applyBorder="1" applyAlignment="1">
      <alignment vertical="center"/>
    </xf>
    <xf numFmtId="0" fontId="237" fillId="218" borderId="215" xfId="40" applyNumberFormat="1" applyFont="1" applyFill="1" applyBorder="1" applyAlignment="1">
      <alignment vertical="center"/>
    </xf>
    <xf numFmtId="0" fontId="237" fillId="218" borderId="215" xfId="40" applyNumberFormat="1" applyFont="1" applyFill="1" applyBorder="1" applyAlignment="1">
      <alignment vertical="center" wrapText="1"/>
    </xf>
    <xf numFmtId="0" fontId="237" fillId="218" borderId="215" xfId="40" applyNumberFormat="1" applyFont="1" applyFill="1" applyBorder="1" applyAlignment="1">
      <alignment horizontal="center" vertical="center" wrapText="1"/>
    </xf>
    <xf numFmtId="0" fontId="237" fillId="220" borderId="215" xfId="40" applyNumberFormat="1" applyFont="1" applyFill="1" applyBorder="1" applyAlignment="1">
      <alignment horizontal="center" vertical="center" wrapText="1"/>
    </xf>
    <xf numFmtId="0" fontId="237" fillId="222" borderId="215" xfId="40" applyNumberFormat="1" applyFont="1" applyFill="1" applyBorder="1" applyAlignment="1">
      <alignment horizontal="center" vertical="center" wrapText="1"/>
    </xf>
    <xf numFmtId="0" fontId="237" fillId="221" borderId="215" xfId="40" applyNumberFormat="1" applyFont="1" applyFill="1" applyBorder="1" applyAlignment="1">
      <alignment horizontal="center" vertical="center" wrapText="1"/>
    </xf>
    <xf numFmtId="0" fontId="236" fillId="219" borderId="106" xfId="40" applyNumberFormat="1" applyFont="1" applyFill="1" applyBorder="1" applyAlignment="1">
      <alignment vertical="center"/>
    </xf>
    <xf numFmtId="0" fontId="233" fillId="219" borderId="106" xfId="40" applyNumberFormat="1" applyFont="1" applyFill="1" applyBorder="1" applyAlignment="1">
      <alignment vertical="center"/>
    </xf>
    <xf numFmtId="0" fontId="236" fillId="226" borderId="106" xfId="40" applyNumberFormat="1" applyFont="1" applyFill="1" applyBorder="1" applyAlignment="1">
      <alignment vertical="center"/>
    </xf>
    <xf numFmtId="0" fontId="237" fillId="226" borderId="106" xfId="40" applyNumberFormat="1" applyFont="1" applyFill="1" applyBorder="1" applyAlignment="1">
      <alignment vertical="center"/>
    </xf>
    <xf numFmtId="0" fontId="236" fillId="227" borderId="106" xfId="40" applyNumberFormat="1" applyFont="1" applyFill="1" applyBorder="1" applyAlignment="1">
      <alignment vertical="center"/>
    </xf>
    <xf numFmtId="0" fontId="237" fillId="227" borderId="106" xfId="40" applyNumberFormat="1" applyFont="1" applyFill="1" applyBorder="1" applyAlignment="1">
      <alignment vertical="center"/>
    </xf>
    <xf numFmtId="0" fontId="236" fillId="228" borderId="106" xfId="40" applyNumberFormat="1" applyFont="1" applyFill="1" applyBorder="1" applyAlignment="1">
      <alignment vertical="center"/>
    </xf>
    <xf numFmtId="0" fontId="237" fillId="228" borderId="106" xfId="40" applyNumberFormat="1" applyFont="1" applyFill="1" applyBorder="1" applyAlignment="1">
      <alignment vertical="center"/>
    </xf>
    <xf numFmtId="0" fontId="236" fillId="229" borderId="106" xfId="40" applyNumberFormat="1" applyFont="1" applyFill="1" applyBorder="1" applyAlignment="1">
      <alignment vertical="center"/>
    </xf>
    <xf numFmtId="0" fontId="233" fillId="229" borderId="106" xfId="40" applyNumberFormat="1" applyFont="1" applyFill="1" applyBorder="1" applyAlignment="1">
      <alignment vertical="center"/>
    </xf>
    <xf numFmtId="0" fontId="236" fillId="109" borderId="106" xfId="40" applyNumberFormat="1" applyFont="1" applyFill="1" applyBorder="1" applyAlignment="1">
      <alignment horizontal="center" vertical="center"/>
    </xf>
    <xf numFmtId="0" fontId="233" fillId="219" borderId="216" xfId="40" applyNumberFormat="1" applyFont="1" applyFill="1" applyBorder="1" applyAlignment="1">
      <alignment vertical="center"/>
    </xf>
    <xf numFmtId="0" fontId="236" fillId="109" borderId="216" xfId="40" applyNumberFormat="1" applyFont="1" applyFill="1" applyBorder="1" applyAlignment="1">
      <alignment horizontal="center" vertical="center"/>
    </xf>
    <xf numFmtId="0" fontId="237" fillId="226" borderId="216" xfId="40" applyNumberFormat="1" applyFont="1" applyFill="1" applyBorder="1" applyAlignment="1">
      <alignment vertical="center"/>
    </xf>
    <xf numFmtId="0" fontId="237" fillId="227" borderId="216" xfId="40" applyNumberFormat="1" applyFont="1" applyFill="1" applyBorder="1" applyAlignment="1">
      <alignment vertical="center"/>
    </xf>
    <xf numFmtId="0" fontId="237" fillId="228" borderId="216" xfId="40" applyNumberFormat="1" applyFont="1" applyFill="1" applyBorder="1" applyAlignment="1">
      <alignment vertical="center"/>
    </xf>
    <xf numFmtId="0" fontId="233" fillId="229" borderId="216" xfId="40" applyNumberFormat="1" applyFont="1" applyFill="1" applyBorder="1" applyAlignment="1">
      <alignment vertical="center"/>
    </xf>
    <xf numFmtId="0" fontId="236" fillId="109" borderId="216" xfId="40" applyNumberFormat="1" applyFont="1" applyFill="1" applyBorder="1" applyAlignment="1">
      <alignment vertical="center"/>
    </xf>
    <xf numFmtId="0" fontId="236" fillId="218" borderId="216" xfId="40" applyNumberFormat="1" applyFont="1" applyFill="1" applyBorder="1" applyAlignment="1">
      <alignment vertical="center"/>
    </xf>
    <xf numFmtId="0" fontId="236" fillId="218" borderId="216" xfId="40" applyNumberFormat="1" applyFont="1" applyFill="1" applyBorder="1" applyAlignment="1">
      <alignment horizontal="center" vertical="center"/>
    </xf>
    <xf numFmtId="0" fontId="237" fillId="218" borderId="216" xfId="40" applyNumberFormat="1" applyFont="1" applyFill="1" applyBorder="1" applyAlignment="1">
      <alignment vertical="center"/>
    </xf>
    <xf numFmtId="0" fontId="237" fillId="218" borderId="216" xfId="40" applyNumberFormat="1" applyFont="1" applyFill="1" applyBorder="1" applyAlignment="1">
      <alignment horizontal="center" vertical="center"/>
    </xf>
    <xf numFmtId="165" fontId="236" fillId="109" borderId="216" xfId="40" applyNumberFormat="1" applyFont="1" applyFill="1" applyBorder="1" applyAlignment="1">
      <alignment horizontal="center" vertical="center"/>
    </xf>
    <xf numFmtId="165" fontId="237" fillId="218" borderId="216" xfId="40" applyNumberFormat="1" applyFont="1" applyFill="1" applyBorder="1" applyAlignment="1">
      <alignment horizontal="center" vertical="center"/>
    </xf>
    <xf numFmtId="0" fontId="236" fillId="230" borderId="106" xfId="40" applyNumberFormat="1" applyFont="1" applyFill="1" applyBorder="1" applyAlignment="1">
      <alignment vertical="center"/>
    </xf>
    <xf numFmtId="0" fontId="236" fillId="231" borderId="106" xfId="40" applyNumberFormat="1" applyFont="1" applyFill="1" applyBorder="1" applyAlignment="1">
      <alignment vertical="center"/>
    </xf>
    <xf numFmtId="0" fontId="236" fillId="232" borderId="106" xfId="40" applyNumberFormat="1" applyFont="1" applyFill="1" applyBorder="1" applyAlignment="1">
      <alignment vertical="center"/>
    </xf>
    <xf numFmtId="0" fontId="236" fillId="233" borderId="106" xfId="40" applyNumberFormat="1" applyFont="1" applyFill="1" applyBorder="1" applyAlignment="1">
      <alignment vertical="center"/>
    </xf>
    <xf numFmtId="0" fontId="236" fillId="234" borderId="106" xfId="40" applyNumberFormat="1" applyFont="1" applyFill="1" applyBorder="1" applyAlignment="1">
      <alignment vertical="center"/>
    </xf>
    <xf numFmtId="0" fontId="236" fillId="235" borderId="106" xfId="40" applyNumberFormat="1" applyFont="1" applyFill="1" applyBorder="1" applyAlignment="1">
      <alignment vertical="center"/>
    </xf>
    <xf numFmtId="0" fontId="236" fillId="218" borderId="215" xfId="40" applyNumberFormat="1" applyFont="1" applyFill="1" applyBorder="1" applyAlignment="1">
      <alignment vertical="center" wrapText="1"/>
    </xf>
    <xf numFmtId="0" fontId="236" fillId="109" borderId="215" xfId="40" applyNumberFormat="1" applyFont="1" applyFill="1" applyBorder="1" applyAlignment="1">
      <alignment vertical="center"/>
    </xf>
    <xf numFmtId="0" fontId="236" fillId="230" borderId="215" xfId="40" applyNumberFormat="1" applyFont="1" applyFill="1" applyBorder="1" applyAlignment="1">
      <alignment vertical="center"/>
    </xf>
    <xf numFmtId="0" fontId="236" fillId="231" borderId="215" xfId="40" applyNumberFormat="1" applyFont="1" applyFill="1" applyBorder="1" applyAlignment="1">
      <alignment vertical="center"/>
    </xf>
    <xf numFmtId="0" fontId="236" fillId="232" borderId="215" xfId="40" applyNumberFormat="1" applyFont="1" applyFill="1" applyBorder="1" applyAlignment="1">
      <alignment vertical="center"/>
    </xf>
    <xf numFmtId="0" fontId="236" fillId="233" borderId="215" xfId="40" applyNumberFormat="1" applyFont="1" applyFill="1" applyBorder="1" applyAlignment="1">
      <alignment vertical="center"/>
    </xf>
    <xf numFmtId="0" fontId="236" fillId="234" borderId="215" xfId="40" applyNumberFormat="1" applyFont="1" applyFill="1" applyBorder="1" applyAlignment="1">
      <alignment vertical="center"/>
    </xf>
    <xf numFmtId="0" fontId="236" fillId="235" borderId="215" xfId="40" applyNumberFormat="1" applyFont="1" applyFill="1" applyBorder="1" applyAlignment="1">
      <alignment vertical="center"/>
    </xf>
    <xf numFmtId="0" fontId="236" fillId="230" borderId="215" xfId="40" applyNumberFormat="1" applyFont="1" applyFill="1" applyBorder="1" applyAlignment="1">
      <alignment horizontal="center" vertical="center"/>
    </xf>
    <xf numFmtId="0" fontId="236" fillId="231" borderId="215" xfId="40" applyNumberFormat="1" applyFont="1" applyFill="1" applyBorder="1" applyAlignment="1">
      <alignment horizontal="center" vertical="center"/>
    </xf>
    <xf numFmtId="0" fontId="236" fillId="232" borderId="215" xfId="40" applyNumberFormat="1" applyFont="1" applyFill="1" applyBorder="1" applyAlignment="1">
      <alignment horizontal="center" vertical="center"/>
    </xf>
    <xf numFmtId="0" fontId="236" fillId="233" borderId="215" xfId="40" applyNumberFormat="1" applyFont="1" applyFill="1" applyBorder="1" applyAlignment="1">
      <alignment horizontal="center" vertical="center"/>
    </xf>
    <xf numFmtId="0" fontId="236" fillId="109" borderId="215" xfId="40" applyNumberFormat="1" applyFont="1" applyFill="1" applyBorder="1" applyAlignment="1">
      <alignment horizontal="center" vertical="center"/>
    </xf>
    <xf numFmtId="0" fontId="236" fillId="234" borderId="215" xfId="40" applyNumberFormat="1" applyFont="1" applyFill="1" applyBorder="1" applyAlignment="1">
      <alignment horizontal="center" vertical="center"/>
    </xf>
    <xf numFmtId="0" fontId="236" fillId="235" borderId="215" xfId="40" applyNumberFormat="1" applyFont="1" applyFill="1" applyBorder="1" applyAlignment="1">
      <alignment horizontal="center" vertical="center"/>
    </xf>
    <xf numFmtId="0" fontId="237" fillId="218" borderId="215" xfId="40" applyNumberFormat="1" applyFont="1" applyFill="1" applyBorder="1" applyAlignment="1">
      <alignment horizontal="center" vertical="center"/>
    </xf>
    <xf numFmtId="0" fontId="236" fillId="236" borderId="106" xfId="40" applyNumberFormat="1" applyFont="1" applyFill="1" applyBorder="1" applyAlignment="1">
      <alignment vertical="center" wrapText="1"/>
    </xf>
    <xf numFmtId="0" fontId="238" fillId="236" borderId="106" xfId="40" applyNumberFormat="1" applyFont="1" applyFill="1" applyBorder="1" applyAlignment="1">
      <alignment vertical="center" wrapText="1"/>
    </xf>
    <xf numFmtId="0" fontId="237" fillId="218" borderId="217" xfId="40" applyNumberFormat="1" applyFont="1" applyFill="1" applyBorder="1" applyAlignment="1">
      <alignment vertical="center" wrapText="1"/>
    </xf>
    <xf numFmtId="0" fontId="237" fillId="218" borderId="218" xfId="40" applyNumberFormat="1" applyFont="1" applyFill="1" applyBorder="1" applyAlignment="1">
      <alignment vertical="center" wrapText="1"/>
    </xf>
    <xf numFmtId="0" fontId="236" fillId="218" borderId="219" xfId="40" applyNumberFormat="1" applyFont="1" applyFill="1" applyBorder="1" applyAlignment="1">
      <alignment vertical="center"/>
    </xf>
    <xf numFmtId="0" fontId="238" fillId="236" borderId="220" xfId="40" applyNumberFormat="1" applyFont="1" applyFill="1" applyBorder="1" applyAlignment="1">
      <alignment vertical="center" wrapText="1"/>
    </xf>
    <xf numFmtId="0" fontId="236" fillId="109" borderId="221" xfId="40" applyNumberFormat="1" applyFont="1" applyFill="1" applyBorder="1" applyAlignment="1">
      <alignment vertical="center"/>
    </xf>
    <xf numFmtId="0" fontId="238" fillId="109" borderId="220" xfId="40" applyNumberFormat="1" applyFont="1" applyFill="1" applyBorder="1" applyAlignment="1">
      <alignment vertical="center" wrapText="1"/>
    </xf>
    <xf numFmtId="0" fontId="238" fillId="236" borderId="222" xfId="40" applyNumberFormat="1" applyFont="1" applyFill="1" applyBorder="1" applyAlignment="1">
      <alignment vertical="center" wrapText="1"/>
    </xf>
    <xf numFmtId="0" fontId="238" fillId="236" borderId="223" xfId="40" applyNumberFormat="1" applyFont="1" applyFill="1" applyBorder="1" applyAlignment="1">
      <alignment vertical="center" wrapText="1"/>
    </xf>
    <xf numFmtId="0" fontId="236" fillId="109" borderId="224" xfId="40" applyNumberFormat="1" applyFont="1" applyFill="1" applyBorder="1" applyAlignment="1">
      <alignment vertical="center"/>
    </xf>
    <xf numFmtId="0" fontId="236" fillId="109" borderId="221" xfId="40" applyNumberFormat="1" applyFont="1" applyFill="1" applyBorder="1" applyAlignment="1">
      <alignment horizontal="center" vertical="center"/>
    </xf>
    <xf numFmtId="0" fontId="236" fillId="109" borderId="224" xfId="40" applyNumberFormat="1" applyFont="1" applyFill="1" applyBorder="1" applyAlignment="1">
      <alignment horizontal="center" vertical="center"/>
    </xf>
    <xf numFmtId="0" fontId="244" fillId="109" borderId="106" xfId="40" applyNumberFormat="1" applyFont="1" applyFill="1" applyBorder="1" applyAlignment="1">
      <alignment vertical="center"/>
    </xf>
    <xf numFmtId="0" fontId="238" fillId="223" borderId="106" xfId="40" applyNumberFormat="1" applyFont="1" applyFill="1" applyBorder="1" applyAlignment="1">
      <alignment vertical="center" wrapText="1"/>
    </xf>
    <xf numFmtId="0" fontId="236" fillId="223" borderId="106" xfId="40" applyNumberFormat="1" applyFont="1" applyFill="1" applyBorder="1" applyAlignment="1">
      <alignment vertical="center"/>
    </xf>
    <xf numFmtId="0" fontId="236" fillId="223" borderId="106" xfId="40" applyNumberFormat="1" applyFont="1" applyFill="1" applyBorder="1" applyAlignment="1">
      <alignment horizontal="center" vertical="center"/>
    </xf>
    <xf numFmtId="0" fontId="237" fillId="222" borderId="212" xfId="40" applyNumberFormat="1" applyFont="1" applyFill="1" applyBorder="1" applyAlignment="1">
      <alignment vertical="center" wrapText="1"/>
    </xf>
    <xf numFmtId="0" fontId="237" fillId="222" borderId="213" xfId="40" applyNumberFormat="1" applyFont="1" applyFill="1" applyBorder="1" applyAlignment="1">
      <alignment vertical="center" wrapText="1"/>
    </xf>
    <xf numFmtId="0" fontId="237" fillId="222" borderId="214" xfId="40" applyNumberFormat="1" applyFont="1" applyFill="1" applyBorder="1" applyAlignment="1">
      <alignment vertical="center" wrapText="1"/>
    </xf>
    <xf numFmtId="0" fontId="238" fillId="218" borderId="106" xfId="40" applyNumberFormat="1" applyFont="1" applyFill="1" applyBorder="1" applyAlignment="1">
      <alignment vertical="center" wrapText="1"/>
    </xf>
    <xf numFmtId="0" fontId="236" fillId="109" borderId="106" xfId="40" applyNumberFormat="1" applyFont="1" applyFill="1" applyBorder="1" applyAlignment="1">
      <alignment vertical="top" wrapText="1"/>
    </xf>
    <xf numFmtId="0" fontId="238" fillId="109" borderId="106" xfId="40" applyNumberFormat="1" applyFont="1" applyFill="1" applyBorder="1" applyAlignment="1">
      <alignment vertical="top" wrapText="1"/>
    </xf>
    <xf numFmtId="0" fontId="236" fillId="109" borderId="225" xfId="40" applyNumberFormat="1" applyFont="1" applyFill="1" applyBorder="1" applyAlignment="1">
      <alignment vertical="top" wrapText="1"/>
    </xf>
    <xf numFmtId="0" fontId="238" fillId="109" borderId="226" xfId="40" applyNumberFormat="1" applyFont="1" applyFill="1" applyBorder="1" applyAlignment="1">
      <alignment vertical="top" wrapText="1"/>
    </xf>
    <xf numFmtId="0" fontId="236" fillId="109" borderId="226" xfId="40" applyNumberFormat="1" applyFont="1" applyFill="1" applyBorder="1" applyAlignment="1">
      <alignment vertical="top" wrapText="1"/>
    </xf>
    <xf numFmtId="0" fontId="238" fillId="109" borderId="227" xfId="40" applyNumberFormat="1" applyFont="1" applyFill="1" applyBorder="1" applyAlignment="1">
      <alignment vertical="top" wrapText="1"/>
    </xf>
    <xf numFmtId="0" fontId="236" fillId="223" borderId="225" xfId="40" applyNumberFormat="1" applyFont="1" applyFill="1" applyBorder="1" applyAlignment="1">
      <alignment vertical="top" wrapText="1"/>
    </xf>
    <xf numFmtId="0" fontId="238" fillId="223" borderId="226" xfId="40" applyNumberFormat="1" applyFont="1" applyFill="1" applyBorder="1" applyAlignment="1">
      <alignment vertical="top" wrapText="1"/>
    </xf>
    <xf numFmtId="0" fontId="236" fillId="223" borderId="226" xfId="40" applyNumberFormat="1" applyFont="1" applyFill="1" applyBorder="1" applyAlignment="1">
      <alignment vertical="top" wrapText="1"/>
    </xf>
    <xf numFmtId="0" fontId="238" fillId="223" borderId="227" xfId="40" applyNumberFormat="1" applyFont="1" applyFill="1" applyBorder="1" applyAlignment="1">
      <alignment vertical="top" wrapText="1"/>
    </xf>
  </cellXfs>
  <cellStyles count="20">
    <cellStyle name="Lien hypertexte" xfId="10" builtinId="8" hidden="1"/>
    <cellStyle name="Lien hypertexte" xfId="8" builtinId="8" hidden="1"/>
    <cellStyle name="Lien hypertexte" xfId="14" builtinId="8" hidden="1"/>
    <cellStyle name="Lien hypertexte" xfId="6" builtinId="8" hidden="1"/>
    <cellStyle name="Lien hypertexte" xfId="18" builtinId="8" hidden="1"/>
    <cellStyle name="Lien hypertexte" xfId="16" builtinId="8" hidden="1"/>
    <cellStyle name="Lien hypertexte" xfId="12" builtinId="8" hidden="1"/>
    <cellStyle name="Lien hypertexte visité" xfId="9" builtinId="9" hidden="1"/>
    <cellStyle name="Lien hypertexte visité" xfId="7" builtinId="9" hidden="1"/>
    <cellStyle name="Lien hypertexte visité" xfId="11" builtinId="9" hidden="1"/>
    <cellStyle name="Lien hypertexte visité" xfId="13" builtinId="9" hidden="1"/>
    <cellStyle name="Lien hypertexte visité" xfId="15" builtinId="9" hidden="1"/>
    <cellStyle name="Lien hypertexte visité" xfId="19" builtinId="9" hidden="1"/>
    <cellStyle name="Lien hypertexte visité" xfId="17" builtinId="9" hidden="1"/>
    <cellStyle name="Milliers,00" xfId="1" xr:uid="{00000000-0005-0000-0000-00000E000000}"/>
    <cellStyle name="Normal" xfId="0" builtinId="0"/>
    <cellStyle name="Ombré1" xfId="2" xr:uid="{00000000-0005-0000-0000-000010000000}"/>
    <cellStyle name="Ombré2" xfId="3" xr:uid="{00000000-0005-0000-0000-000011000000}"/>
    <cellStyle name="Ombré3" xfId="4" xr:uid="{00000000-0005-0000-0000-000012000000}"/>
    <cellStyle name="Vide" xfId="5" xr:uid="{00000000-0005-0000-0000-000013000000}"/>
  </cellStyles>
  <dxfs count="1665">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4659260841701"/>
        </patternFill>
      </fill>
    </dxf>
    <dxf>
      <fill>
        <patternFill>
          <bgColor theme="9"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4659260841701"/>
        </patternFill>
      </fill>
    </dxf>
    <dxf>
      <fill>
        <patternFill>
          <bgColor rgb="FF7030A0"/>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4659260841701"/>
        </patternFill>
      </fill>
    </dxf>
    <dxf>
      <fill>
        <patternFill>
          <bgColor theme="9" tint="-0.24994659260841701"/>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4659260841701"/>
        </patternFill>
      </fill>
    </dxf>
    <dxf>
      <fill>
        <patternFill>
          <bgColor theme="0"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4659260841701"/>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4659260841701"/>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4659260841701"/>
        </patternFill>
      </fill>
    </dxf>
    <dxf>
      <fill>
        <patternFill>
          <bgColor theme="9" tint="-0.24994659260841701"/>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ont>
        <color rgb="FF9A4700"/>
      </font>
      <fill>
        <patternFill patternType="solid">
          <bgColor rgb="FFFBE7D3"/>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00B0F0"/>
        </patternFill>
      </fill>
    </dxf>
    <dxf>
      <fill>
        <patternFill>
          <bgColor rgb="FF7030A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rgb="FF92D050"/>
        </patternFill>
      </fill>
    </dxf>
    <dxf>
      <fill>
        <patternFill>
          <bgColor theme="0" tint="-0.24995"/>
        </patternFill>
      </fill>
    </dxf>
    <dxf>
      <fill>
        <patternFill>
          <bgColor theme="9" tint="-0.2499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theme="9" tint="-0.24995"/>
        </patternFill>
      </fill>
    </dxf>
    <dxf>
      <fill>
        <patternFill>
          <bgColor rgb="FF7030A0"/>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FFFF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theme="0" tint="-0.24995"/>
        </patternFill>
      </fill>
    </dxf>
    <dxf>
      <fill>
        <patternFill>
          <bgColor theme="9" tint="-0.24995"/>
        </patternFill>
      </fill>
    </dxf>
    <dxf>
      <fill>
        <patternFill>
          <bgColor rgb="FF7030A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9" tint="-0.24995"/>
        </patternFill>
      </fill>
    </dxf>
    <dxf>
      <fill>
        <patternFill>
          <bgColor theme="0"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7030A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theme="9" tint="-0.24995"/>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tint="-0.24995"/>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theme="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rgb="FF7030A0"/>
        </patternFill>
      </fill>
    </dxf>
    <dxf>
      <fill>
        <patternFill>
          <bgColor theme="0" tint="-0.24995"/>
        </patternFill>
      </fill>
    </dxf>
    <dxf>
      <fill>
        <patternFill>
          <bgColor theme="9" tint="-0.24995"/>
        </patternFill>
      </fill>
    </dxf>
    <dxf>
      <fill>
        <patternFill>
          <bgColor rgb="FF92D050"/>
        </patternFill>
      </fill>
    </dxf>
    <dxf>
      <fill>
        <patternFill>
          <bgColor rgb="FF7030A0"/>
        </patternFill>
      </fill>
    </dxf>
    <dxf>
      <fill>
        <patternFill>
          <bgColor rgb="FFFF0000"/>
        </patternFill>
      </fill>
    </dxf>
    <dxf>
      <fill>
        <patternFill>
          <bgColor rgb="FFFFFF00"/>
        </patternFill>
      </fill>
    </dxf>
    <dxf>
      <fill>
        <patternFill>
          <bgColor rgb="FF00B0F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ill>
        <patternFill>
          <bgColor theme="0"/>
        </patternFill>
      </fill>
    </dxf>
    <dxf>
      <fill>
        <patternFill>
          <bgColor rgb="FFFF0000"/>
        </patternFill>
      </fill>
    </dxf>
    <dxf>
      <fill>
        <patternFill>
          <bgColor rgb="FFFF0000"/>
        </patternFill>
      </fill>
    </dxf>
    <dxf>
      <font>
        <color rgb="FF9A4700"/>
      </font>
      <fill>
        <patternFill>
          <bgColor rgb="FFFBE7D3"/>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color rgb="FF000000"/>
      </font>
      <fill>
        <patternFill patternType="solid">
          <bgColor rgb="FFFF0000"/>
        </patternFill>
      </fill>
    </dxf>
    <dxf>
      <font>
        <b/>
        <color rgb="FF000000"/>
      </font>
      <fill>
        <patternFill patternType="solid">
          <bgColor rgb="FFFFC000"/>
        </patternFill>
      </fill>
    </dxf>
    <dxf>
      <font>
        <b/>
        <color rgb="FF000000"/>
      </font>
      <fill>
        <patternFill patternType="solid">
          <bgColor rgb="FFFFFF00"/>
        </patternFill>
      </fill>
    </dxf>
    <dxf>
      <font>
        <b/>
        <color rgb="FF000000"/>
      </font>
      <fill>
        <patternFill patternType="solid">
          <bgColor rgb="FF92D050"/>
        </patternFill>
      </fill>
    </dxf>
    <dxf>
      <font>
        <b/>
        <color rgb="FF000000"/>
      </font>
      <fill>
        <patternFill patternType="solid">
          <bgColor rgb="FF00B050"/>
        </patternFill>
      </fill>
    </dxf>
    <dxf>
      <font>
        <b/>
        <color rgb="FF000000"/>
      </font>
      <fill>
        <patternFill patternType="solid">
          <bgColor rgb="FFD9EAD3"/>
        </patternFill>
      </fill>
    </dxf>
    <dxf>
      <font>
        <b/>
        <color rgb="FF000000"/>
      </font>
      <fill>
        <patternFill patternType="solid">
          <bgColor rgb="FFD9D9D9"/>
        </patternFill>
      </fill>
    </dxf>
    <dxf>
      <font>
        <b/>
      </font>
      <fill>
        <patternFill patternType="solid">
          <bgColor rgb="FFE6B9B8"/>
        </patternFill>
      </fill>
    </dxf>
    <dxf>
      <font>
        <b/>
      </font>
      <fill>
        <patternFill patternType="solid">
          <bgColor rgb="FFE6B9B8"/>
        </patternFill>
      </fill>
    </dxf>
    <dxf>
      <font>
        <b/>
        <color rgb="FF000000"/>
      </font>
      <fill>
        <patternFill patternType="solid">
          <bgColor rgb="FFFF0000"/>
        </patternFill>
      </fill>
    </dxf>
    <dxf>
      <font>
        <b/>
      </font>
      <fill>
        <patternFill patternType="solid">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66CCFF"/>
      <rgbColor rgb="00800000"/>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EAEAEA"/>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C5BF3"/>
      <color rgb="FFCCCC00"/>
      <color rgb="FFFFFF00"/>
      <color rgb="FFFFFFCC"/>
      <color rgb="FFFFFF99"/>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fr-CA" sz="1600">
                <a:solidFill>
                  <a:sysClr val="windowText" lastClr="000000"/>
                </a:solidFill>
              </a:rPr>
              <a:t>Résultats synthèse de la priorisation des cibles des ONR : Ensemble des 32 cibles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5519-41AC-BC43-67BE7C002D5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519-41AC-BC43-67BE7C002D58}"/>
              </c:ext>
            </c:extLst>
          </c:dPt>
          <c:dPt>
            <c:idx val="2"/>
            <c:invertIfNegative val="0"/>
            <c:bubble3D val="0"/>
            <c:spPr>
              <a:solidFill>
                <a:srgbClr val="FFFF00"/>
              </a:solidFill>
              <a:ln>
                <a:noFill/>
              </a:ln>
              <a:effectLst/>
            </c:spPr>
            <c:extLst>
              <c:ext xmlns:c16="http://schemas.microsoft.com/office/drawing/2014/chart" uri="{C3380CC4-5D6E-409C-BE32-E72D297353CC}">
                <c16:uniqueId val="{00000005-5519-41AC-BC43-67BE7C002D58}"/>
              </c:ext>
            </c:extLst>
          </c:dPt>
          <c:dPt>
            <c:idx val="3"/>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5519-41AC-BC43-67BE7C002D58}"/>
              </c:ext>
            </c:extLst>
          </c:dPt>
          <c:dPt>
            <c:idx val="4"/>
            <c:invertIfNegative val="0"/>
            <c:bubble3D val="0"/>
            <c:spPr>
              <a:solidFill>
                <a:srgbClr val="92D050"/>
              </a:solidFill>
              <a:ln>
                <a:noFill/>
              </a:ln>
              <a:effectLst/>
            </c:spPr>
            <c:extLst>
              <c:ext xmlns:c16="http://schemas.microsoft.com/office/drawing/2014/chart" uri="{C3380CC4-5D6E-409C-BE32-E72D297353CC}">
                <c16:uniqueId val="{00000009-5519-41AC-BC43-67BE7C002D58}"/>
              </c:ext>
            </c:extLst>
          </c:dPt>
          <c:dPt>
            <c:idx val="5"/>
            <c:invertIfNegative val="0"/>
            <c:bubble3D val="0"/>
            <c:spPr>
              <a:solidFill>
                <a:srgbClr val="7030A0"/>
              </a:solidFill>
              <a:ln>
                <a:noFill/>
              </a:ln>
              <a:effectLst/>
            </c:spPr>
            <c:extLst>
              <c:ext xmlns:c16="http://schemas.microsoft.com/office/drawing/2014/chart" uri="{C3380CC4-5D6E-409C-BE32-E72D297353CC}">
                <c16:uniqueId val="{0000000B-5519-41AC-BC43-67BE7C002D58}"/>
              </c:ext>
            </c:extLst>
          </c:dPt>
          <c:dPt>
            <c:idx val="6"/>
            <c:invertIfNegative val="0"/>
            <c:bubble3D val="0"/>
            <c:spPr>
              <a:solidFill>
                <a:schemeClr val="bg1">
                  <a:lumMod val="75000"/>
                </a:schemeClr>
              </a:solidFill>
              <a:ln>
                <a:noFill/>
              </a:ln>
              <a:effectLst/>
            </c:spPr>
            <c:extLst>
              <c:ext xmlns:c16="http://schemas.microsoft.com/office/drawing/2014/chart" uri="{C3380CC4-5D6E-409C-BE32-E72D297353CC}">
                <c16:uniqueId val="{0000000D-5519-41AC-BC43-67BE7C002D58}"/>
              </c:ext>
            </c:extLst>
          </c:dPt>
          <c:dPt>
            <c:idx val="7"/>
            <c:invertIfNegative val="0"/>
            <c:bubble3D val="0"/>
            <c:spPr>
              <a:solidFill>
                <a:schemeClr val="bg1">
                  <a:lumMod val="75000"/>
                </a:schemeClr>
              </a:solidFill>
              <a:ln>
                <a:noFill/>
              </a:ln>
              <a:effectLst/>
            </c:spPr>
            <c:extLst>
              <c:ext xmlns:c16="http://schemas.microsoft.com/office/drawing/2014/chart" uri="{C3380CC4-5D6E-409C-BE32-E72D297353CC}">
                <c16:uniqueId val="{0000000F-5519-41AC-BC43-67BE7C002D5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synthèse'!$G$3:$M$3</c:f>
              <c:numCache>
                <c:formatCode>General</c:formatCode>
                <c:ptCount val="7"/>
                <c:pt idx="0">
                  <c:v>2</c:v>
                </c:pt>
                <c:pt idx="1">
                  <c:v>1</c:v>
                </c:pt>
                <c:pt idx="2">
                  <c:v>1</c:v>
                </c:pt>
                <c:pt idx="3">
                  <c:v>0</c:v>
                </c:pt>
                <c:pt idx="4">
                  <c:v>0</c:v>
                </c:pt>
                <c:pt idx="5">
                  <c:v>0</c:v>
                </c:pt>
                <c:pt idx="6">
                  <c:v>0</c:v>
                </c:pt>
              </c:numCache>
            </c:numRef>
          </c:val>
          <c:extLst>
            <c:ext xmlns:c16="http://schemas.microsoft.com/office/drawing/2014/chart" uri="{C3380CC4-5D6E-409C-BE32-E72D297353CC}">
              <c16:uniqueId val="{00000010-5519-41AC-BC43-67BE7C002D58}"/>
            </c:ext>
          </c:extLst>
        </c:ser>
        <c:dLbls>
          <c:dLblPos val="outEnd"/>
          <c:showLegendKey val="0"/>
          <c:showVal val="1"/>
          <c:showCatName val="0"/>
          <c:showSerName val="0"/>
          <c:showPercent val="0"/>
          <c:showBubbleSize val="0"/>
        </c:dLbls>
        <c:gapWidth val="182"/>
        <c:axId val="48678400"/>
        <c:axId val="48684416"/>
      </c:barChart>
      <c:catAx>
        <c:axId val="4867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fr-FR"/>
          </a:p>
        </c:txPr>
        <c:crossAx val="48684416"/>
        <c:crosses val="autoZero"/>
        <c:auto val="1"/>
        <c:lblAlgn val="ctr"/>
        <c:lblOffset val="100"/>
        <c:noMultiLvlLbl val="0"/>
      </c:catAx>
      <c:valAx>
        <c:axId val="48684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fr-CA" sz="1800">
                    <a:solidFill>
                      <a:sysClr val="windowText" lastClr="000000"/>
                    </a:solidFill>
                  </a:rPr>
                  <a:t>Nombre de cibles</a:t>
                </a:r>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fr-FR"/>
          </a:p>
        </c:txPr>
        <c:crossAx val="48678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1 : Sobriété</a:t>
            </a:r>
          </a:p>
        </c:rich>
      </c:tx>
      <c:overlay val="0"/>
      <c:spPr>
        <a:noFill/>
        <a:ln>
          <a:noFill/>
        </a:ln>
      </c:spPr>
    </c:title>
    <c:autoTitleDeleted val="0"/>
    <c:plotArea>
      <c:layout/>
      <c:pieChart>
        <c:varyColors val="1"/>
        <c:ser>
          <c:idx val="0"/>
          <c:order val="0"/>
          <c:tx>
            <c:strRef>
              <c:f>'Résultats synthèse'!$B$4</c:f>
              <c:strCache>
                <c:ptCount val="1"/>
                <c:pt idx="0">
                  <c:v>ONR 1 : Sobriété</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synthèse'!$G$4:$M$4</c:f>
              <c:numCache>
                <c:formatCode>General</c:formatCode>
                <c:ptCount val="7"/>
                <c:pt idx="0">
                  <c:v>2</c:v>
                </c:pt>
                <c:pt idx="1">
                  <c:v>1</c:v>
                </c:pt>
                <c:pt idx="2">
                  <c:v>1</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2 : Inclusion</a:t>
            </a:r>
          </a:p>
        </c:rich>
      </c:tx>
      <c:overlay val="0"/>
      <c:spPr>
        <a:noFill/>
        <a:ln>
          <a:noFill/>
        </a:ln>
      </c:spPr>
    </c:title>
    <c:autoTitleDeleted val="0"/>
    <c:plotArea>
      <c:layout/>
      <c:pieChart>
        <c:varyColors val="1"/>
        <c:ser>
          <c:idx val="0"/>
          <c:order val="0"/>
          <c:tx>
            <c:strRef>
              <c:f>'Résultats synthèse'!$B$5</c:f>
              <c:strCache>
                <c:ptCount val="1"/>
                <c:pt idx="0">
                  <c:v>ONR 2 : Inclusion</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synthèse'!$G$5:$M$5</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3 : RSE</a:t>
            </a:r>
          </a:p>
        </c:rich>
      </c:tx>
      <c:overlay val="0"/>
      <c:spPr>
        <a:noFill/>
        <a:ln>
          <a:noFill/>
        </a:ln>
      </c:spPr>
    </c:title>
    <c:autoTitleDeleted val="0"/>
    <c:plotArea>
      <c:layout/>
      <c:pieChart>
        <c:varyColors val="1"/>
        <c:ser>
          <c:idx val="0"/>
          <c:order val="0"/>
          <c:tx>
            <c:strRef>
              <c:f>'Résultats synthèse'!$B$6</c:f>
              <c:strCache>
                <c:ptCount val="1"/>
                <c:pt idx="0">
                  <c:v>ONR 3 : RSE</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synthèse'!$G$6:$M$6</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4 : Résilience et stratégie</a:t>
            </a:r>
          </a:p>
        </c:rich>
      </c:tx>
      <c:overlay val="0"/>
      <c:spPr>
        <a:noFill/>
        <a:ln>
          <a:noFill/>
        </a:ln>
      </c:spPr>
    </c:title>
    <c:autoTitleDeleted val="0"/>
    <c:plotArea>
      <c:layout/>
      <c:pieChart>
        <c:varyColors val="1"/>
        <c:ser>
          <c:idx val="0"/>
          <c:order val="0"/>
          <c:tx>
            <c:strRef>
              <c:f>'Résultats synthèse'!$B$7</c:f>
              <c:strCache>
                <c:ptCount val="1"/>
                <c:pt idx="0">
                  <c:v>ONR 4 : Résilience et stratégie</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synthèse'!$G$7:$M$7</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rot="0" spcFirstLastPara="1" vertOverflow="ellipsis" vert="horz" wrap="square" anchor="ctr" anchorCtr="1"/>
          <a:lstStyle/>
          <a:p>
            <a:pPr>
              <a:defRPr sz="1400" b="0" i="0" u="none" strike="noStrike" kern="1200" baseline="0">
                <a:solidFill>
                  <a:sysClr val="windowText" lastClr="000000"/>
                </a:solidFill>
                <a:latin typeface="+mn-lt"/>
              </a:defRPr>
            </a:pPr>
            <a:r>
              <a:rPr lang="fr-FR" sz="1400"/>
              <a:t>ONR 5 : Management</a:t>
            </a:r>
          </a:p>
        </c:rich>
      </c:tx>
      <c:overlay val="0"/>
      <c:spPr>
        <a:noFill/>
        <a:ln>
          <a:noFill/>
        </a:ln>
      </c:spPr>
    </c:title>
    <c:autoTitleDeleted val="0"/>
    <c:plotArea>
      <c:layout/>
      <c:pieChart>
        <c:varyColors val="1"/>
        <c:ser>
          <c:idx val="0"/>
          <c:order val="0"/>
          <c:tx>
            <c:strRef>
              <c:f>'Résultats synthèse'!$B$8</c:f>
              <c:strCache>
                <c:ptCount val="1"/>
                <c:pt idx="0">
                  <c:v>ONR 5 : Management</c:v>
                </c:pt>
              </c:strCache>
            </c:strRef>
          </c:tx>
          <c:dPt>
            <c:idx val="0"/>
            <c:bubble3D val="0"/>
            <c:spPr>
              <a:solidFill>
                <a:srgbClr val="FF0000"/>
              </a:solidFill>
              <a:ln w="19050">
                <a:solidFill>
                  <a:srgbClr val="FFFFFF"/>
                </a:solidFill>
              </a:ln>
            </c:spPr>
          </c:dPt>
          <c:dPt>
            <c:idx val="1"/>
            <c:bubble3D val="0"/>
            <c:spPr>
              <a:solidFill>
                <a:srgbClr val="ED7D31"/>
              </a:solidFill>
              <a:ln w="19050">
                <a:solidFill>
                  <a:srgbClr val="FFFFFF"/>
                </a:solidFill>
              </a:ln>
            </c:spPr>
          </c:dPt>
          <c:dPt>
            <c:idx val="2"/>
            <c:bubble3D val="0"/>
            <c:spPr>
              <a:solidFill>
                <a:srgbClr val="FFC000"/>
              </a:solidFill>
              <a:ln w="19050">
                <a:solidFill>
                  <a:srgbClr val="FFFFFF"/>
                </a:solidFill>
              </a:ln>
            </c:spPr>
          </c:dPt>
          <c:dPt>
            <c:idx val="3"/>
            <c:bubble3D val="0"/>
            <c:spPr>
              <a:solidFill>
                <a:srgbClr val="4472C4"/>
              </a:solidFill>
              <a:ln w="19050">
                <a:solidFill>
                  <a:srgbClr val="FFFFFF"/>
                </a:solidFill>
              </a:ln>
            </c:spPr>
          </c:dPt>
          <c:dPt>
            <c:idx val="4"/>
            <c:bubble3D val="0"/>
            <c:spPr>
              <a:solidFill>
                <a:srgbClr val="70AD47"/>
              </a:solidFill>
              <a:ln w="19050">
                <a:solidFill>
                  <a:srgbClr val="FFFFFF"/>
                </a:solidFill>
              </a:ln>
            </c:spPr>
          </c:dPt>
          <c:dPt>
            <c:idx val="5"/>
            <c:bubble3D val="0"/>
            <c:spPr>
              <a:solidFill>
                <a:srgbClr val="BFBFBF"/>
              </a:solidFill>
              <a:ln w="19050">
                <a:solidFill>
                  <a:srgbClr val="FFFFFF"/>
                </a:solidFill>
              </a:ln>
            </c:spPr>
          </c:dPt>
          <c:dPt>
            <c:idx val="6"/>
            <c:bubble3D val="0"/>
            <c:spPr>
              <a:solidFill>
                <a:srgbClr val="404040"/>
              </a:solidFill>
              <a:ln w="19050">
                <a:solidFill>
                  <a:srgbClr val="FFFFFF"/>
                </a:solidFill>
              </a:ln>
            </c:spPr>
          </c:dPt>
          <c:dLbls>
            <c:spPr>
              <a:noFill/>
              <a:ln>
                <a:noFill/>
              </a:ln>
            </c:spPr>
            <c:txPr>
              <a:bodyPr/>
              <a:lstStyle/>
              <a:p>
                <a:pPr>
                  <a:defRPr sz="1000" b="1"/>
                </a:pPr>
                <a:endParaRPr lang="fr-FR"/>
              </a:p>
            </c:txPr>
            <c:showLegendKey val="0"/>
            <c:showVal val="1"/>
            <c:showCatName val="0"/>
            <c:showSerName val="0"/>
            <c:showPercent val="0"/>
            <c:showBubbleSize val="0"/>
            <c:showLeaderLines val="1"/>
          </c:dLbls>
          <c:cat>
            <c:strRef>
              <c:f>'Résultats synthèse'!$G$1:$M$1</c:f>
              <c:strCache>
                <c:ptCount val="7"/>
                <c:pt idx="0">
                  <c:v>Urgentes</c:v>
                </c:pt>
                <c:pt idx="1">
                  <c:v>Prioritaires</c:v>
                </c:pt>
                <c:pt idx="2">
                  <c:v>À moyen terme</c:v>
                </c:pt>
                <c:pt idx="3">
                  <c:v>À long terme</c:v>
                </c:pt>
                <c:pt idx="4">
                  <c:v>À consolider</c:v>
                </c:pt>
                <c:pt idx="5">
                  <c:v>Non prioritaires</c:v>
                </c:pt>
                <c:pt idx="6">
                  <c:v>Non pertinentes</c:v>
                </c:pt>
              </c:strCache>
            </c:strRef>
          </c:cat>
          <c:val>
            <c:numRef>
              <c:f>'Résultats synthèse'!$G$8:$M$8</c:f>
              <c:numCache>
                <c:formatCode>General</c:formatCode>
                <c:ptCount val="7"/>
                <c:pt idx="0">
                  <c:v>0</c:v>
                </c:pt>
                <c:pt idx="1">
                  <c:v>0</c:v>
                </c:pt>
                <c:pt idx="2">
                  <c:v>0</c:v>
                </c:pt>
                <c:pt idx="3">
                  <c:v>0</c:v>
                </c:pt>
                <c:pt idx="4">
                  <c:v>0</c:v>
                </c:pt>
                <c:pt idx="5">
                  <c:v>0</c:v>
                </c:pt>
                <c:pt idx="6">
                  <c:v>0</c:v>
                </c:pt>
              </c:numCache>
            </c:numRef>
          </c:val>
        </c:ser>
        <c:dLbls>
          <c:showLegendKey val="0"/>
          <c:showVal val="1"/>
          <c:showCatName val="0"/>
          <c:showSerName val="0"/>
          <c:showPercent val="0"/>
          <c:showBubbleSize val="0"/>
          <c:showLeaderLines val="1"/>
        </c:dLbls>
        <c:firstSliceAng val="0"/>
      </c:pieChart>
      <c:spPr>
        <a:noFill/>
        <a:ln>
          <a:noFill/>
        </a:ln>
      </c:spPr>
    </c:plotArea>
    <c:legend>
      <c:legendPos val="r"/>
      <c:overlay val="0"/>
      <c:txPr>
        <a:bodyPr/>
        <a:lstStyle/>
        <a:p>
          <a:pPr>
            <a:defRPr sz="900"/>
          </a:pPr>
          <a:endParaRPr lang="fr-FR"/>
        </a:p>
      </c:txPr>
    </c:legend>
    <c:plotVisOnly val="1"/>
    <c:dispBlanksAs val="gap"/>
  </c:chart>
  <c:spPr>
    <a:noFill/>
    <a:ln>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officialLogoINR20261007" Type="http://schemas.openxmlformats.org/officeDocument/2006/relationships/image" Target="/xl/media/inr20261007_image.png"/></Relationships>
</file>

<file path=xl/drawings/_rels/drawing2.xml.rels><?xml version='1.0' encoding='UTF-8' standalone='yes'?>
<Relationships xmlns="http://schemas.openxmlformats.org/package/2006/relationships"><Relationship Id="officialLogoINR20261007" Type="http://schemas.openxmlformats.org/officeDocument/2006/relationships/image" Target="/xl/media/inr20261007_image.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inr20261007_drawing3.xml.rels><?xml version='1.0' encoding='UTF-8' standalone='yes'?>
<Relationships xmlns="http://schemas.openxmlformats.org/package/2006/relationships"><Relationship Type="http://schemas.openxmlformats.org/officeDocument/2006/relationships/image" Target="/xl/media/inr20261007_image.png" Id="R9092a2e8eb504c4f"/></Relationships>
</file>

<file path=xl/drawings/_rels/inr20261007_drawing4.xml.rels><?xml version='1.0' encoding='UTF-8' standalone='yes'?>
<Relationships xmlns="http://schemas.openxmlformats.org/package/2006/relationships"><Relationship Type="http://schemas.openxmlformats.org/officeDocument/2006/relationships/image" Target="/xl/media/inr20261007_image.png" Id="R35ef8c58899145fb"/></Relationships>
</file>

<file path=xl/drawings/_rels/inr20261007_drawing5.xml.rels><?xml version='1.0' encoding='UTF-8' standalone='yes'?>
<Relationships xmlns="http://schemas.openxmlformats.org/package/2006/relationships"><Relationship Type="http://schemas.openxmlformats.org/officeDocument/2006/relationships/image" Target="/xl/media/inr20261007_image.png" Id="Rd92ae1c0afbb4423"/></Relationships>
</file>

<file path=xl/drawings/_rels/inr20261007_drawing6.xml.rels><?xml version='1.0' encoding='UTF-8' standalone='yes'?>
<Relationships xmlns="http://schemas.openxmlformats.org/package/2006/relationships"><Relationship Type="http://schemas.openxmlformats.org/officeDocument/2006/relationships/image" Target="/xl/media/inr20261007_image.png" Id="R7564e819c3f84eba"/></Relationships>
</file>

<file path=xl/drawings/_rels/inr20261007_drawing7.xml.rels><?xml version='1.0' encoding='UTF-8' standalone='yes'?>
<Relationships xmlns="http://schemas.openxmlformats.org/package/2006/relationships"><Relationship Type="http://schemas.openxmlformats.org/officeDocument/2006/relationships/image" Target="/xl/media/inr20261007_image.png" Id="Rb9847505ae034046"/></Relationships>
</file>

<file path=xl/drawings/_rels/inr20261007_drawing8.xml.rels><?xml version='1.0' encoding='UTF-8' standalone='yes'?>
<Relationships xmlns="http://schemas.openxmlformats.org/package/2006/relationships"><Relationship Type="http://schemas.openxmlformats.org/officeDocument/2006/relationships/image" Target="/xl/media/inr20261007_image.png" Id="R5d7e53a367894dcd"/></Relationships>
</file>

<file path=xl/drawings/_rels/inr20261007_drawing9.xml.rels><?xml version='1.0' encoding='UTF-8' standalone='yes'?>
<Relationships xmlns="http://schemas.openxmlformats.org/package/2006/relationships"><Relationship Type="http://schemas.openxmlformats.org/officeDocument/2006/relationships/image" Target="/xl/media/inr20261007_image.png" Id="R83d6101d33be417e"/></Relationships>
</file>

<file path=xl/drawings/_rels/inr20261007_drawing10.xml.rels><?xml version='1.0' encoding='UTF-8' standalone='yes'?>
<Relationships xmlns="http://schemas.openxmlformats.org/package/2006/relationships"><Relationship Type="http://schemas.openxmlformats.org/officeDocument/2006/relationships/image" Target="/xl/media/inr20261007_image.png" Id="R78821286a765446c"/><Relationship Type="http://schemas.openxmlformats.org/officeDocument/2006/relationships/chart" Target="/xl/drawings/charts/inr20261007_chart1.xml" Id="Rdf693217179d4033"/><Relationship Type="http://schemas.openxmlformats.org/officeDocument/2006/relationships/chart" Target="/xl/drawings/charts/inr20261007_chart2.xml" Id="R783323984b0c4c49"/></Relationships>
</file>

<file path=xl/drawings/_rels/inr20261007_drawing11.xml.rels><?xml version='1.0' encoding='UTF-8' standalone='yes'?>
<Relationships xmlns="http://schemas.openxmlformats.org/package/2006/relationships"><Relationship Type="http://schemas.openxmlformats.org/officeDocument/2006/relationships/image" Target="/xl/media/inr20261007_image.png" Id="R66b757f5001447d8"/></Relationships>
</file>

<file path=xl/drawings/_rels/summary20261007_drawing3.xml.rels><?xml version='1.0' encoding='UTF-8' standalone='yes'?>
<Relationships xmlns="http://schemas.openxmlformats.org/package/2006/relationships"><Relationship Type="http://schemas.openxmlformats.org/officeDocument/2006/relationships/chart" Target="/xl/drawings/charts/summary20261007_chart1.xml" Id="Rcab9401056ef47ff"/></Relationships>
</file>

<file path=xl/drawings/charts/inr20261007_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Part des cibles évaluées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Part évaluée</c:v>
          </c:tx>
          <c:spPr>
            <a:solidFill xmlns:a="http://schemas.openxmlformats.org/drawingml/2006/main">
              <a:srgbClr val="4BACC6"/>
            </a:solidFill>
          </c:spPr>
          <c:cat>
            <c:strRef>
              <c:f>'Résultats synthèse'!$B$11:$B$15</c:f>
              <c:strCache>
                <c:ptCount val="0"/>
              </c:strCache>
            </c:strRef>
          </c:cat>
          <c:val>
            <c:numRef>
              <c:f>'Résultats synthèse'!$F$11:$F$15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inr20261007_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Cibles urgentes et prioritaires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Urgentes</c:v>
          </c:tx>
          <c:spPr>
            <a:solidFill xmlns:a="http://schemas.openxmlformats.org/drawingml/2006/main">
              <a:srgbClr val="FF0000"/>
            </a:solidFill>
          </c:spPr>
          <c:cat>
            <c:strRef>
              <c:f>'Résultats synthèse'!$B$11:$B$15</c:f>
              <c:strCache>
                <c:ptCount val="0"/>
              </c:strCache>
            </c:strRef>
          </c:cat>
          <c:val>
            <c:numRef>
              <c:f>'Résultats synthèse'!$H$11:$H$15</c:f>
              <c:numCache>
                <c:formatCode>0</c:formatCode>
                <c:ptCount val="0"/>
              </c:numCache>
            </c:numRef>
          </c:val>
        </c:ser>
        <c:ser>
          <c:idx val="1"/>
          <c:order val="1"/>
          <c:tx>
            <c:v>Prioritaires</c:v>
          </c:tx>
          <c:spPr>
            <a:solidFill xmlns:a="http://schemas.openxmlformats.org/drawingml/2006/main">
              <a:srgbClr val="FFC000"/>
            </a:solidFill>
          </c:spPr>
          <c:cat>
            <c:strRef>
              <c:f>'Résultats synthèse'!$B$11:$B$15</c:f>
              <c:strCache>
                <c:ptCount val="0"/>
              </c:strCache>
            </c:strRef>
          </c:cat>
          <c:val>
            <c:numRef>
              <c:f>'Résultats synthèse'!$I$11:$I$15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majorUnit val="1"/>
      </c:valAx>
    </c:plotArea>
    <c:legend>
      <c:legendPos val="b"/>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summary20261007_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125">
                <a:latin typeface="Arial"/>
                <a:ea typeface="Arial"/>
                <a:cs typeface="Arial"/>
              </a:rPr>
              <a:t>Répartition des 32 cibles</a:t>
            </a:r>
          </a:p>
        </c:rich>
      </c:tx>
      <c:overlay val="0"/>
      <c:txPr>
        <a:bodyPr xmlns:a="http://schemas.openxmlformats.org/drawingml/2006/main" anchorCtr="1"/>
        <a:lstStyle xmlns:a="http://schemas.openxmlformats.org/drawingml/2006/main"/>
        <a:p xmlns:a="http://schemas.openxmlformats.org/drawingml/2006/main">
          <a:pPr>
            <a:defRPr sz="1125">
              <a:latin typeface="Arial"/>
              <a:ea typeface="Arial"/>
              <a:cs typeface="Arial"/>
            </a:defRPr>
          </a:pPr>
        </a:p>
      </c:txPr>
    </c:title>
    <c:plotArea>
      <c:barChart>
        <c:barDir val="col"/>
        <c:varyColors val="0"/>
        <c:ser>
          <c:idx val="0"/>
          <c:order val="0"/>
          <c:tx>
            <c:v>Cibles</c:v>
          </c:tx>
          <c:spPr>
            <a:solidFill xmlns:a="http://schemas.openxmlformats.org/drawingml/2006/main">
              <a:srgbClr val="5B8C76"/>
            </a:solidFill>
          </c:spPr>
          <c:cat>
            <c:strRef>
              <c:f>'Résultats synthèse'!$B$28:$B$35</c:f>
              <c:strCache>
                <c:ptCount val="0"/>
              </c:strCache>
            </c:strRef>
          </c:cat>
          <c:val>
            <c:numRef>
              <c:f>'Résultats synthèse'!$C$28:$C$35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mlns:a="http://schemas.openxmlformats.org/drawingml/2006/main">
  <xdr:twoCellAnchor>
    <xdr:from>
      <xdr:col>0</xdr:col>
      <xdr:colOff>19050</xdr:colOff>
      <xdr:row>4</xdr:row>
      <xdr:rowOff>0</xdr:rowOff>
    </xdr:from>
    <xdr:to>
      <xdr:col>12</xdr:col>
      <xdr:colOff>390525</xdr:colOff>
      <xdr:row>65</xdr:row>
      <xdr:rowOff>38100</xdr:rowOff>
    </xdr:to>
    <xdr:sp macro="" textlink="">
      <xdr:nvSpPr>
        <xdr:cNvPr id="2" name="ZoneTexte 1">
          <a:extLst>
            <a:ext uri="{FF2B5EF4-FFF2-40B4-BE49-F238E27FC236}">
              <a16:creationId xmlns:a16="http://schemas.microsoft.com/office/drawing/2014/main" id="{6C9144BA-546D-4B82-AAE3-68A657F406FB}"/>
            </a:ext>
          </a:extLst>
        </xdr:cNvPr>
        <xdr:cNvSpPr txBox="1"/>
      </xdr:nvSpPr>
      <xdr:spPr>
        <a:xfrm>
          <a:off x="19050" y="0"/>
          <a:ext cx="9789795" cy="9799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fr-CA" sz="1800" b="1">
            <a:solidFill>
              <a:schemeClr val="dk1"/>
            </a:solidFill>
            <a:effectLst/>
            <a:latin typeface="+mn-lt"/>
            <a:ea typeface="+mn-ea"/>
            <a:cs typeface="+mn-cs"/>
          </a:endParaRPr>
        </a:p>
        <a:p>
          <a:pPr algn="ctr"/>
          <a:endParaRPr lang="fr-CA" sz="3600" b="0">
            <a:solidFill>
              <a:schemeClr val="dk1"/>
            </a:solidFill>
            <a:effectLst/>
            <a:latin typeface="Segoe UI Light" panose="020B0502040204020203" pitchFamily="34" charset="0"/>
            <a:ea typeface="+mn-ea"/>
            <a:cs typeface="Segoe UI Light" panose="020B0502040204020203" pitchFamily="34" charset="0"/>
          </a:endParaRP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GRILLE DE PRIORISATION DES CIBLES DES ONR</a:t>
          </a:r>
        </a:p>
        <a:p>
          <a:pPr algn="ctr"/>
          <a:r>
            <a:rPr lang="fr-CA" sz="2800" b="0">
              <a:solidFill>
                <a:schemeClr val="dk1"/>
              </a:solidFill>
              <a:effectLst/>
              <a:latin typeface="Segoe UI Light" panose="020B0502040204020203" pitchFamily="34" charset="0"/>
              <a:ea typeface="+mn-ea"/>
              <a:cs typeface="Segoe UI Light" panose="020B0502040204020203" pitchFamily="34" charset="0"/>
            </a:rPr>
            <a:t>(GPC-ONR)</a:t>
          </a:r>
        </a:p>
        <a:p>
          <a:pPr algn="ctr"/>
          <a:r>
            <a:rPr lang="fr-CA" sz="1800" b="0">
              <a:solidFill>
                <a:schemeClr val="dk1"/>
              </a:solidFill>
              <a:effectLst/>
              <a:latin typeface="Segoe UI Light" panose="020B0502040204020203" pitchFamily="34" charset="0"/>
              <a:ea typeface="+mn-ea"/>
              <a:cs typeface="Segoe UI Light" panose="020B0502040204020203" pitchFamily="34" charset="0"/>
            </a:rPr>
            <a:t>OUTIL</a:t>
          </a:r>
          <a:r>
            <a:rPr lang="fr-CA" sz="1800" b="0" baseline="0">
              <a:solidFill>
                <a:schemeClr val="dk1"/>
              </a:solidFill>
              <a:effectLst/>
              <a:latin typeface="Segoe UI Light" panose="020B0502040204020203" pitchFamily="34" charset="0"/>
              <a:ea typeface="+mn-ea"/>
              <a:cs typeface="Segoe UI Light" panose="020B0502040204020203" pitchFamily="34" charset="0"/>
            </a:rPr>
            <a:t> D'INFORMATION ET DE PRIORISATION PARTICIPATIVE DES CIBLES DES ONR</a:t>
          </a:r>
        </a:p>
        <a:p>
          <a:pPr algn="ctr"/>
          <a:r>
            <a:rPr lang="fr-CA" sz="2000" b="0" baseline="0">
              <a:solidFill>
                <a:schemeClr val="dk1"/>
              </a:solidFill>
              <a:effectLst/>
              <a:latin typeface="Segoe UI Light" panose="020B0502040204020203" pitchFamily="34" charset="0"/>
              <a:ea typeface="+mn-ea"/>
              <a:cs typeface="Segoe UI Light" panose="020B0502040204020203" pitchFamily="34" charset="0"/>
            </a:rPr>
            <a:t>________________________________________________________________________________________</a:t>
          </a:r>
          <a:br>
            <a:rPr lang="fr-CA" sz="1800" b="1">
              <a:solidFill>
                <a:schemeClr val="dk1"/>
              </a:solidFill>
              <a:effectLst/>
              <a:latin typeface="+mn-lt"/>
              <a:ea typeface="+mn-ea"/>
              <a:cs typeface="+mn-cs"/>
            </a:rPr>
          </a:br>
          <a:endParaRPr lang="fr-CA" sz="1800" b="1">
            <a:solidFill>
              <a:schemeClr val="dk1"/>
            </a:solidFill>
            <a:effectLst/>
            <a:latin typeface="+mn-lt"/>
            <a:ea typeface="+mn-ea"/>
            <a:cs typeface="+mn-cs"/>
          </a:endParaRPr>
        </a:p>
        <a:p>
          <a:endParaRPr lang="fr-CA" sz="1800" b="1">
            <a:solidFill>
              <a:schemeClr val="dk1"/>
            </a:solidFill>
            <a:effectLst/>
            <a:latin typeface="+mn-lt"/>
            <a:ea typeface="+mn-ea"/>
            <a:cs typeface="+mn-cs"/>
          </a:endParaRPr>
        </a:p>
        <a:p>
          <a:r>
            <a:rPr lang="fr-CA" sz="1100" b="1">
              <a:solidFill>
                <a:schemeClr val="dk1"/>
              </a:solidFill>
              <a:effectLst/>
              <a:latin typeface="+mn-lt"/>
              <a:ea typeface="+mn-ea"/>
              <a:cs typeface="+mn-cs"/>
            </a:rPr>
            <a:t>Mot d'accueil</a:t>
          </a:r>
          <a:endParaRPr lang="fr-FR">
            <a:effectLst/>
          </a:endParaRPr>
        </a:p>
        <a:p>
          <a:pPr eaLnBrk="1" fontAlgn="auto" latinLnBrk="0" hangingPunct="1"/>
          <a:r>
            <a:rPr lang="fr-CA" sz="1100" baseline="0">
              <a:solidFill>
                <a:schemeClr val="dk1"/>
              </a:solidFill>
              <a:effectLst/>
              <a:latin typeface="+mn-lt"/>
              <a:ea typeface="+mn-ea"/>
              <a:cs typeface="+mn-cs"/>
            </a:rPr>
            <a:t>Le numérique responsable révolutionne à une vitesse vertigineuse le fonctionnement des organisations. Il est source d'innovationet de progrès, reflétant leur modernité, jusqu'à en devenir la vitrine de leurs savoir-faire. Il peut être un formidable outil de création de nouvelles valeurs durables, plus respecteuses de l'environnement et plus éthiques envers la société s'il est encadré et réfléchi en terme d'impacts. </a:t>
          </a:r>
          <a:endParaRPr lang="fr-FR">
            <a:effectLst/>
          </a:endParaRPr>
        </a:p>
        <a:p>
          <a:pPr eaLnBrk="1" fontAlgn="auto" latinLnBrk="0" hangingPunct="1"/>
          <a:r>
            <a:rPr lang="fr-CA" sz="1100" baseline="0">
              <a:solidFill>
                <a:schemeClr val="dk1"/>
              </a:solidFill>
              <a:effectLst/>
              <a:latin typeface="+mn-lt"/>
              <a:ea typeface="+mn-ea"/>
              <a:cs typeface="+mn-cs"/>
            </a:rPr>
            <a:t>Les ONR, soit les Objectifs du Numérique Responsable, reprennent les points principaux de la charte de l'Institut du Numérique Responsable (INR) et y décrit les objectifs associés. La charte quant à elle est un texte qui résume les engagements en termes de numérique pris par le signataire qu'il soit une entreprise, une association, une TPE/PME ou un acteur public. Elle peut être retrouvée dans sa totalité sur le site internet de l'INR et peut être signée, preuve de votre engagement, auprès de ce même organisme. </a:t>
          </a:r>
          <a:endParaRPr lang="fr-FR">
            <a:effectLst/>
          </a:endParaRPr>
        </a:p>
        <a:p>
          <a:pPr eaLnBrk="1" fontAlgn="auto" latinLnBrk="0" hangingPunct="1"/>
          <a:r>
            <a:rPr lang="fr-CA" sz="1100" baseline="0">
              <a:solidFill>
                <a:schemeClr val="dk1"/>
              </a:solidFill>
              <a:effectLst/>
              <a:latin typeface="+mn-lt"/>
              <a:ea typeface="+mn-ea"/>
              <a:cs typeface="+mn-cs"/>
            </a:rPr>
            <a:t>Les ONR sont composés de 5 objectifs suivant les axes principaux du numérique responsable :</a:t>
          </a:r>
          <a:endParaRPr lang="fr-FR">
            <a:effectLst/>
          </a:endParaRPr>
        </a:p>
        <a:p>
          <a:pPr eaLnBrk="1" fontAlgn="auto" latinLnBrk="0" hangingPunct="1"/>
          <a:r>
            <a:rPr lang="fr-CA" sz="1100" baseline="0">
              <a:solidFill>
                <a:schemeClr val="dk1"/>
              </a:solidFill>
              <a:effectLst/>
              <a:latin typeface="+mn-lt"/>
              <a:ea typeface="+mn-ea"/>
              <a:cs typeface="+mn-cs"/>
            </a:rPr>
            <a:t>- le changement climatique </a:t>
          </a:r>
          <a:endParaRPr lang="fr-FR">
            <a:effectLst/>
          </a:endParaRPr>
        </a:p>
        <a:p>
          <a:pPr eaLnBrk="1" fontAlgn="auto" latinLnBrk="0" hangingPunct="1"/>
          <a:r>
            <a:rPr lang="fr-CA" sz="1100" baseline="0">
              <a:solidFill>
                <a:schemeClr val="dk1"/>
              </a:solidFill>
              <a:effectLst/>
              <a:latin typeface="+mn-lt"/>
              <a:ea typeface="+mn-ea"/>
              <a:cs typeface="+mn-cs"/>
            </a:rPr>
            <a:t>- l'inclusion sociale</a:t>
          </a:r>
          <a:endParaRPr lang="fr-FR">
            <a:effectLst/>
          </a:endParaRPr>
        </a:p>
        <a:p>
          <a:pPr eaLnBrk="1" fontAlgn="auto" latinLnBrk="0" hangingPunct="1"/>
          <a:r>
            <a:rPr lang="fr-CA" sz="1100" baseline="0">
              <a:solidFill>
                <a:schemeClr val="dk1"/>
              </a:solidFill>
              <a:effectLst/>
              <a:latin typeface="+mn-lt"/>
              <a:ea typeface="+mn-ea"/>
              <a:cs typeface="+mn-cs"/>
            </a:rPr>
            <a:t>- les pratiques éthiques et responsables</a:t>
          </a:r>
          <a:endParaRPr lang="fr-FR">
            <a:effectLst/>
          </a:endParaRPr>
        </a:p>
        <a:p>
          <a:pPr eaLnBrk="1" fontAlgn="auto" latinLnBrk="0" hangingPunct="1"/>
          <a:r>
            <a:rPr lang="fr-CA" sz="1100" baseline="0">
              <a:solidFill>
                <a:schemeClr val="dk1"/>
              </a:solidFill>
              <a:effectLst/>
              <a:latin typeface="+mn-lt"/>
              <a:ea typeface="+mn-ea"/>
              <a:cs typeface="+mn-cs"/>
            </a:rPr>
            <a:t>- la résilience des organisations</a:t>
          </a:r>
          <a:endParaRPr lang="fr-FR">
            <a:effectLst/>
          </a:endParaRPr>
        </a:p>
        <a:p>
          <a:pPr eaLnBrk="1" fontAlgn="auto" latinLnBrk="0" hangingPunct="1"/>
          <a:r>
            <a:rPr lang="fr-CA" sz="1100" baseline="0">
              <a:solidFill>
                <a:schemeClr val="dk1"/>
              </a:solidFill>
              <a:effectLst/>
              <a:latin typeface="+mn-lt"/>
              <a:ea typeface="+mn-ea"/>
              <a:cs typeface="+mn-cs"/>
            </a:rPr>
            <a:t>- l'émergence de nouveaux comportements et valeurs </a:t>
          </a:r>
          <a:endParaRPr lang="fr-FR">
            <a:effectLst/>
          </a:endParaRPr>
        </a:p>
        <a:p>
          <a:pPr eaLnBrk="1" fontAlgn="auto" latinLnBrk="0" hangingPunct="1"/>
          <a:r>
            <a:rPr lang="fr-CA" sz="1100" baseline="0">
              <a:solidFill>
                <a:schemeClr val="dk1"/>
              </a:solidFill>
              <a:effectLst/>
              <a:latin typeface="+mn-lt"/>
              <a:ea typeface="+mn-ea"/>
              <a:cs typeface="+mn-cs"/>
            </a:rPr>
            <a:t>Plusieurs sous-points seront développés dans ce document afin de cerner l'ensemble des objectifs et attentes de votre organisation. </a:t>
          </a:r>
          <a:endParaRPr lang="fr-FR">
            <a:effectLst/>
          </a:endParaRPr>
        </a:p>
        <a:p>
          <a:pPr eaLnBrk="1" fontAlgn="auto" latinLnBrk="0" hangingPunct="1"/>
          <a:r>
            <a:rPr lang="fr-CA" sz="1100" baseline="0">
              <a:solidFill>
                <a:schemeClr val="dk1"/>
              </a:solidFill>
              <a:effectLst/>
              <a:latin typeface="+mn-lt"/>
              <a:ea typeface="+mn-ea"/>
              <a:cs typeface="+mn-cs"/>
            </a:rPr>
            <a:t>La charte du numérique responsable au travers des ONR, pousse l'organisation à s'évaluer et essayer de s'améliorer en permanence. Avoir une charte numérique responsable permet à l'organisation de communiquer sur sa démarche qualité. Elle peut ainsi toucher ses clients mais aussi ses fournisseurs et collaborateurs. </a:t>
          </a:r>
        </a:p>
        <a:p>
          <a:pPr eaLnBrk="1" fontAlgn="auto" latinLnBrk="0" hangingPunct="1"/>
          <a:endParaRPr lang="fr-FR">
            <a:effectLst/>
          </a:endParaRPr>
        </a:p>
        <a:p>
          <a:r>
            <a:rPr lang="fr-CA" sz="1100" b="1">
              <a:solidFill>
                <a:schemeClr val="dk1"/>
              </a:solidFill>
              <a:effectLst/>
              <a:latin typeface="+mn-lt"/>
              <a:ea typeface="+mn-ea"/>
              <a:cs typeface="+mn-cs"/>
            </a:rPr>
            <a:t>Utilisation prévue de l'outil</a:t>
          </a:r>
          <a:endParaRPr lang="fr-FR">
            <a:effectLst/>
          </a:endParaRPr>
        </a:p>
        <a:p>
          <a:pPr eaLnBrk="1" fontAlgn="auto" latinLnBrk="0" hangingPunct="1"/>
          <a:r>
            <a:rPr lang="fr-CA" sz="1100" baseline="0">
              <a:solidFill>
                <a:schemeClr val="dk1"/>
              </a:solidFill>
              <a:effectLst/>
              <a:latin typeface="+mn-lt"/>
              <a:ea typeface="+mn-ea"/>
              <a:cs typeface="+mn-cs"/>
            </a:rPr>
            <a:t>Ce document est à remplir de préférence avant tout plan d'actions numérique responsable afin de quadriller l'ensemble des partis prenantes et objectifs de l'organisation associée. La GPC-ONR permet de faire un état d'avancement des actions menées en amont par votre organisation et d'en faire une source de discussion et débat ; permettant d'en conclure des cibles ainsi que des actions à prioriser. Cet outil permettra par ailleurs d'identifier les forces, faiblesses, opportunités et menaces de votre organisme en parrallèle des objectifs.</a:t>
          </a:r>
          <a:endParaRPr lang="fr-FR">
            <a:effectLst/>
          </a:endParaRPr>
        </a:p>
        <a:p>
          <a:pPr eaLnBrk="1" fontAlgn="auto" latinLnBrk="0" hangingPunct="1"/>
          <a:r>
            <a:rPr lang="fr-CA" sz="1100" baseline="0">
              <a:solidFill>
                <a:schemeClr val="dk1"/>
              </a:solidFill>
              <a:effectLst/>
              <a:latin typeface="+mn-lt"/>
              <a:ea typeface="+mn-ea"/>
              <a:cs typeface="+mn-cs"/>
            </a:rPr>
            <a:t>Dans l'idéal, ce document doit être rempli avec la contribution de toutes les partis-prenantes afin de se rapprocher au plus près des cibles souhaitées et des objectifs généraux. </a:t>
          </a:r>
        </a:p>
        <a:p>
          <a:pPr eaLnBrk="1" fontAlgn="auto" latinLnBrk="0" hangingPunct="1"/>
          <a:endParaRPr lang="fr-FR">
            <a:effectLst/>
          </a:endParaRPr>
        </a:p>
        <a:p>
          <a:r>
            <a:rPr lang="fr-CA" sz="1100" b="1">
              <a:solidFill>
                <a:schemeClr val="dk1"/>
              </a:solidFill>
              <a:effectLst/>
              <a:latin typeface="+mn-lt"/>
              <a:ea typeface="+mn-ea"/>
              <a:cs typeface="+mn-cs"/>
            </a:rPr>
            <a:t>Origine de l'outil</a:t>
          </a:r>
          <a:endParaRPr lang="fr-FR">
            <a:effectLst/>
          </a:endParaRPr>
        </a:p>
        <a:p>
          <a:r>
            <a:rPr lang="fr-CA" sz="1100">
              <a:solidFill>
                <a:schemeClr val="dk1"/>
              </a:solidFill>
              <a:effectLst/>
              <a:latin typeface="+mn-lt"/>
              <a:ea typeface="+mn-ea"/>
              <a:cs typeface="+mn-cs"/>
            </a:rPr>
            <a:t>Ce</a:t>
          </a:r>
          <a:r>
            <a:rPr lang="fr-CA" sz="1100" baseline="0">
              <a:solidFill>
                <a:schemeClr val="dk1"/>
              </a:solidFill>
              <a:effectLst/>
              <a:latin typeface="+mn-lt"/>
              <a:ea typeface="+mn-ea"/>
              <a:cs typeface="+mn-cs"/>
            </a:rPr>
            <a:t> document a été élaboré par les élèves de la promotion 2023 de l'école d'ingéneurs de la Rochelle (EIGSI</a:t>
          </a:r>
          <a:r>
            <a:rPr lang="fr-CA" sz="1100" i="1" baseline="0">
              <a:solidFill>
                <a:schemeClr val="dk1"/>
              </a:solidFill>
              <a:effectLst/>
              <a:latin typeface="+mn-lt"/>
              <a:ea typeface="+mn-ea"/>
              <a:cs typeface="+mn-cs"/>
            </a:rPr>
            <a:t>)</a:t>
          </a:r>
          <a:r>
            <a:rPr lang="fr-CA" sz="1100" i="0" baseline="0">
              <a:solidFill>
                <a:schemeClr val="dk1"/>
              </a:solidFill>
              <a:effectLst/>
              <a:latin typeface="+mn-lt"/>
              <a:ea typeface="+mn-ea"/>
              <a:cs typeface="+mn-cs"/>
            </a:rPr>
            <a:t> en</a:t>
          </a:r>
          <a:r>
            <a:rPr lang="fr-CA" sz="1100" baseline="0">
              <a:solidFill>
                <a:schemeClr val="dk1"/>
              </a:solidFill>
              <a:effectLst/>
              <a:latin typeface="+mn-lt"/>
              <a:ea typeface="+mn-ea"/>
              <a:cs typeface="+mn-cs"/>
            </a:rPr>
            <a:t> dominante Numérique Responsable. </a:t>
          </a:r>
          <a:endParaRPr lang="fr-FR">
            <a:effectLst/>
          </a:endParaRPr>
        </a:p>
        <a:p>
          <a:r>
            <a:rPr lang="fr-CA" sz="1100" i="0" baseline="0">
              <a:solidFill>
                <a:schemeClr val="dk1"/>
              </a:solidFill>
              <a:effectLst/>
              <a:latin typeface="+mn-lt"/>
              <a:ea typeface="+mn-ea"/>
              <a:cs typeface="+mn-cs"/>
            </a:rPr>
            <a:t>La charte ainsi que ses objectifs proviennent de l'Institut du Numérique Responsable (INR).</a:t>
          </a:r>
        </a:p>
        <a:p>
          <a:endParaRPr lang="fr-FR">
            <a:effectLst/>
          </a:endParaRPr>
        </a:p>
        <a:p>
          <a:r>
            <a:rPr lang="fr-CA" sz="1100" b="1">
              <a:solidFill>
                <a:schemeClr val="dk1"/>
              </a:solidFill>
              <a:effectLst/>
              <a:latin typeface="+mn-lt"/>
              <a:ea typeface="+mn-ea"/>
              <a:cs typeface="+mn-cs"/>
            </a:rPr>
            <a:t>Crédits</a:t>
          </a:r>
          <a:endParaRPr lang="fr-FR">
            <a:effectLst/>
          </a:endParaRPr>
        </a:p>
        <a:p>
          <a:r>
            <a:rPr lang="fr-CA" sz="1100">
              <a:solidFill>
                <a:schemeClr val="dk1"/>
              </a:solidFill>
              <a:effectLst/>
              <a:latin typeface="+mn-lt"/>
              <a:ea typeface="+mn-ea"/>
              <a:cs typeface="+mn-cs"/>
            </a:rPr>
            <a:t>Cette fiche est inspirée</a:t>
          </a:r>
          <a:r>
            <a:rPr lang="fr-CA" sz="1100" baseline="0">
              <a:solidFill>
                <a:schemeClr val="dk1"/>
              </a:solidFill>
              <a:effectLst/>
              <a:latin typeface="+mn-lt"/>
              <a:ea typeface="+mn-ea"/>
              <a:cs typeface="+mn-cs"/>
            </a:rPr>
            <a:t> de la fiche GRILLE DE PRIORISATION DES CIBLES DES ODD (GPC-ODD), de l'</a:t>
          </a:r>
          <a:r>
            <a:rPr lang="fr-CA" sz="1100">
              <a:solidFill>
                <a:schemeClr val="dk1"/>
              </a:solidFill>
              <a:effectLst/>
              <a:latin typeface="+mn-lt"/>
              <a:ea typeface="+mn-ea"/>
              <a:cs typeface="+mn-cs"/>
            </a:rPr>
            <a:t>Organisation internationale de la Francophonie</a:t>
          </a:r>
          <a:r>
            <a:rPr lang="fr-CA" sz="1100" baseline="0">
              <a:solidFill>
                <a:schemeClr val="dk1"/>
              </a:solidFill>
              <a:effectLst/>
              <a:latin typeface="+mn-lt"/>
              <a:ea typeface="+mn-ea"/>
              <a:cs typeface="+mn-cs"/>
            </a:rPr>
            <a:t> (OIF), </a:t>
          </a:r>
          <a:r>
            <a:rPr lang="fr-CA" sz="1100">
              <a:solidFill>
                <a:schemeClr val="dk1"/>
              </a:solidFill>
              <a:effectLst/>
              <a:latin typeface="+mn-lt"/>
              <a:ea typeface="+mn-ea"/>
              <a:cs typeface="+mn-cs"/>
            </a:rPr>
            <a:t>Institut de la Francophonie pour le Développement Durable (IFDD), Global Shift Institute (GSI), inspiré des travaux de la Chaire en éco-conseil de l'UQAC et de Cités et gouvernements locaux unis (CGLU) et des travaux fait à l'EIGSI</a:t>
          </a:r>
          <a:r>
            <a:rPr lang="fr-CA" sz="1100" baseline="0">
              <a:solidFill>
                <a:schemeClr val="dk1"/>
              </a:solidFill>
              <a:effectLst/>
              <a:latin typeface="+mn-lt"/>
              <a:ea typeface="+mn-ea"/>
              <a:cs typeface="+mn-cs"/>
            </a:rPr>
            <a:t> à</a:t>
          </a:r>
          <a:r>
            <a:rPr lang="fr-CA" sz="1100">
              <a:solidFill>
                <a:schemeClr val="dk1"/>
              </a:solidFill>
              <a:effectLst/>
              <a:latin typeface="+mn-lt"/>
              <a:ea typeface="+mn-ea"/>
              <a:cs typeface="+mn-cs"/>
            </a:rPr>
            <a:t> La Rochelle Université et à LaNum Pays Basque.</a:t>
          </a:r>
          <a:r>
            <a:rPr lang="fr-CA" sz="1100" baseline="0">
              <a:solidFill>
                <a:schemeClr val="dk1"/>
              </a:solidFill>
              <a:effectLst/>
              <a:latin typeface="+mn-lt"/>
              <a:ea typeface="+mn-ea"/>
              <a:cs typeface="+mn-cs"/>
            </a:rPr>
            <a:t> Cette grille a été</a:t>
          </a:r>
          <a:r>
            <a:rPr lang="fr-CA" sz="1100">
              <a:solidFill>
                <a:schemeClr val="dk1"/>
              </a:solidFill>
              <a:effectLst/>
              <a:latin typeface="+mn-lt"/>
              <a:ea typeface="+mn-ea"/>
              <a:cs typeface="+mn-cs"/>
            </a:rPr>
            <a:t> créée</a:t>
          </a:r>
          <a:r>
            <a:rPr lang="fr-CA" sz="1100" baseline="0">
              <a:solidFill>
                <a:schemeClr val="dk1"/>
              </a:solidFill>
              <a:effectLst/>
              <a:latin typeface="+mn-lt"/>
              <a:ea typeface="+mn-ea"/>
              <a:cs typeface="+mn-cs"/>
            </a:rPr>
            <a:t> </a:t>
          </a:r>
          <a:r>
            <a:rPr lang="fr-FR" sz="1100" baseline="0">
              <a:solidFill>
                <a:schemeClr val="dk1"/>
              </a:solidFill>
              <a:effectLst/>
              <a:latin typeface="+mn-lt"/>
              <a:ea typeface="+mn-ea"/>
              <a:cs typeface="+mn-cs"/>
            </a:rPr>
            <a:t>et adaptée spéficiquement pour encadrer des projets NR pour tout type d'organisation </a:t>
          </a:r>
          <a:endParaRPr lang="fr-FR">
            <a:effectLst/>
          </a:endParaRPr>
        </a:p>
        <a:p>
          <a:endParaRPr lang="fr-CA" sz="1100" b="1">
            <a:solidFill>
              <a:schemeClr val="dk1"/>
            </a:solidFill>
            <a:effectLst/>
            <a:latin typeface="+mn-lt"/>
            <a:ea typeface="+mn-ea"/>
            <a:cs typeface="+mn-cs"/>
          </a:endParaRPr>
        </a:p>
      </xdr:txBody>
    </xdr:sp>
    <xdr:clientData/>
  </xdr:twoCellAnchor>
  <xdr:oneCellAnchor>
    <xdr:from>
      <xdr:col>1</xdr:col>
      <xdr:colOff>114300</xdr:colOff>
      <xdr:row>0</xdr:row>
      <xdr:rowOff>47625</xdr:rowOff>
    </xdr:from>
    <xdr:ext cx="2000250" cy="638175"/>
    <xdr:pic>
      <xdr:nvPicPr>
        <xdr:cNvPr id="3" name="9f4a29d1-6b89-4897-a609-7e2a88eeaceb"/>
        <xdr:cNvPicPr>
          <a:picLocks noChangeAspect="1"/>
        </xdr:cNvPicPr>
      </xdr:nvPicPr>
      <xdr:blipFill>
        <a:blip xmlns:r="http://schemas.openxmlformats.org/officeDocument/2006/relationships" r:embed="officialLogoINR20261007"/>
        <a:stretch>
          <a:fillRect/>
        </a:stretch>
      </xdr:blipFill>
      <xdr:spPr>
        <a:prstGeom prst="rect"/>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28574</xdr:colOff>
      <xdr:row>4</xdr:row>
      <xdr:rowOff>28572</xdr:rowOff>
    </xdr:from>
    <xdr:to>
      <xdr:col>11</xdr:col>
      <xdr:colOff>761999</xdr:colOff>
      <xdr:row>163</xdr:row>
      <xdr:rowOff>137160</xdr:rowOff>
    </xdr:to>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28574" y="28572"/>
          <a:ext cx="9366885" cy="25711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CA" sz="2800" b="0">
              <a:solidFill>
                <a:schemeClr val="dk1"/>
              </a:solidFill>
              <a:effectLst/>
              <a:latin typeface="Segoe UI Light" panose="020B0502040204020203" pitchFamily="34" charset="0"/>
              <a:ea typeface="+mn-ea"/>
              <a:cs typeface="Segoe UI Light" panose="020B0502040204020203" pitchFamily="34" charset="0"/>
            </a:rPr>
            <a:t>MÉTHODOLOGIE DE PRIORISATION PARTICIPATIVE DES CIBLE DES ONR</a:t>
          </a:r>
          <a:endParaRPr lang="fr-CA" sz="2800" b="0">
            <a:effectLst/>
            <a:latin typeface="Segoe UI Light" panose="020B0502040204020203" pitchFamily="34" charset="0"/>
            <a:cs typeface="Segoe UI Light" panose="020B0502040204020203" pitchFamily="34" charset="0"/>
          </a:endParaRPr>
        </a:p>
        <a:p>
          <a:r>
            <a:rPr lang="fr-CA" sz="1800" b="0">
              <a:solidFill>
                <a:schemeClr val="dk1"/>
              </a:solidFill>
              <a:effectLst/>
              <a:latin typeface="Segoe UI Light" panose="020B0502040204020203" pitchFamily="34" charset="0"/>
              <a:ea typeface="+mn-ea"/>
              <a:cs typeface="Segoe UI Light" panose="020B0502040204020203" pitchFamily="34" charset="0"/>
            </a:rPr>
            <a:t>GRILLE DE PRIORISATION DES CIBLES</a:t>
          </a:r>
          <a:r>
            <a:rPr lang="fr-CA" sz="1800" b="0" baseline="0">
              <a:solidFill>
                <a:schemeClr val="dk1"/>
              </a:solidFill>
              <a:effectLst/>
              <a:latin typeface="Segoe UI Light" panose="020B0502040204020203" pitchFamily="34" charset="0"/>
              <a:ea typeface="+mn-ea"/>
              <a:cs typeface="Segoe UI Light" panose="020B0502040204020203" pitchFamily="34" charset="0"/>
            </a:rPr>
            <a:t> DES ONR</a:t>
          </a:r>
          <a:endParaRPr lang="fr-CA" sz="1800" b="0">
            <a:effectLst/>
            <a:latin typeface="Segoe UI Light" panose="020B0502040204020203" pitchFamily="34" charset="0"/>
            <a:cs typeface="Segoe UI Light" panose="020B0502040204020203" pitchFamily="34" charset="0"/>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endParaRPr lang="fr-CA" sz="1050" b="1" baseline="0">
            <a:solidFill>
              <a:schemeClr val="dk1"/>
            </a:solidFill>
            <a:effectLst/>
            <a:latin typeface="+mn-lt"/>
            <a:ea typeface="+mn-ea"/>
            <a:cs typeface="+mn-cs"/>
          </a:endParaRPr>
        </a:p>
        <a:p>
          <a:pPr eaLnBrk="1" fontAlgn="auto" latinLnBrk="0" hangingPunct="1"/>
          <a:r>
            <a:rPr lang="fr-CA" sz="1200" b="1" i="0" u="none" baseline="0">
              <a:solidFill>
                <a:schemeClr val="dk1"/>
              </a:solidFill>
              <a:effectLst/>
              <a:latin typeface="+mn-lt"/>
              <a:ea typeface="+mn-ea"/>
              <a:cs typeface="+mn-cs"/>
            </a:rPr>
            <a:t>Étapes préalables à la priorisation</a:t>
          </a:r>
          <a:endParaRPr lang="fr-CA" sz="1200" b="1" i="0" u="none">
            <a:effectLst/>
            <a:latin typeface="+mn-lt"/>
          </a:endParaRPr>
        </a:p>
        <a:p>
          <a:pPr eaLnBrk="1" fontAlgn="auto" latinLnBrk="0" hangingPunct="1"/>
          <a:r>
            <a:rPr lang="fr-CA" sz="1200">
              <a:solidFill>
                <a:schemeClr val="dk1"/>
              </a:solidFill>
              <a:effectLst/>
              <a:latin typeface="+mn-lt"/>
              <a:ea typeface="+mn-ea"/>
              <a:cs typeface="+mn-cs"/>
            </a:rPr>
            <a:t>Prioriser les cibles à l'aide</a:t>
          </a:r>
          <a:r>
            <a:rPr lang="fr-CA" sz="1200" baseline="0">
              <a:solidFill>
                <a:schemeClr val="dk1"/>
              </a:solidFill>
              <a:effectLst/>
              <a:latin typeface="+mn-lt"/>
              <a:ea typeface="+mn-ea"/>
              <a:cs typeface="+mn-cs"/>
            </a:rPr>
            <a:t> de la grille demande la réalisation de certaines étapes préalables :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 - Prendre connaissance des ONR et de leurs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Collecter des informations sur l'état d'avancement relativement aux cibles.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Renseigner l'état d'avancement des documents de planification de développement et d'autres planifications sectorielles pertinentes.</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responsables de l'analyse.</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 - Identifier les membres de l'équipe d'analystes. </a:t>
          </a:r>
        </a:p>
        <a:p>
          <a:pPr eaLnBrk="1" fontAlgn="auto" latinLnBrk="0" hangingPunct="1"/>
          <a:endParaRPr lang="fr-CA" sz="1200">
            <a:effectLst/>
            <a:latin typeface="+mn-lt"/>
          </a:endParaRPr>
        </a:p>
        <a:p>
          <a:pPr eaLnBrk="1" fontAlgn="auto" latinLnBrk="0" hangingPunct="1"/>
          <a:r>
            <a:rPr lang="fr-CA" sz="1200" baseline="0">
              <a:solidFill>
                <a:schemeClr val="dk1"/>
              </a:solidFill>
              <a:effectLst/>
              <a:latin typeface="+mn-lt"/>
              <a:ea typeface="+mn-ea"/>
              <a:cs typeface="+mn-cs"/>
            </a:rPr>
            <a:t>Ces étapes préalables peuvent être faites en remplissant la page </a:t>
          </a:r>
          <a:r>
            <a:rPr lang="fr-CA" sz="1200" b="0" i="1" baseline="0">
              <a:solidFill>
                <a:schemeClr val="dk1"/>
              </a:solidFill>
              <a:effectLst/>
              <a:latin typeface="+mn-lt"/>
              <a:ea typeface="+mn-ea"/>
              <a:cs typeface="+mn-cs"/>
            </a:rPr>
            <a:t>Contexte</a:t>
          </a:r>
          <a:r>
            <a:rPr lang="fr-CA" sz="1200" baseline="0">
              <a:solidFill>
                <a:schemeClr val="dk1"/>
              </a:solidFill>
              <a:effectLst/>
              <a:latin typeface="+mn-lt"/>
              <a:ea typeface="+mn-ea"/>
              <a:cs typeface="+mn-cs"/>
            </a:rPr>
            <a:t>. </a:t>
          </a:r>
        </a:p>
        <a:p>
          <a:pPr eaLnBrk="1" fontAlgn="auto" latinLnBrk="0" hangingPunct="1"/>
          <a:endParaRPr lang="fr-CA" sz="1100">
            <a:effectLst/>
            <a:latin typeface="+mn-lt"/>
          </a:endParaRPr>
        </a:p>
        <a:p>
          <a:r>
            <a:rPr lang="fr-CA" sz="1200" baseline="0">
              <a:solidFill>
                <a:schemeClr val="dk1"/>
              </a:solidFill>
              <a:effectLst/>
              <a:latin typeface="+mn-lt"/>
              <a:ea typeface="+mn-ea"/>
              <a:cs typeface="+mn-cs"/>
            </a:rPr>
            <a:t>Par la suite, l</a:t>
          </a:r>
          <a:r>
            <a:rPr lang="fr-CA" sz="1200">
              <a:solidFill>
                <a:schemeClr val="dk1"/>
              </a:solidFill>
              <a:effectLst/>
              <a:latin typeface="+mn-lt"/>
              <a:ea typeface="+mn-ea"/>
              <a:cs typeface="+mn-cs"/>
            </a:rPr>
            <a:t>’analyse implique : </a:t>
          </a:r>
        </a:p>
        <a:p>
          <a:endParaRPr lang="fr-CA" sz="1200">
            <a:effectLst/>
            <a:latin typeface="+mn-lt"/>
          </a:endParaRPr>
        </a:p>
        <a:p>
          <a:r>
            <a:rPr lang="fr-CA" sz="1200">
              <a:solidFill>
                <a:schemeClr val="dk1"/>
              </a:solidFill>
              <a:effectLst/>
              <a:latin typeface="+mn-lt"/>
              <a:ea typeface="+mn-ea"/>
              <a:cs typeface="+mn-cs"/>
            </a:rPr>
            <a:t> - Une évaluation de l'importance de chaque cible,</a:t>
          </a:r>
          <a:r>
            <a:rPr lang="fr-CA" sz="1200" baseline="0">
              <a:solidFill>
                <a:schemeClr val="dk1"/>
              </a:solidFill>
              <a:effectLst/>
              <a:latin typeface="+mn-lt"/>
              <a:ea typeface="+mn-ea"/>
              <a:cs typeface="+mn-cs"/>
            </a:rPr>
            <a:t> pour les 5 ONR, dans le cadre spécifique de l'analyse.</a:t>
          </a:r>
          <a:endParaRPr lang="fr-CA" sz="1200">
            <a:effectLst/>
            <a:latin typeface="+mn-lt"/>
          </a:endParaRPr>
        </a:p>
        <a:p>
          <a:r>
            <a:rPr lang="fr-CA" sz="1200" baseline="0">
              <a:solidFill>
                <a:schemeClr val="dk1"/>
              </a:solidFill>
              <a:effectLst/>
              <a:latin typeface="+mn-lt"/>
              <a:ea typeface="+mn-ea"/>
              <a:cs typeface="+mn-cs"/>
            </a:rPr>
            <a:t> - L'évaluation et la documentation de l'état d'avancement dans l'atteinte de chaque cible.</a:t>
          </a:r>
          <a:endParaRPr lang="fr-CA" sz="1200">
            <a:effectLst/>
            <a:latin typeface="+mn-lt"/>
          </a:endParaRPr>
        </a:p>
        <a:p>
          <a:r>
            <a:rPr lang="fr-CA" sz="1200" baseline="0">
              <a:solidFill>
                <a:schemeClr val="dk1"/>
              </a:solidFill>
              <a:effectLst/>
              <a:latin typeface="+mn-lt"/>
              <a:ea typeface="+mn-ea"/>
              <a:cs typeface="+mn-cs"/>
            </a:rPr>
            <a:t> - L'évaluation du niveau de compétences pour chaque cible.</a:t>
          </a:r>
          <a:endParaRPr lang="fr-CA" sz="1200">
            <a:effectLst/>
            <a:latin typeface="+mn-lt"/>
          </a:endParaRPr>
        </a:p>
        <a:p>
          <a:r>
            <a:rPr lang="fr-CA" sz="1200" baseline="0">
              <a:solidFill>
                <a:schemeClr val="dk1"/>
              </a:solidFill>
              <a:effectLst/>
              <a:latin typeface="+mn-lt"/>
              <a:ea typeface="+mn-ea"/>
              <a:cs typeface="+mn-cs"/>
            </a:rPr>
            <a:t> - La </a:t>
          </a:r>
          <a:r>
            <a:rPr lang="fr-CA" sz="1200">
              <a:solidFill>
                <a:schemeClr val="dk1"/>
              </a:solidFill>
              <a:effectLst/>
              <a:latin typeface="+mn-lt"/>
              <a:ea typeface="+mn-ea"/>
              <a:cs typeface="+mn-cs"/>
            </a:rPr>
            <a:t>recherche</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des</a:t>
          </a:r>
          <a:r>
            <a:rPr lang="fr-CA" sz="1200" baseline="0">
              <a:solidFill>
                <a:schemeClr val="dk1"/>
              </a:solidFill>
              <a:effectLst/>
              <a:latin typeface="+mn-lt"/>
              <a:ea typeface="+mn-ea"/>
              <a:cs typeface="+mn-cs"/>
            </a:rPr>
            <a:t> actions ou des </a:t>
          </a:r>
          <a:r>
            <a:rPr lang="fr-CA" sz="1200">
              <a:solidFill>
                <a:schemeClr val="dk1"/>
              </a:solidFill>
              <a:effectLst/>
              <a:latin typeface="+mn-lt"/>
              <a:ea typeface="+mn-ea"/>
              <a:cs typeface="+mn-cs"/>
            </a:rPr>
            <a:t>stratégies pour inscrire les cibles prioritaires dans la planification.</a:t>
          </a:r>
        </a:p>
        <a:p>
          <a:endParaRPr lang="fr-CA" sz="1200">
            <a:effectLst/>
            <a:latin typeface="+mn-lt"/>
          </a:endParaRPr>
        </a:p>
        <a:p>
          <a:r>
            <a:rPr lang="fr-CA" sz="1200" baseline="0">
              <a:solidFill>
                <a:schemeClr val="dk1"/>
              </a:solidFill>
              <a:effectLst/>
              <a:latin typeface="+mn-lt"/>
              <a:ea typeface="+mn-ea"/>
              <a:cs typeface="+mn-cs"/>
            </a:rPr>
            <a:t>Cette analyse doit être faite pour l'ensemble des cibles des 5 ONR. </a:t>
          </a:r>
          <a:r>
            <a:rPr lang="fr-CA" sz="1200">
              <a:solidFill>
                <a:schemeClr val="dk1"/>
              </a:solidFill>
              <a:effectLst/>
              <a:latin typeface="+mn-lt"/>
              <a:ea typeface="+mn-ea"/>
              <a:cs typeface="+mn-cs"/>
            </a:rPr>
            <a:t>Voici comment procéder pour réaliser chaque étape.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Importance des cibles</a:t>
          </a:r>
          <a:endParaRPr lang="fr-CA" sz="1200" i="0">
            <a:effectLst/>
            <a:latin typeface="+mn-lt"/>
          </a:endParaRPr>
        </a:p>
        <a:p>
          <a:pPr eaLnBrk="1" fontAlgn="auto" latinLnBrk="0" hangingPunct="1"/>
          <a:r>
            <a:rPr lang="fr-CA" sz="1200" baseline="0">
              <a:solidFill>
                <a:schemeClr val="dk1"/>
              </a:solidFill>
              <a:effectLst/>
              <a:latin typeface="+mn-lt"/>
              <a:ea typeface="+mn-ea"/>
              <a:cs typeface="+mn-cs"/>
            </a:rPr>
            <a:t>La première opération consiste à préciser les menaces (ou risques) et les opportunités qui pourraient être associées à chacune des cibles. Les menaces et les opportunités peuvent être liées à des spécificités nationales ou locales, à des pressions externes, à des contextes temporaires ou permanents. Il s'agit d'inscrire ces éléments dans la colonne correspondante.</a:t>
          </a:r>
          <a:endParaRPr lang="fr-CA" sz="1200">
            <a:effectLst/>
            <a:latin typeface="+mn-lt"/>
          </a:endParaRPr>
        </a:p>
        <a:p>
          <a:endParaRPr lang="fr-CA" sz="1200" b="1" i="0">
            <a:solidFill>
              <a:schemeClr val="dk1"/>
            </a:solidFill>
            <a:effectLst/>
            <a:latin typeface="+mn-lt"/>
            <a:ea typeface="+mn-ea"/>
            <a:cs typeface="+mn-cs"/>
          </a:endParaRPr>
        </a:p>
        <a:p>
          <a:r>
            <a:rPr lang="fr-CA" sz="1200" b="1" i="0">
              <a:solidFill>
                <a:schemeClr val="dk1"/>
              </a:solidFill>
              <a:effectLst/>
              <a:latin typeface="+mn-lt"/>
              <a:ea typeface="+mn-ea"/>
              <a:cs typeface="+mn-cs"/>
            </a:rPr>
            <a:t>Les opportunités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sont susceptibles d’apporter un appui à l'atteinte de la cible. </a:t>
          </a:r>
          <a:endParaRPr lang="fr-CA" sz="1200">
            <a:effectLst/>
            <a:latin typeface="+mn-lt"/>
          </a:endParaRPr>
        </a:p>
        <a:p>
          <a:r>
            <a:rPr lang="fr-CA" sz="1200" b="1" i="0">
              <a:solidFill>
                <a:schemeClr val="dk1"/>
              </a:solidFill>
              <a:effectLst/>
              <a:latin typeface="+mn-lt"/>
              <a:ea typeface="+mn-ea"/>
              <a:cs typeface="+mn-cs"/>
            </a:rPr>
            <a:t>Les menaces</a:t>
          </a:r>
          <a:r>
            <a:rPr lang="fr-CA" sz="1200" i="0">
              <a:solidFill>
                <a:schemeClr val="dk1"/>
              </a:solidFill>
              <a:effectLst/>
              <a:latin typeface="+mn-lt"/>
              <a:ea typeface="+mn-ea"/>
              <a:cs typeface="+mn-cs"/>
            </a:rPr>
            <a:t> sont les facteurs externes</a:t>
          </a:r>
          <a:r>
            <a:rPr lang="fr-CA" sz="1200" i="0" baseline="0">
              <a:solidFill>
                <a:schemeClr val="dk1"/>
              </a:solidFill>
              <a:effectLst/>
              <a:latin typeface="+mn-lt"/>
              <a:ea typeface="+mn-ea"/>
              <a:cs typeface="+mn-cs"/>
            </a:rPr>
            <a:t> </a:t>
          </a:r>
          <a:r>
            <a:rPr lang="fr-CA" sz="1200" i="0">
              <a:solidFill>
                <a:schemeClr val="dk1"/>
              </a:solidFill>
              <a:effectLst/>
              <a:latin typeface="+mn-lt"/>
              <a:ea typeface="+mn-ea"/>
              <a:cs typeface="+mn-cs"/>
            </a:rPr>
            <a:t>qui échappent à votre contrôle, qui peuvent avoir une incidence négative sur la cible et remettre en question la réalisation de ses objectifs.</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Il convient ensuite de pondérer chaque cible en fonction de son importance au niveau d'analyse</a:t>
          </a:r>
          <a:r>
            <a:rPr lang="fr-CA" sz="1200" baseline="0">
              <a:solidFill>
                <a:schemeClr val="dk1"/>
              </a:solidFill>
              <a:effectLst/>
              <a:latin typeface="+mn-lt"/>
              <a:ea typeface="+mn-ea"/>
              <a:cs typeface="+mn-cs"/>
            </a:rPr>
            <a:t> déterminé</a:t>
          </a:r>
          <a:r>
            <a:rPr lang="fr-CA" sz="1200">
              <a:solidFill>
                <a:schemeClr val="dk1"/>
              </a:solidFill>
              <a:effectLst/>
              <a:latin typeface="+mn-lt"/>
              <a:ea typeface="+mn-ea"/>
              <a:cs typeface="+mn-cs"/>
            </a:rPr>
            <a:t>. Chaque</a:t>
          </a:r>
          <a:r>
            <a:rPr lang="fr-CA" sz="1200" baseline="0">
              <a:solidFill>
                <a:schemeClr val="dk1"/>
              </a:solidFill>
              <a:effectLst/>
              <a:latin typeface="+mn-lt"/>
              <a:ea typeface="+mn-ea"/>
              <a:cs typeface="+mn-cs"/>
            </a:rPr>
            <a:t> organisation a ses particularités et ses enjeux spécifiques en matière de numérique responsable. La pondération permet d'identifier les cibles sur lesquelles l'attention doit porter en priorité. </a:t>
          </a:r>
          <a:endParaRPr lang="fr-CA" sz="1200">
            <a:effectLst/>
            <a:latin typeface="+mn-lt"/>
          </a:endParaRPr>
        </a:p>
        <a:p>
          <a:pPr eaLnBrk="1" fontAlgn="auto" latinLnBrk="0" hangingPunct="1"/>
          <a:r>
            <a:rPr lang="fr-CA" sz="1200" baseline="0">
              <a:solidFill>
                <a:schemeClr val="dk1"/>
              </a:solidFill>
              <a:effectLst/>
              <a:latin typeface="+mn-lt"/>
              <a:ea typeface="+mn-ea"/>
              <a:cs typeface="+mn-cs"/>
            </a:rPr>
            <a:t>En fonction des enjeux spécifiques, déterminez l'importance que vous accordez à cette cible. </a:t>
          </a:r>
          <a:endParaRPr lang="fr-CA" sz="1200">
            <a:effectLst/>
            <a:latin typeface="+mn-lt"/>
          </a:endParaRPr>
        </a:p>
        <a:p>
          <a:pPr eaLnBrk="1" fontAlgn="auto" latinLnBrk="0" hangingPunct="1"/>
          <a:endParaRPr lang="fr-CA" sz="1200" baseline="0">
            <a:solidFill>
              <a:schemeClr val="dk1"/>
            </a:solidFill>
            <a:effectLst/>
            <a:latin typeface="+mn-lt"/>
            <a:ea typeface="+mn-ea"/>
            <a:cs typeface="+mn-cs"/>
          </a:endParaRPr>
        </a:p>
        <a:p>
          <a:pPr eaLnBrk="1" fontAlgn="auto" latinLnBrk="0" hangingPunct="1"/>
          <a:r>
            <a:rPr lang="fr-CA" sz="1200" baseline="0">
              <a:solidFill>
                <a:schemeClr val="dk1"/>
              </a:solidFill>
              <a:effectLst/>
              <a:latin typeface="+mn-lt"/>
              <a:ea typeface="+mn-ea"/>
              <a:cs typeface="+mn-cs"/>
            </a:rPr>
            <a:t>Les valeurs numérales de 0 à 3 sont utilisées pour déterminer l’importance de chaque cible.</a:t>
          </a:r>
          <a:endParaRPr lang="fr-CA" sz="1200">
            <a:effectLst/>
            <a:latin typeface="+mn-lt"/>
          </a:endParaRPr>
        </a:p>
        <a:p>
          <a:pPr eaLnBrk="1" fontAlgn="auto" latinLnBrk="0" hangingPunct="1"/>
          <a:endParaRPr lang="fr-CA" sz="1200" b="1" baseline="0">
            <a:solidFill>
              <a:schemeClr val="dk1"/>
            </a:solidFill>
            <a:effectLst/>
            <a:latin typeface="+mn-lt"/>
            <a:ea typeface="+mn-ea"/>
            <a:cs typeface="+mn-cs"/>
          </a:endParaRPr>
        </a:p>
        <a:p>
          <a:pPr eaLnBrk="1" fontAlgn="auto" latinLnBrk="0" hangingPunct="1"/>
          <a:r>
            <a:rPr lang="fr-CA" sz="1200" b="1" baseline="0">
              <a:solidFill>
                <a:schemeClr val="dk1"/>
              </a:solidFill>
              <a:effectLst/>
              <a:latin typeface="+mn-lt"/>
              <a:ea typeface="+mn-ea"/>
              <a:cs typeface="+mn-cs"/>
            </a:rPr>
            <a:t>0</a:t>
          </a:r>
          <a:r>
            <a:rPr lang="fr-CA" sz="1200" baseline="0">
              <a:solidFill>
                <a:schemeClr val="dk1"/>
              </a:solidFill>
              <a:effectLst/>
              <a:latin typeface="+mn-lt"/>
              <a:ea typeface="+mn-ea"/>
              <a:cs typeface="+mn-cs"/>
            </a:rPr>
            <a:t> -  Cible </a:t>
          </a:r>
          <a:r>
            <a:rPr lang="fr-CA" sz="1200" b="1" baseline="0">
              <a:solidFill>
                <a:schemeClr val="dk1"/>
              </a:solidFill>
              <a:effectLst/>
              <a:latin typeface="+mn-lt"/>
              <a:ea typeface="+mn-ea"/>
              <a:cs typeface="+mn-cs"/>
            </a:rPr>
            <a:t>non applicable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1</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peu 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2</a:t>
          </a:r>
          <a:r>
            <a:rPr lang="fr-CA" sz="1200" baseline="0">
              <a:solidFill>
                <a:schemeClr val="dk1"/>
              </a:solidFill>
              <a:effectLst/>
              <a:latin typeface="+mn-lt"/>
              <a:ea typeface="+mn-ea"/>
              <a:cs typeface="+mn-cs"/>
            </a:rPr>
            <a:t>  - Cible dont l'atteinte est jugée </a:t>
          </a:r>
          <a:r>
            <a:rPr lang="fr-CA" sz="1200" b="1" baseline="0">
              <a:solidFill>
                <a:schemeClr val="dk1"/>
              </a:solidFill>
              <a:effectLst/>
              <a:latin typeface="+mn-lt"/>
              <a:ea typeface="+mn-ea"/>
              <a:cs typeface="+mn-cs"/>
            </a:rPr>
            <a:t>importante</a:t>
          </a:r>
          <a:r>
            <a:rPr lang="fr-CA" sz="1200" baseline="0">
              <a:solidFill>
                <a:schemeClr val="dk1"/>
              </a:solidFill>
              <a:effectLst/>
              <a:latin typeface="+mn-lt"/>
              <a:ea typeface="+mn-ea"/>
              <a:cs typeface="+mn-cs"/>
            </a:rPr>
            <a:t>.</a:t>
          </a:r>
          <a:endParaRPr lang="fr-CA" sz="1200">
            <a:effectLst/>
            <a:latin typeface="+mn-lt"/>
          </a:endParaRPr>
        </a:p>
        <a:p>
          <a:pPr eaLnBrk="1" fontAlgn="auto" latinLnBrk="0" hangingPunct="1"/>
          <a:r>
            <a:rPr lang="fr-CA" sz="1200" b="1" baseline="0">
              <a:solidFill>
                <a:schemeClr val="dk1"/>
              </a:solidFill>
              <a:effectLst/>
              <a:latin typeface="+mn-lt"/>
              <a:ea typeface="+mn-ea"/>
              <a:cs typeface="+mn-cs"/>
            </a:rPr>
            <a:t>3</a:t>
          </a:r>
          <a:r>
            <a:rPr lang="fr-CA" sz="1200" baseline="0">
              <a:solidFill>
                <a:schemeClr val="dk1"/>
              </a:solidFill>
              <a:effectLst/>
              <a:latin typeface="+mn-lt"/>
              <a:ea typeface="+mn-ea"/>
              <a:cs typeface="+mn-cs"/>
            </a:rPr>
            <a:t>  - Cible dont l'atteinte est </a:t>
          </a:r>
          <a:r>
            <a:rPr lang="fr-CA" sz="1200" b="1" baseline="0">
              <a:solidFill>
                <a:schemeClr val="dk1"/>
              </a:solidFill>
              <a:effectLst/>
              <a:latin typeface="+mn-lt"/>
              <a:ea typeface="+mn-ea"/>
              <a:cs typeface="+mn-cs"/>
            </a:rPr>
            <a:t>très importante</a:t>
          </a:r>
          <a:r>
            <a:rPr lang="fr-CA" sz="1200" baseline="0">
              <a:solidFill>
                <a:schemeClr val="dk1"/>
              </a:solidFill>
              <a:effectLst/>
              <a:latin typeface="+mn-lt"/>
              <a:ea typeface="+mn-ea"/>
              <a:cs typeface="+mn-cs"/>
            </a:rPr>
            <a:t>.</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Performance</a:t>
          </a:r>
          <a:r>
            <a:rPr lang="fr-CA" sz="1200" b="1" i="0" baseline="0">
              <a:solidFill>
                <a:schemeClr val="dk1"/>
              </a:solidFill>
              <a:effectLst/>
              <a:latin typeface="+mn-lt"/>
              <a:ea typeface="+mn-ea"/>
              <a:cs typeface="+mn-cs"/>
            </a:rPr>
            <a:t> actuelle </a:t>
          </a:r>
          <a:endParaRPr lang="fr-CA" sz="1200" i="0">
            <a:effectLst/>
            <a:latin typeface="+mn-lt"/>
          </a:endParaRPr>
        </a:p>
        <a:p>
          <a:pPr fontAlgn="base"/>
          <a:r>
            <a:rPr lang="fr-CA" sz="1200">
              <a:solidFill>
                <a:schemeClr val="dk1"/>
              </a:solidFill>
              <a:effectLst/>
              <a:latin typeface="+mn-lt"/>
              <a:ea typeface="+mn-ea"/>
              <a:cs typeface="+mn-cs"/>
            </a:rPr>
            <a:t>Une fois que l'importance de chaque</a:t>
          </a:r>
          <a:r>
            <a:rPr lang="fr-CA" sz="1200" baseline="0">
              <a:solidFill>
                <a:schemeClr val="dk1"/>
              </a:solidFill>
              <a:effectLst/>
              <a:latin typeface="+mn-lt"/>
              <a:ea typeface="+mn-ea"/>
              <a:cs typeface="+mn-cs"/>
            </a:rPr>
            <a:t> cible a été déterminée</a:t>
          </a:r>
          <a:r>
            <a:rPr lang="fr-CA" sz="1200">
              <a:solidFill>
                <a:schemeClr val="dk1"/>
              </a:solidFill>
              <a:effectLst/>
              <a:latin typeface="+mn-lt"/>
              <a:ea typeface="+mn-ea"/>
              <a:cs typeface="+mn-cs"/>
            </a:rPr>
            <a:t>, il faut évaluer la performance au regard de chacune des cibles. </a:t>
          </a:r>
          <a:endParaRPr lang="fr-CA" sz="1200">
            <a:effectLst/>
            <a:latin typeface="+mn-lt"/>
          </a:endParaRPr>
        </a:p>
        <a:p>
          <a:pPr fontAlgn="base"/>
          <a:r>
            <a:rPr lang="fr-CA" sz="1200">
              <a:solidFill>
                <a:schemeClr val="dk1"/>
              </a:solidFill>
              <a:effectLst/>
              <a:latin typeface="+mn-lt"/>
              <a:ea typeface="+mn-ea"/>
              <a:cs typeface="+mn-cs"/>
            </a:rPr>
            <a:t>Les valeurs numérales de 1 à 4 sont utilisées pour déterminer le niveau de performance actuel.</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1</a:t>
          </a:r>
          <a:r>
            <a:rPr lang="fr-CA" sz="1200">
              <a:solidFill>
                <a:schemeClr val="dk1"/>
              </a:solidFill>
              <a:effectLst/>
              <a:latin typeface="+mn-lt"/>
              <a:ea typeface="+mn-ea"/>
              <a:cs typeface="+mn-cs"/>
            </a:rPr>
            <a:t> - Cette cible n'est </a:t>
          </a:r>
          <a:r>
            <a:rPr lang="fr-CA" sz="1200" b="1">
              <a:solidFill>
                <a:schemeClr val="dk1"/>
              </a:solidFill>
              <a:effectLst/>
              <a:latin typeface="+mn-lt"/>
              <a:ea typeface="+mn-ea"/>
              <a:cs typeface="+mn-cs"/>
            </a:rPr>
            <a:t>pas du tout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problématique, la situation est inconfortable et il est nécessaire d'apporter des correctifs.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2</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 en partie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perfectible, la situation est relativement inconfortable, il serait aisé d'imaginer des pistes d'amélioration.</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3</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en voie d'être 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satisfaisante, la situation est confortable, sans être parfaite, des améliorations sont encore possibles.</a:t>
          </a:r>
          <a:endParaRPr lang="fr-CA" sz="1200">
            <a:effectLst/>
            <a:latin typeface="+mn-lt"/>
          </a:endParaRPr>
        </a:p>
        <a:p>
          <a:pPr fontAlgn="base"/>
          <a:endParaRPr lang="fr-CA" sz="1200" b="1">
            <a:solidFill>
              <a:schemeClr val="dk1"/>
            </a:solidFill>
            <a:effectLst/>
            <a:latin typeface="+mn-lt"/>
            <a:ea typeface="+mn-ea"/>
            <a:cs typeface="+mn-cs"/>
          </a:endParaRPr>
        </a:p>
        <a:p>
          <a:pPr fontAlgn="base"/>
          <a:r>
            <a:rPr lang="fr-CA" sz="1200" b="1">
              <a:solidFill>
                <a:schemeClr val="dk1"/>
              </a:solidFill>
              <a:effectLst/>
              <a:latin typeface="+mn-lt"/>
              <a:ea typeface="+mn-ea"/>
              <a:cs typeface="+mn-cs"/>
            </a:rPr>
            <a:t>4</a:t>
          </a:r>
          <a:r>
            <a:rPr lang="fr-CA" sz="1200">
              <a:solidFill>
                <a:schemeClr val="dk1"/>
              </a:solidFill>
              <a:effectLst/>
              <a:latin typeface="+mn-lt"/>
              <a:ea typeface="+mn-ea"/>
              <a:cs typeface="+mn-cs"/>
            </a:rPr>
            <a:t> - Cette cible est </a:t>
          </a:r>
          <a:r>
            <a:rPr lang="fr-CA" sz="1200" b="1">
              <a:solidFill>
                <a:schemeClr val="dk1"/>
              </a:solidFill>
              <a:effectLst/>
              <a:latin typeface="+mn-lt"/>
              <a:ea typeface="+mn-ea"/>
              <a:cs typeface="+mn-cs"/>
            </a:rPr>
            <a:t>atteinte</a:t>
          </a:r>
          <a:endParaRPr lang="fr-CA" sz="1200">
            <a:effectLst/>
            <a:latin typeface="+mn-lt"/>
          </a:endParaRPr>
        </a:p>
        <a:p>
          <a:pPr fontAlgn="base"/>
          <a:r>
            <a:rPr lang="fr-CA" sz="1200">
              <a:solidFill>
                <a:schemeClr val="dk1"/>
              </a:solidFill>
              <a:effectLst/>
              <a:latin typeface="+mn-lt"/>
              <a:ea typeface="+mn-ea"/>
              <a:cs typeface="+mn-cs"/>
            </a:rPr>
            <a:t>La situation relative à cette cible est jugée excellente, la situation actuelle est très confortable, l'organisation pouvant faire figure d'exemplarité.</a:t>
          </a:r>
        </a:p>
        <a:p>
          <a:pPr fontAlgn="base"/>
          <a:endParaRPr lang="fr-CA" sz="120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Vous devez ensuite inscrire dans la</a:t>
          </a:r>
          <a:r>
            <a:rPr lang="fr-CA" sz="1200" b="0" i="0" baseline="0">
              <a:solidFill>
                <a:schemeClr val="dk1"/>
              </a:solidFill>
              <a:effectLst/>
              <a:latin typeface="+mn-lt"/>
              <a:ea typeface="+mn-ea"/>
              <a:cs typeface="+mn-cs"/>
            </a:rPr>
            <a:t> </a:t>
          </a:r>
          <a:r>
            <a:rPr lang="fr-CA" sz="1200" b="0" i="0">
              <a:solidFill>
                <a:schemeClr val="dk1"/>
              </a:solidFill>
              <a:effectLst/>
              <a:latin typeface="+mn-lt"/>
              <a:ea typeface="+mn-ea"/>
              <a:cs typeface="+mn-cs"/>
            </a:rPr>
            <a:t>colonne correspondante les actions et mesures qui ont déjà été planifiées ou mises en œuvre qui peuvent contribuer à l'atteinte de cette cible. Justifiez,</a:t>
          </a:r>
          <a:r>
            <a:rPr lang="fr-CA" sz="1200" b="0" i="0" baseline="0">
              <a:solidFill>
                <a:schemeClr val="dk1"/>
              </a:solidFill>
              <a:effectLst/>
              <a:latin typeface="+mn-lt"/>
              <a:ea typeface="+mn-ea"/>
              <a:cs typeface="+mn-cs"/>
            </a:rPr>
            <a:t> en quelque sorte, le</a:t>
          </a:r>
          <a:r>
            <a:rPr lang="fr-CA" sz="1200" b="0" i="0">
              <a:solidFill>
                <a:schemeClr val="dk1"/>
              </a:solidFill>
              <a:effectLst/>
              <a:latin typeface="+mn-lt"/>
              <a:ea typeface="+mn-ea"/>
              <a:cs typeface="+mn-cs"/>
            </a:rPr>
            <a:t> niveau d'atteinte de la cible, une cible atteinte devrait pouvoir s'expliquer par plusieurs éléments positifs déjà présents. Utilisez l'ensemble des informations à votre disposition pour documenter cette section. Précisez par exemple : </a:t>
          </a:r>
          <a:endParaRPr lang="fr-CA" sz="1200">
            <a:effectLst/>
            <a:latin typeface="+mn-lt"/>
          </a:endParaRPr>
        </a:p>
        <a:p>
          <a:pPr fontAlgn="base"/>
          <a:endParaRPr lang="fr-CA" sz="1200" b="0" i="0">
            <a:solidFill>
              <a:schemeClr val="dk1"/>
            </a:solidFill>
            <a:effectLst/>
            <a:latin typeface="+mn-lt"/>
            <a:ea typeface="+mn-ea"/>
            <a:cs typeface="+mn-cs"/>
          </a:endParaRPr>
        </a:p>
        <a:p>
          <a:pPr fontAlgn="base"/>
          <a:r>
            <a:rPr lang="fr-CA" sz="1200" b="0" i="0">
              <a:solidFill>
                <a:schemeClr val="dk1"/>
              </a:solidFill>
              <a:effectLst/>
              <a:latin typeface="+mn-lt"/>
              <a:ea typeface="+mn-ea"/>
              <a:cs typeface="+mn-cs"/>
            </a:rPr>
            <a:t> - Les programmes et stratégies existants, avec les organisations responsables.</a:t>
          </a:r>
          <a:endParaRPr lang="fr-CA" sz="1200">
            <a:effectLst/>
            <a:latin typeface="+mn-lt"/>
          </a:endParaRPr>
        </a:p>
        <a:p>
          <a:pPr fontAlgn="base"/>
          <a:r>
            <a:rPr lang="fr-CA" sz="1200" b="0" i="0">
              <a:solidFill>
                <a:schemeClr val="dk1"/>
              </a:solidFill>
              <a:effectLst/>
              <a:latin typeface="+mn-lt"/>
              <a:ea typeface="+mn-ea"/>
              <a:cs typeface="+mn-cs"/>
            </a:rPr>
            <a:t> - Les mesures, projets et actions mis en </a:t>
          </a:r>
          <a:r>
            <a:rPr lang="fr-CA" sz="1200">
              <a:solidFill>
                <a:schemeClr val="dk1"/>
              </a:solidFill>
              <a:effectLst/>
              <a:latin typeface="+mn-lt"/>
              <a:ea typeface="+mn-ea"/>
              <a:cs typeface="+mn-cs"/>
            </a:rPr>
            <a:t>œuvre </a:t>
          </a:r>
          <a:r>
            <a:rPr lang="fr-CA" sz="1200" b="0" i="0">
              <a:solidFill>
                <a:schemeClr val="dk1"/>
              </a:solidFill>
              <a:effectLst/>
              <a:latin typeface="+mn-lt"/>
              <a:ea typeface="+mn-ea"/>
              <a:cs typeface="+mn-cs"/>
            </a:rPr>
            <a:t>sur le territoire.</a:t>
          </a:r>
          <a:endParaRPr lang="fr-CA" sz="1200">
            <a:effectLst/>
            <a:latin typeface="+mn-lt"/>
          </a:endParaRPr>
        </a:p>
        <a:p>
          <a:pPr fontAlgn="base"/>
          <a:r>
            <a:rPr lang="fr-CA" sz="1200" b="0" i="0">
              <a:solidFill>
                <a:schemeClr val="dk1"/>
              </a:solidFill>
              <a:effectLst/>
              <a:latin typeface="+mn-lt"/>
              <a:ea typeface="+mn-ea"/>
              <a:cs typeface="+mn-cs"/>
            </a:rPr>
            <a:t> - Les partenaires actifs sur ces enjeux.</a:t>
          </a:r>
          <a:endParaRPr lang="fr-CA" sz="1200">
            <a:effectLst/>
            <a:latin typeface="+mn-lt"/>
          </a:endParaRPr>
        </a:p>
        <a:p>
          <a:pPr fontAlgn="base"/>
          <a:r>
            <a:rPr lang="fr-CA" sz="1200" b="0" i="0">
              <a:solidFill>
                <a:schemeClr val="dk1"/>
              </a:solidFill>
              <a:effectLst/>
              <a:latin typeface="+mn-lt"/>
              <a:ea typeface="+mn-ea"/>
              <a:cs typeface="+mn-cs"/>
            </a:rPr>
            <a:t> - Les indicateurs de suivi pertinents.</a:t>
          </a:r>
          <a:endParaRPr lang="fr-CA" sz="1200">
            <a:effectLst/>
            <a:latin typeface="+mn-lt"/>
          </a:endParaRPr>
        </a:p>
        <a:p>
          <a:pPr fontAlgn="base"/>
          <a:r>
            <a:rPr lang="fr-CA" sz="1200" b="0" i="0">
              <a:solidFill>
                <a:schemeClr val="dk1"/>
              </a:solidFill>
              <a:effectLst/>
              <a:latin typeface="+mn-lt"/>
              <a:ea typeface="+mn-ea"/>
              <a:cs typeface="+mn-cs"/>
            </a:rPr>
            <a:t> - Les financements disponibles.</a:t>
          </a:r>
          <a:endParaRPr lang="fr-CA" sz="1200">
            <a:effectLst/>
            <a:latin typeface="+mn-lt"/>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endParaRPr lang="fr-CA" sz="1200" b="1" i="1">
            <a:solidFill>
              <a:schemeClr val="dk1"/>
            </a:solidFill>
            <a:effectLst/>
            <a:latin typeface="+mn-lt"/>
            <a:ea typeface="+mn-ea"/>
            <a:cs typeface="+mn-cs"/>
          </a:endParaRPr>
        </a:p>
        <a:p>
          <a:pPr eaLnBrk="1" fontAlgn="auto" latinLnBrk="0" hangingPunct="1"/>
          <a:r>
            <a:rPr lang="fr-CA" sz="1200" b="1" i="0">
              <a:solidFill>
                <a:schemeClr val="dk1"/>
              </a:solidFill>
              <a:effectLst/>
              <a:latin typeface="+mn-lt"/>
              <a:ea typeface="+mn-ea"/>
              <a:cs typeface="+mn-cs"/>
            </a:rPr>
            <a:t>Évaluation des compétences</a:t>
          </a:r>
          <a:endParaRPr lang="fr-CA" sz="1200" i="0">
            <a:effectLst/>
            <a:latin typeface="+mn-lt"/>
          </a:endParaRPr>
        </a:p>
        <a:p>
          <a:r>
            <a:rPr lang="fr-CA" sz="1200" b="0" i="0">
              <a:solidFill>
                <a:schemeClr val="dk1"/>
              </a:solidFill>
              <a:effectLst/>
              <a:latin typeface="+mn-lt"/>
              <a:ea typeface="+mn-ea"/>
              <a:cs typeface="+mn-cs"/>
            </a:rPr>
            <a:t>Identifier les compétences internes et externes à mobiliser pour agir sur chaque cible.</a:t>
          </a:r>
          <a:r>
            <a:rPr lang="fr-CA" sz="1200" b="0" i="0" baseline="0">
              <a:solidFill>
                <a:schemeClr val="dk1"/>
              </a:solidFill>
              <a:effectLst/>
              <a:latin typeface="+mn-lt"/>
              <a:ea typeface="+mn-ea"/>
              <a:cs typeface="+mn-cs"/>
            </a:rPr>
            <a:t/>
          </a:r>
          <a:r>
            <a:rPr lang="fr-CA" sz="1200" b="0" i="0">
              <a:solidFill>
                <a:schemeClr val="dk1"/>
              </a:solidFill>
              <a:effectLst/>
              <a:latin typeface="+mn-lt"/>
              <a:ea typeface="+mn-ea"/>
              <a:cs typeface="+mn-cs"/>
            </a:rPr>
            <a:t/>
          </a:r>
          <a:endParaRPr lang="fr-CA" sz="1200">
            <a:effectLst/>
            <a:latin typeface="+mn-lt"/>
          </a:endParaRPr>
        </a:p>
        <a:p>
          <a:pPr eaLnBrk="1" fontAlgn="auto" latinLnBrk="0" hangingPunct="1"/>
          <a:endParaRPr lang="fr-CA" sz="1200">
            <a:solidFill>
              <a:schemeClr val="dk1"/>
            </a:solidFill>
            <a:effectLst/>
            <a:latin typeface="+mn-lt"/>
            <a:ea typeface="+mn-ea"/>
            <a:cs typeface="+mn-cs"/>
          </a:endParaRPr>
        </a:p>
        <a:p>
          <a:pPr eaLnBrk="1" fontAlgn="auto" latinLnBrk="0" hangingPunct="1"/>
          <a:r>
            <a:rPr lang="fr-CA" sz="1200">
              <a:solidFill>
                <a:schemeClr val="dk1"/>
              </a:solidFill>
              <a:effectLst/>
              <a:latin typeface="+mn-lt"/>
              <a:ea typeface="+mn-ea"/>
              <a:cs typeface="+mn-cs"/>
            </a:rPr>
            <a:t>Réaliser cette analyse avec les équipes concernées, en tenant compte des ressources et des partenaires disponibles. Ce choix ne modifie pas le niveau de priorité.</a:t>
          </a:r>
          <a:r>
            <a:rPr lang="fr-CA" sz="1200" baseline="0">
              <a:solidFill>
                <a:schemeClr val="dk1"/>
              </a:solidFill>
              <a:effectLst/>
              <a:latin typeface="+mn-lt"/>
              <a:ea typeface="+mn-ea"/>
              <a:cs typeface="+mn-cs"/>
            </a:rPr>
            <a:t/>
          </a:r>
          <a:r>
            <a:rPr lang="fr-CA" sz="1200">
              <a:solidFill>
                <a:schemeClr val="dk1"/>
              </a:solidFill>
              <a:effectLst/>
              <a:latin typeface="+mn-lt"/>
              <a:ea typeface="+mn-ea"/>
              <a:cs typeface="+mn-cs"/>
            </a:rPr>
            <a:t/>
          </a:r>
          <a:r>
            <a:rPr lang="fr-CA" sz="1200" baseline="0">
              <a:solidFill>
                <a:schemeClr val="dk1"/>
              </a:solidFill>
              <a:effectLst/>
              <a:latin typeface="+mn-lt"/>
              <a:ea typeface="+mn-ea"/>
              <a:cs typeface="+mn-cs"/>
            </a:rPr>
            <a:t/>
          </a:r>
          <a:r>
            <a:rPr lang="fr-CA" sz="1200">
              <a:solidFill>
                <a:schemeClr val="dk1"/>
              </a:solidFill>
              <a:effectLst/>
              <a:latin typeface="+mn-lt"/>
              <a:ea typeface="+mn-ea"/>
              <a:cs typeface="+mn-cs"/>
            </a:rPr>
            <a:t/>
          </a:r>
          <a:endParaRPr lang="fr-CA" sz="1200">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Les valeurs de 1 à 4 identifient les compétences à mobiliser.</a:t>
          </a:r>
          <a:r>
            <a:rPr lang="fr-CA" sz="1200" b="0" i="0">
              <a:solidFill>
                <a:sysClr val="windowText" lastClr="000000"/>
              </a:solidFill>
              <a:effectLst/>
              <a:latin typeface="+mn-lt"/>
              <a:ea typeface="+mn-ea"/>
              <a:cs typeface="+mn-cs"/>
            </a:rPr>
            <a:t/>
          </a:r>
        </a:p>
        <a:p>
          <a:r>
            <a:rPr lang="fr-CA" sz="1200" b="0" i="0">
              <a:solidFill>
                <a:sysClr val="windowText" lastClr="000000"/>
              </a:solidFill>
              <a:effectLst/>
              <a:latin typeface="+mn-lt"/>
              <a:ea typeface="+mn-ea"/>
              <a:cs typeface="+mn-cs"/>
            </a:rPr>
            <a:t>1 - Équipe NR / RSE</a:t>
          </a:r>
        </a:p>
        <a:p>
          <a:r>
            <a:rPr lang="fr-CA" sz="1200" b="0" i="0">
              <a:solidFill>
                <a:sysClr val="windowText" lastClr="000000"/>
              </a:solidFill>
              <a:effectLst/>
              <a:latin typeface="+mn-lt"/>
              <a:ea typeface="+mn-ea"/>
              <a:cs typeface="+mn-cs"/>
            </a:rPr>
            <a:t>2 - NR / RSE et DSI</a:t>
          </a:r>
        </a:p>
        <a:p>
          <a:r>
            <a:rPr lang="fr-CA" sz="1200" b="0" i="0">
              <a:solidFill>
                <a:sysClr val="windowText" lastClr="000000"/>
              </a:solidFill>
              <a:effectLst/>
              <a:latin typeface="+mn-lt"/>
              <a:ea typeface="+mn-ea"/>
              <a:cs typeface="+mn-cs"/>
            </a:rPr>
            <a:t>3 - NR / RSE et équipe hors DSI ; 4 - Intervention extérieure</a:t>
          </a:r>
          <a:endParaRPr lang="fr-CA" sz="1200">
            <a:solidFill>
              <a:sysClr val="windowText" lastClr="000000"/>
            </a:solidFill>
            <a:effectLst/>
            <a:latin typeface="+mn-lt"/>
          </a:endParaRPr>
        </a:p>
        <a:p>
          <a:endParaRPr lang="fr-CA" sz="1200" b="0" i="0">
            <a:solidFill>
              <a:sysClr val="windowText" lastClr="000000"/>
            </a:solidFill>
            <a:effectLst/>
            <a:latin typeface="+mn-lt"/>
            <a:ea typeface="+mn-ea"/>
            <a:cs typeface="+mn-cs"/>
          </a:endParaRPr>
        </a:p>
        <a:p>
          <a:r>
            <a:rPr lang="fr-CA" sz="1200" b="0" i="0">
              <a:solidFill>
                <a:sysClr val="windowText" lastClr="000000"/>
              </a:solidFill>
              <a:effectLst/>
              <a:latin typeface="+mn-lt"/>
              <a:ea typeface="+mn-ea"/>
              <a:cs typeface="+mn-cs"/>
            </a:rPr>
            <a:t>Il faut ensuite inscrire dans la colonne correspondante</a:t>
          </a:r>
          <a:r>
            <a:rPr lang="fr-CA" sz="1200" b="0" i="0" baseline="0">
              <a:solidFill>
                <a:sysClr val="windowText" lastClr="000000"/>
              </a:solidFill>
              <a:effectLst/>
              <a:latin typeface="+mn-lt"/>
              <a:ea typeface="+mn-ea"/>
              <a:cs typeface="+mn-cs"/>
            </a:rPr>
            <a:t> </a:t>
          </a:r>
          <a:r>
            <a:rPr lang="fr-CA" sz="1200" b="0" i="0">
              <a:solidFill>
                <a:sysClr val="windowText" lastClr="000000"/>
              </a:solidFill>
              <a:effectLst/>
              <a:latin typeface="+mn-lt"/>
              <a:ea typeface="+mn-ea"/>
              <a:cs typeface="+mn-cs"/>
            </a:rPr>
            <a:t>toutes les forces et les faiblesses en lien avec chaque cible. </a:t>
          </a:r>
          <a:endParaRPr lang="fr-CA" sz="1200">
            <a:solidFill>
              <a:sysClr val="windowText" lastClr="000000"/>
            </a:solidFill>
            <a:effectLst/>
            <a:latin typeface="+mn-lt"/>
          </a:endParaRPr>
        </a:p>
        <a:p>
          <a:r>
            <a:rPr lang="fr-CA" sz="1200" b="0" i="0">
              <a:solidFill>
                <a:sysClr val="windowText" lastClr="000000"/>
              </a:solidFill>
              <a:effectLst/>
              <a:latin typeface="+mn-lt"/>
              <a:ea typeface="+mn-ea"/>
              <a:cs typeface="+mn-cs"/>
            </a:rPr>
            <a:t>Ces forces et faiblesses doivent référer aux capacités d'action réelles sur le terrain des acteurs.</a:t>
          </a:r>
          <a:endParaRPr lang="fr-CA" sz="1200">
            <a:solidFill>
              <a:sysClr val="windowText" lastClr="000000"/>
            </a:solidFill>
            <a:effectLst/>
            <a:latin typeface="+mn-lt"/>
          </a:endParaRPr>
        </a:p>
        <a:p>
          <a:endParaRPr lang="fr-CA" sz="1200" b="1" i="0">
            <a:solidFill>
              <a:sysClr val="windowText" lastClr="000000"/>
            </a:solidFill>
            <a:effectLst/>
            <a:latin typeface="+mn-lt"/>
            <a:ea typeface="+mn-ea"/>
            <a:cs typeface="+mn-cs"/>
          </a:endParaRPr>
        </a:p>
        <a:p>
          <a:r>
            <a:rPr lang="fr-CA" sz="1200" b="1" i="0">
              <a:solidFill>
                <a:sysClr val="windowText" lastClr="000000"/>
              </a:solidFill>
              <a:effectLst/>
              <a:latin typeface="+mn-lt"/>
              <a:ea typeface="+mn-ea"/>
              <a:cs typeface="+mn-cs"/>
            </a:rPr>
            <a:t>Les forces</a:t>
          </a:r>
          <a:r>
            <a:rPr lang="fr-CA" sz="1200" i="0">
              <a:solidFill>
                <a:sysClr val="windowText" lastClr="000000"/>
              </a:solidFill>
              <a:effectLst/>
              <a:latin typeface="+mn-lt"/>
              <a:ea typeface="+mn-ea"/>
              <a:cs typeface="+mn-cs"/>
            </a:rPr>
            <a:t> sont les facteurs internes, qui peuvent être d’une importance particulière pour la cible, tels que des ressources humaines et matérielles.</a:t>
          </a:r>
          <a:endParaRPr lang="fr-CA" sz="1200">
            <a:solidFill>
              <a:sysClr val="windowText" lastClr="000000"/>
            </a:solidFill>
            <a:effectLst/>
            <a:latin typeface="+mn-lt"/>
          </a:endParaRPr>
        </a:p>
        <a:p>
          <a:r>
            <a:rPr lang="fr-CA" sz="1200" b="1" i="0">
              <a:solidFill>
                <a:sysClr val="windowText" lastClr="000000"/>
              </a:solidFill>
              <a:effectLst/>
              <a:latin typeface="+mn-lt"/>
              <a:ea typeface="+mn-ea"/>
              <a:cs typeface="+mn-cs"/>
            </a:rPr>
            <a:t>Les faiblesses</a:t>
          </a:r>
          <a:r>
            <a:rPr lang="fr-CA" sz="1200" i="0">
              <a:solidFill>
                <a:sysClr val="windowText" lastClr="000000"/>
              </a:solidFill>
              <a:effectLst/>
              <a:latin typeface="+mn-lt"/>
              <a:ea typeface="+mn-ea"/>
              <a:cs typeface="+mn-cs"/>
            </a:rPr>
            <a:t> sont les facteurs internes qui peuvent porter atteinte à l’efficacité des actions. Ils peuvent comprendre le manque d'expérience, les limitations budgétaires, le manque de contacts appropriés et l’insuffisance des capacités.</a:t>
          </a:r>
          <a:endParaRPr lang="fr-CA" sz="1200">
            <a:solidFill>
              <a:sysClr val="windowText" lastClr="000000"/>
            </a:solidFill>
            <a:effectLst/>
            <a:latin typeface="+mn-lt"/>
          </a:endParaRPr>
        </a:p>
        <a:p>
          <a:endParaRPr lang="fr-CA" sz="1200" b="0" i="0">
            <a:solidFill>
              <a:schemeClr val="dk1"/>
            </a:solidFill>
            <a:effectLst/>
            <a:latin typeface="+mn-lt"/>
            <a:ea typeface="+mn-ea"/>
            <a:cs typeface="+mn-cs"/>
          </a:endParaRPr>
        </a:p>
        <a:p>
          <a:r>
            <a:rPr lang="fr-CA" sz="1200" b="0" i="0">
              <a:solidFill>
                <a:schemeClr val="dk1"/>
              </a:solidFill>
              <a:effectLst/>
              <a:latin typeface="+mn-lt"/>
              <a:ea typeface="+mn-ea"/>
              <a:cs typeface="+mn-cs"/>
            </a:rPr>
            <a:t>Dans cette colonne, précisez par exemple : </a:t>
          </a:r>
          <a:endParaRPr lang="fr-CA" sz="1200">
            <a:effectLst/>
            <a:latin typeface="+mn-lt"/>
          </a:endParaRPr>
        </a:p>
        <a:p>
          <a:r>
            <a:rPr lang="fr-CA" sz="1200" b="0" i="0">
              <a:solidFill>
                <a:schemeClr val="dk1"/>
              </a:solidFill>
              <a:effectLst/>
              <a:latin typeface="+mn-lt"/>
              <a:ea typeface="+mn-ea"/>
              <a:cs typeface="+mn-cs"/>
            </a:rPr>
            <a:t>- La nature des capacités au niveau</a:t>
          </a:r>
          <a:r>
            <a:rPr lang="fr-CA" sz="1200" b="0" i="0" baseline="0">
              <a:solidFill>
                <a:schemeClr val="dk1"/>
              </a:solidFill>
              <a:effectLst/>
              <a:latin typeface="+mn-lt"/>
              <a:ea typeface="+mn-ea"/>
              <a:cs typeface="+mn-cs"/>
            </a:rPr>
            <a:t> d'analyse déterminé</a:t>
          </a:r>
          <a:r>
            <a:rPr lang="fr-CA" sz="1200" b="0" i="0">
              <a:solidFill>
                <a:schemeClr val="dk1"/>
              </a:solidFill>
              <a:effectLst/>
              <a:latin typeface="+mn-lt"/>
              <a:ea typeface="+mn-ea"/>
              <a:cs typeface="+mn-cs"/>
            </a:rPr>
            <a:t>;</a:t>
          </a:r>
          <a:endParaRPr lang="fr-CA" sz="1200">
            <a:effectLst/>
            <a:latin typeface="+mn-lt"/>
          </a:endParaRPr>
        </a:p>
        <a:p>
          <a:r>
            <a:rPr lang="fr-CA" sz="1200" b="0" i="0">
              <a:solidFill>
                <a:schemeClr val="dk1"/>
              </a:solidFill>
              <a:effectLst/>
              <a:latin typeface="+mn-lt"/>
              <a:ea typeface="+mn-ea"/>
              <a:cs typeface="+mn-cs"/>
            </a:rPr>
            <a:t>- Les ressources humaines, financières et techniques disponibles;</a:t>
          </a:r>
          <a:endParaRPr lang="fr-CA" sz="1200">
            <a:effectLst/>
            <a:latin typeface="+mn-lt"/>
          </a:endParaRPr>
        </a:p>
        <a:p>
          <a:r>
            <a:rPr lang="fr-CA" sz="1200" b="0" i="0">
              <a:solidFill>
                <a:schemeClr val="dk1"/>
              </a:solidFill>
              <a:effectLst/>
              <a:latin typeface="+mn-lt"/>
              <a:ea typeface="+mn-ea"/>
              <a:cs typeface="+mn-cs"/>
            </a:rPr>
            <a:t>- Les partenaires en place qui peuvent agir sur la cible;</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Stratégie d'action pour l'atteinte de cette cible</a:t>
          </a:r>
          <a:endParaRPr lang="fr-CA" sz="1200" i="0">
            <a:effectLst/>
            <a:latin typeface="+mn-lt"/>
          </a:endParaRPr>
        </a:p>
        <a:p>
          <a:r>
            <a:rPr lang="fr-CA" sz="1200">
              <a:solidFill>
                <a:schemeClr val="dk1"/>
              </a:solidFill>
              <a:effectLst/>
              <a:latin typeface="+mn-lt"/>
              <a:ea typeface="+mn-ea"/>
              <a:cs typeface="+mn-cs"/>
            </a:rPr>
            <a:t>Une colonne</a:t>
          </a:r>
          <a:r>
            <a:rPr lang="fr-CA" sz="1200" baseline="0">
              <a:solidFill>
                <a:schemeClr val="dk1"/>
              </a:solidFill>
              <a:effectLst/>
              <a:latin typeface="+mn-lt"/>
              <a:ea typeface="+mn-ea"/>
              <a:cs typeface="+mn-cs"/>
            </a:rPr>
            <a:t> est prévue dans la grille pour proposer des </a:t>
          </a:r>
          <a:r>
            <a:rPr lang="fr-CA" sz="1200">
              <a:solidFill>
                <a:schemeClr val="dk1"/>
              </a:solidFill>
              <a:effectLst/>
              <a:latin typeface="+mn-lt"/>
              <a:ea typeface="+mn-ea"/>
              <a:cs typeface="+mn-cs"/>
            </a:rPr>
            <a:t>suggestions de stratégies d'actions</a:t>
          </a:r>
          <a:r>
            <a:rPr lang="fr-CA" sz="1200" baseline="0">
              <a:solidFill>
                <a:schemeClr val="dk1"/>
              </a:solidFill>
              <a:effectLst/>
              <a:latin typeface="+mn-lt"/>
              <a:ea typeface="+mn-ea"/>
              <a:cs typeface="+mn-cs"/>
            </a:rPr>
            <a:t> </a:t>
          </a:r>
          <a:r>
            <a:rPr lang="fr-CA" sz="1200">
              <a:solidFill>
                <a:schemeClr val="dk1"/>
              </a:solidFill>
              <a:effectLst/>
              <a:latin typeface="+mn-lt"/>
              <a:ea typeface="+mn-ea"/>
              <a:cs typeface="+mn-cs"/>
            </a:rPr>
            <a:t>pouvant contribuer à l'atteinte de la cible. Ces propositions peuvent être de nature stratégique (inscription dans la planification, dans une stratégie) ou pratique (mise en place de programmes ou de projets). Elle peuvent être inspirées d'initiatives d'autres organisations, de partage de bonnes pratiques, de la littérature, d'expériences personnelles des analystes, etc. </a:t>
          </a:r>
        </a:p>
        <a:p>
          <a:r>
            <a:rPr lang="fr-CA" sz="1200">
              <a:solidFill>
                <a:schemeClr val="dk1"/>
              </a:solidFill>
              <a:effectLst/>
              <a:latin typeface="+mn-lt"/>
              <a:ea typeface="+mn-ea"/>
              <a:cs typeface="+mn-cs"/>
            </a:rPr>
            <a:t>Les propositions devront par la suite faire l'objet d'un processus de priorisation. Les actions retenues devront faire l'objet d'une analyse de faisabilité et d'impact. </a:t>
          </a:r>
          <a:endParaRPr lang="fr-CA" sz="1200">
            <a:effectLst/>
            <a:latin typeface="+mn-lt"/>
          </a:endParaRPr>
        </a:p>
        <a:p>
          <a:endParaRPr lang="fr-CA" sz="1200" b="1" i="1">
            <a:solidFill>
              <a:schemeClr val="dk1"/>
            </a:solidFill>
            <a:effectLst/>
            <a:latin typeface="+mn-lt"/>
            <a:ea typeface="+mn-ea"/>
            <a:cs typeface="+mn-cs"/>
          </a:endParaRPr>
        </a:p>
        <a:p>
          <a:endParaRPr lang="fr-CA" sz="1200" b="1" i="1">
            <a:solidFill>
              <a:schemeClr val="dk1"/>
            </a:solidFill>
            <a:effectLst/>
            <a:latin typeface="+mn-lt"/>
            <a:ea typeface="+mn-ea"/>
            <a:cs typeface="+mn-cs"/>
          </a:endParaRPr>
        </a:p>
        <a:p>
          <a:r>
            <a:rPr lang="fr-CA" sz="1200" b="1" i="0">
              <a:solidFill>
                <a:schemeClr val="dk1"/>
              </a:solidFill>
              <a:effectLst/>
              <a:latin typeface="+mn-lt"/>
              <a:ea typeface="+mn-ea"/>
              <a:cs typeface="+mn-cs"/>
            </a:rPr>
            <a:t>Note générale sur la</a:t>
          </a:r>
          <a:r>
            <a:rPr lang="fr-CA" sz="1200" b="1" i="0" baseline="0">
              <a:solidFill>
                <a:schemeClr val="dk1"/>
              </a:solidFill>
              <a:effectLst/>
              <a:latin typeface="+mn-lt"/>
              <a:ea typeface="+mn-ea"/>
              <a:cs typeface="+mn-cs"/>
            </a:rPr>
            <a:t> priorisation</a:t>
          </a:r>
          <a:endParaRPr lang="fr-CA" sz="1200" i="0">
            <a:effectLst/>
            <a:latin typeface="+mn-lt"/>
          </a:endParaRPr>
        </a:p>
        <a:p>
          <a:r>
            <a:rPr lang="fr-CA" sz="1200">
              <a:solidFill>
                <a:schemeClr val="dk1"/>
              </a:solidFill>
              <a:effectLst/>
              <a:latin typeface="+mn-lt"/>
              <a:ea typeface="+mn-ea"/>
              <a:cs typeface="+mn-cs"/>
            </a:rPr>
            <a:t>Il faut garder en tête que malgré le recours à des évaluations quantitatives, l'évaluation de l'importance</a:t>
          </a:r>
          <a:r>
            <a:rPr lang="fr-CA" sz="1200" baseline="0">
              <a:solidFill>
                <a:schemeClr val="dk1"/>
              </a:solidFill>
              <a:effectLst/>
              <a:latin typeface="+mn-lt"/>
              <a:ea typeface="+mn-ea"/>
              <a:cs typeface="+mn-cs"/>
            </a:rPr>
            <a:t> et de la performance </a:t>
          </a:r>
          <a:r>
            <a:rPr lang="fr-CA" sz="1200">
              <a:solidFill>
                <a:schemeClr val="dk1"/>
              </a:solidFill>
              <a:effectLst/>
              <a:latin typeface="+mn-lt"/>
              <a:ea typeface="+mn-ea"/>
              <a:cs typeface="+mn-cs"/>
            </a:rPr>
            <a:t>demeurent des exercices subjectifs.</a:t>
          </a:r>
          <a:endParaRPr lang="fr-CA" sz="1200">
            <a:effectLst/>
            <a:latin typeface="+mn-lt"/>
          </a:endParaRPr>
        </a:p>
        <a:p>
          <a:endParaRPr lang="fr-CA" sz="1100" b="1">
            <a:solidFill>
              <a:schemeClr val="dk1"/>
            </a:solidFill>
            <a:effectLst/>
            <a:latin typeface="+mn-lt"/>
            <a:ea typeface="+mn-ea"/>
            <a:cs typeface="+mn-cs"/>
          </a:endParaRPr>
        </a:p>
      </xdr:txBody>
    </xdr:sp>
    <xdr:clientData/>
  </xdr:twoCellAnchor>
  <xdr:oneCellAnchor>
    <xdr:from>
      <xdr:col>1</xdr:col>
      <xdr:colOff>114300</xdr:colOff>
      <xdr:row>0</xdr:row>
      <xdr:rowOff>47625</xdr:rowOff>
    </xdr:from>
    <xdr:ext cx="2000250" cy="638175"/>
    <xdr:pic>
      <xdr:nvPicPr>
        <xdr:cNvPr id="3" name="3e816df8-958f-4742-8194-22f881b38577"/>
        <xdr:cNvPicPr>
          <a:picLocks noChangeAspect="1"/>
        </xdr:cNvPicPr>
      </xdr:nvPicPr>
      <xdr:blipFill>
        <a:blip xmlns:r="http://schemas.openxmlformats.org/officeDocument/2006/relationships" r:embed="officialLogoINR20261007"/>
        <a:stretch>
          <a:fillRect/>
        </a:stretch>
      </xdr:blipFill>
      <xdr:spPr>
        <a:prstGeom prst="rect"/>
      </xdr:spPr>
    </xdr:pic>
    <xdr:clientData/>
  </xdr:oneCellAnchor>
</xdr:wsDr>
</file>

<file path=xl/drawings/drawing3.xml><?xml version="1.0" encoding="utf-8"?>
<xdr:wsDr xmlns:xdr="http://schemas.openxmlformats.org/drawingml/2006/spreadsheetDrawing" xmlns:a="http://schemas.openxmlformats.org/drawingml/2006/main">
  <xdr:twoCellAnchor>
    <xdr:from>
      <xdr:col>13</xdr:col>
      <xdr:colOff>76199</xdr:colOff>
      <xdr:row>1</xdr:row>
      <xdr:rowOff>10885</xdr:rowOff>
    </xdr:from>
    <xdr:to>
      <xdr:col>23</xdr:col>
      <xdr:colOff>228599</xdr:colOff>
      <xdr:row>8</xdr:row>
      <xdr:rowOff>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76199</xdr:colOff>
      <xdr:row>9</xdr:row>
      <xdr:rowOff>10885</xdr:rowOff>
    </xdr:from>
    <xdr:to>
      <xdr:col>23</xdr:col>
      <xdr:colOff>228599</xdr:colOff>
      <xdr:row>17</xdr:row>
      <xdr:rowOff>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76199</xdr:colOff>
      <xdr:row>18</xdr:row>
      <xdr:rowOff>10885</xdr:rowOff>
    </xdr:from>
    <xdr:to>
      <xdr:col>23</xdr:col>
      <xdr:colOff>228599</xdr:colOff>
      <xdr:row>26</xdr:row>
      <xdr:rowOff>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76199</xdr:colOff>
      <xdr:row>27</xdr:row>
      <xdr:rowOff>10885</xdr:rowOff>
    </xdr:from>
    <xdr:to>
      <xdr:col>23</xdr:col>
      <xdr:colOff>228599</xdr:colOff>
      <xdr:row>35</xdr:row>
      <xdr:rowOff>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76199</xdr:colOff>
      <xdr:row>36</xdr:row>
      <xdr:rowOff>10885</xdr:rowOff>
    </xdr:from>
    <xdr:to>
      <xdr:col>23</xdr:col>
      <xdr:colOff>228599</xdr:colOff>
      <xdr:row>44</xdr:row>
      <xdr:rowOff>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76199</xdr:colOff>
      <xdr:row>45</xdr:row>
      <xdr:rowOff>10885</xdr:rowOff>
    </xdr:from>
    <xdr:to>
      <xdr:col>23</xdr:col>
      <xdr:colOff>228599</xdr:colOff>
      <xdr:row>53</xdr:row>
      <xdr:rowOff>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inr20261007_drawing3.xml><?xml version="1.0" encoding="utf-8"?>
<xdr:wsDr xmlns:xdr="http://schemas.openxmlformats.org/drawingml/2006/spreadsheetDrawing">
  <xdr:oneCellAnchor>
    <xdr:from>
      <xdr:col>4</xdr:col>
      <xdr:colOff>114300</xdr:colOff>
      <xdr:row>1</xdr:row>
      <xdr:rowOff>47625</xdr:rowOff>
    </xdr:from>
    <xdr:ext cx="2000250" cy="638175"/>
    <xdr:pic>
      <xdr:nvPicPr>
        <xdr:cNvPr id="1" name="36e49a1f-6991-425d-a1c6-566641079e68"/>
        <xdr:cNvPicPr>
          <a:picLocks xmlns:a="http://schemas.openxmlformats.org/drawingml/2006/main" noChangeAspect="1"/>
        </xdr:cNvPicPr>
      </xdr:nvPicPr>
      <xdr:blipFill>
        <a:blip xmlns:r="http://schemas.openxmlformats.org/officeDocument/2006/relationships" xmlns:a="http://schemas.openxmlformats.org/drawingml/2006/main" r:embed="R9092a2e8eb504c4f"/>
        <a:stretch xmlns:a="http://schemas.openxmlformats.org/drawingml/2006/main">
          <a:fillRect/>
        </a:stretch>
      </xdr:blipFill>
      <xdr:spPr>
        <a:prstGeom xmlns:a="http://schemas.openxmlformats.org/drawingml/2006/main" prst="rect"/>
      </xdr:spPr>
    </xdr:pic>
    <xdr:clientData/>
  </xdr:oneCellAnchor>
</xdr:wsDr>
</file>

<file path=xl/drawings/inr20261007_drawing4.xml><?xml version="1.0" encoding="utf-8"?>
<xdr:wsDr xmlns:xdr="http://schemas.openxmlformats.org/drawingml/2006/spreadsheetDrawing">
  <xdr:oneCellAnchor>
    <xdr:from>
      <xdr:col>21</xdr:col>
      <xdr:colOff>114300</xdr:colOff>
      <xdr:row>1</xdr:row>
      <xdr:rowOff>38100</xdr:rowOff>
    </xdr:from>
    <xdr:ext cx="2000250" cy="638175"/>
    <xdr:pic>
      <xdr:nvPicPr>
        <xdr:cNvPr id="1" name="4c39aa8e-07a1-4522-ace2-bd36420f69c8"/>
        <xdr:cNvPicPr>
          <a:picLocks xmlns:a="http://schemas.openxmlformats.org/drawingml/2006/main" noChangeAspect="1"/>
        </xdr:cNvPicPr>
      </xdr:nvPicPr>
      <xdr:blipFill>
        <a:blip xmlns:r="http://schemas.openxmlformats.org/officeDocument/2006/relationships" xmlns:a="http://schemas.openxmlformats.org/drawingml/2006/main" r:embed="R35ef8c58899145fb"/>
        <a:stretch xmlns:a="http://schemas.openxmlformats.org/drawingml/2006/main">
          <a:fillRect/>
        </a:stretch>
      </xdr:blipFill>
      <xdr:spPr>
        <a:prstGeom xmlns:a="http://schemas.openxmlformats.org/drawingml/2006/main" prst="rect"/>
      </xdr:spPr>
    </xdr:pic>
    <xdr:clientData/>
  </xdr:oneCellAnchor>
</xdr:wsDr>
</file>

<file path=xl/drawings/inr20261007_drawing5.xml><?xml version="1.0" encoding="utf-8"?>
<xdr:wsDr xmlns:xdr="http://schemas.openxmlformats.org/drawingml/2006/spreadsheetDrawing">
  <xdr:oneCellAnchor>
    <xdr:from>
      <xdr:col>21</xdr:col>
      <xdr:colOff>114300</xdr:colOff>
      <xdr:row>1</xdr:row>
      <xdr:rowOff>38100</xdr:rowOff>
    </xdr:from>
    <xdr:ext cx="2000250" cy="638175"/>
    <xdr:pic>
      <xdr:nvPicPr>
        <xdr:cNvPr id="1" name="986cbeb0-e99a-4760-a22a-63f376d36913"/>
        <xdr:cNvPicPr>
          <a:picLocks xmlns:a="http://schemas.openxmlformats.org/drawingml/2006/main" noChangeAspect="1"/>
        </xdr:cNvPicPr>
      </xdr:nvPicPr>
      <xdr:blipFill>
        <a:blip xmlns:r="http://schemas.openxmlformats.org/officeDocument/2006/relationships" xmlns:a="http://schemas.openxmlformats.org/drawingml/2006/main" r:embed="Rd92ae1c0afbb4423"/>
        <a:stretch xmlns:a="http://schemas.openxmlformats.org/drawingml/2006/main">
          <a:fillRect/>
        </a:stretch>
      </xdr:blipFill>
      <xdr:spPr>
        <a:prstGeom xmlns:a="http://schemas.openxmlformats.org/drawingml/2006/main" prst="rect"/>
      </xdr:spPr>
    </xdr:pic>
    <xdr:clientData/>
  </xdr:oneCellAnchor>
</xdr:wsDr>
</file>

<file path=xl/drawings/inr20261007_drawing6.xml><?xml version="1.0" encoding="utf-8"?>
<xdr:wsDr xmlns:xdr="http://schemas.openxmlformats.org/drawingml/2006/spreadsheetDrawing">
  <xdr:oneCellAnchor>
    <xdr:from>
      <xdr:col>21</xdr:col>
      <xdr:colOff>114300</xdr:colOff>
      <xdr:row>1</xdr:row>
      <xdr:rowOff>38100</xdr:rowOff>
    </xdr:from>
    <xdr:ext cx="2000250" cy="638175"/>
    <xdr:pic>
      <xdr:nvPicPr>
        <xdr:cNvPr id="1" name="599b8bf6-dee6-44f1-93a2-287c9a0b9c92"/>
        <xdr:cNvPicPr>
          <a:picLocks xmlns:a="http://schemas.openxmlformats.org/drawingml/2006/main" noChangeAspect="1"/>
        </xdr:cNvPicPr>
      </xdr:nvPicPr>
      <xdr:blipFill>
        <a:blip xmlns:r="http://schemas.openxmlformats.org/officeDocument/2006/relationships" xmlns:a="http://schemas.openxmlformats.org/drawingml/2006/main" r:embed="R7564e819c3f84eba"/>
        <a:stretch xmlns:a="http://schemas.openxmlformats.org/drawingml/2006/main">
          <a:fillRect/>
        </a:stretch>
      </xdr:blipFill>
      <xdr:spPr>
        <a:prstGeom xmlns:a="http://schemas.openxmlformats.org/drawingml/2006/main" prst="rect"/>
      </xdr:spPr>
    </xdr:pic>
    <xdr:clientData/>
  </xdr:oneCellAnchor>
</xdr:wsDr>
</file>

<file path=xl/drawings/inr20261007_drawing7.xml><?xml version="1.0" encoding="utf-8"?>
<xdr:wsDr xmlns:xdr="http://schemas.openxmlformats.org/drawingml/2006/spreadsheetDrawing">
  <xdr:oneCellAnchor>
    <xdr:from>
      <xdr:col>21</xdr:col>
      <xdr:colOff>114300</xdr:colOff>
      <xdr:row>1</xdr:row>
      <xdr:rowOff>38100</xdr:rowOff>
    </xdr:from>
    <xdr:ext cx="2000250" cy="638175"/>
    <xdr:pic>
      <xdr:nvPicPr>
        <xdr:cNvPr id="1" name="7f3a755f-a21c-4712-853e-12a8df079154"/>
        <xdr:cNvPicPr>
          <a:picLocks xmlns:a="http://schemas.openxmlformats.org/drawingml/2006/main" noChangeAspect="1"/>
        </xdr:cNvPicPr>
      </xdr:nvPicPr>
      <xdr:blipFill>
        <a:blip xmlns:r="http://schemas.openxmlformats.org/officeDocument/2006/relationships" xmlns:a="http://schemas.openxmlformats.org/drawingml/2006/main" r:embed="Rb9847505ae034046"/>
        <a:stretch xmlns:a="http://schemas.openxmlformats.org/drawingml/2006/main">
          <a:fillRect/>
        </a:stretch>
      </xdr:blipFill>
      <xdr:spPr>
        <a:prstGeom xmlns:a="http://schemas.openxmlformats.org/drawingml/2006/main" prst="rect"/>
      </xdr:spPr>
    </xdr:pic>
    <xdr:clientData/>
  </xdr:oneCellAnchor>
</xdr:wsDr>
</file>

<file path=xl/drawings/inr20261007_drawing8.xml><?xml version="1.0" encoding="utf-8"?>
<xdr:wsDr xmlns:xdr="http://schemas.openxmlformats.org/drawingml/2006/spreadsheetDrawing">
  <xdr:oneCellAnchor>
    <xdr:from>
      <xdr:col>21</xdr:col>
      <xdr:colOff>114300</xdr:colOff>
      <xdr:row>1</xdr:row>
      <xdr:rowOff>38100</xdr:rowOff>
    </xdr:from>
    <xdr:ext cx="2000250" cy="638175"/>
    <xdr:pic>
      <xdr:nvPicPr>
        <xdr:cNvPr id="1" name="560fb523-d6bf-45c6-8ae3-f666ecfd2799"/>
        <xdr:cNvPicPr>
          <a:picLocks xmlns:a="http://schemas.openxmlformats.org/drawingml/2006/main" noChangeAspect="1"/>
        </xdr:cNvPicPr>
      </xdr:nvPicPr>
      <xdr:blipFill>
        <a:blip xmlns:r="http://schemas.openxmlformats.org/officeDocument/2006/relationships" xmlns:a="http://schemas.openxmlformats.org/drawingml/2006/main" r:embed="R5d7e53a367894dcd"/>
        <a:stretch xmlns:a="http://schemas.openxmlformats.org/drawingml/2006/main">
          <a:fillRect/>
        </a:stretch>
      </xdr:blipFill>
      <xdr:spPr>
        <a:prstGeom xmlns:a="http://schemas.openxmlformats.org/drawingml/2006/main" prst="rect"/>
      </xdr:spPr>
    </xdr:pic>
    <xdr:clientData/>
  </xdr:oneCellAnchor>
</xdr:wsDr>
</file>

<file path=xl/drawings/inr20261007_drawing9.xml><?xml version="1.0" encoding="utf-8"?>
<xdr:wsDr xmlns:xdr="http://schemas.openxmlformats.org/drawingml/2006/spreadsheetDrawing">
  <xdr:oneCellAnchor>
    <xdr:from>
      <xdr:col>39</xdr:col>
      <xdr:colOff>114300</xdr:colOff>
      <xdr:row>1</xdr:row>
      <xdr:rowOff>47625</xdr:rowOff>
    </xdr:from>
    <xdr:ext cx="2000250" cy="638175"/>
    <xdr:pic>
      <xdr:nvPicPr>
        <xdr:cNvPr id="1" name="68cc8ee9-603c-4430-9fbc-82a5a8ec197d"/>
        <xdr:cNvPicPr>
          <a:picLocks xmlns:a="http://schemas.openxmlformats.org/drawingml/2006/main" noChangeAspect="1"/>
        </xdr:cNvPicPr>
      </xdr:nvPicPr>
      <xdr:blipFill>
        <a:blip xmlns:r="http://schemas.openxmlformats.org/officeDocument/2006/relationships" xmlns:a="http://schemas.openxmlformats.org/drawingml/2006/main" r:embed="R83d6101d33be417e"/>
        <a:stretch xmlns:a="http://schemas.openxmlformats.org/drawingml/2006/main">
          <a:fillRect/>
        </a:stretch>
      </xdr:blipFill>
      <xdr:spPr>
        <a:prstGeom xmlns:a="http://schemas.openxmlformats.org/drawingml/2006/main" prst="rect"/>
      </xdr:spPr>
    </xdr:pic>
    <xdr:clientData/>
  </xdr:oneCellAnchor>
</xdr:wsDr>
</file>

<file path=xl/drawings/inr20261007_drawing10.xml><?xml version="1.0" encoding="utf-8"?>
<xdr:wsDr xmlns:xdr="http://schemas.openxmlformats.org/drawingml/2006/spreadsheetDrawing">
  <xdr:twoCellAnchor>
    <xdr:from>
      <xdr:col>1</xdr:col>
      <xdr:colOff>0</xdr:colOff>
      <xdr:row>21</xdr:row>
      <xdr:rowOff>0</xdr:rowOff>
    </xdr:from>
    <xdr:to>
      <xdr:col>7</xdr:col>
      <xdr:colOff>0</xdr:colOff>
      <xdr:row>34</xdr:row>
      <xdr:rowOff>0</xdr:rowOff>
    </xdr:to>
    <xdr:graphicFrame macro="">
      <xdr:nvGraphicFramePr>
        <xdr:cNvPr id="1" name="Couverture ONR"/>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f693217179d4033"/>
        </a:graphicData>
      </a:graphic>
    </xdr:graphicFrame>
    <xdr:clientData/>
  </xdr:twoCellAnchor>
  <xdr:twoCellAnchor>
    <xdr:from>
      <xdr:col>7</xdr:col>
      <xdr:colOff>0</xdr:colOff>
      <xdr:row>21</xdr:row>
      <xdr:rowOff>0</xdr:rowOff>
    </xdr:from>
    <xdr:to>
      <xdr:col>13</xdr:col>
      <xdr:colOff>0</xdr:colOff>
      <xdr:row>34</xdr:row>
      <xdr:rowOff>0</xdr:rowOff>
    </xdr:to>
    <xdr:graphicFrame macro="">
      <xdr:nvGraphicFramePr>
        <xdr:cNvPr id="2" name="Priorités ONR"/>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83323984b0c4c49"/>
        </a:graphicData>
      </a:graphic>
    </xdr:graphicFrame>
    <xdr:clientData/>
  </xdr:twoCellAnchor>
  <xdr:oneCellAnchor>
    <xdr:from>
      <xdr:col>10</xdr:col>
      <xdr:colOff>95250</xdr:colOff>
      <xdr:row>1</xdr:row>
      <xdr:rowOff>47625</xdr:rowOff>
    </xdr:from>
    <xdr:ext cx="2000250" cy="638175"/>
    <xdr:pic>
      <xdr:nvPicPr>
        <xdr:cNvPr id="3" name="9f4480bf-1ec6-487e-9d74-8c956be10a5f"/>
        <xdr:cNvPicPr>
          <a:picLocks xmlns:a="http://schemas.openxmlformats.org/drawingml/2006/main" noChangeAspect="1"/>
        </xdr:cNvPicPr>
      </xdr:nvPicPr>
      <xdr:blipFill>
        <a:blip xmlns:r="http://schemas.openxmlformats.org/officeDocument/2006/relationships" xmlns:a="http://schemas.openxmlformats.org/drawingml/2006/main" r:embed="R78821286a765446c"/>
        <a:stretch xmlns:a="http://schemas.openxmlformats.org/drawingml/2006/main">
          <a:fillRect/>
        </a:stretch>
      </xdr:blipFill>
      <xdr:spPr>
        <a:prstGeom xmlns:a="http://schemas.openxmlformats.org/drawingml/2006/main" prst="rect"/>
      </xdr:spPr>
    </xdr:pic>
    <xdr:clientData/>
  </xdr:oneCellAnchor>
</xdr:wsDr>
</file>

<file path=xl/drawings/inr20261007_drawing11.xml><?xml version="1.0" encoding="utf-8"?>
<xdr:wsDr xmlns:xdr="http://schemas.openxmlformats.org/drawingml/2006/spreadsheetDrawing">
  <xdr:oneCellAnchor>
    <xdr:from>
      <xdr:col>2</xdr:col>
      <xdr:colOff>114300</xdr:colOff>
      <xdr:row>0</xdr:row>
      <xdr:rowOff>47625</xdr:rowOff>
    </xdr:from>
    <xdr:ext cx="2000250" cy="638175"/>
    <xdr:pic>
      <xdr:nvPicPr>
        <xdr:cNvPr id="1" name="8d95ba34-3902-41e2-9fa6-00e2439abdeb"/>
        <xdr:cNvPicPr>
          <a:picLocks xmlns:a="http://schemas.openxmlformats.org/drawingml/2006/main" noChangeAspect="1"/>
        </xdr:cNvPicPr>
      </xdr:nvPicPr>
      <xdr:blipFill>
        <a:blip xmlns:r="http://schemas.openxmlformats.org/officeDocument/2006/relationships" xmlns:a="http://schemas.openxmlformats.org/drawingml/2006/main" r:embed="R66b757f5001447d8"/>
        <a:stretch xmlns:a="http://schemas.openxmlformats.org/drawingml/2006/main">
          <a:fillRect/>
        </a:stretch>
      </xdr:blipFill>
      <xdr:spPr>
        <a:prstGeom xmlns:a="http://schemas.openxmlformats.org/drawingml/2006/main" prst="rect"/>
      </xdr:spPr>
    </xdr:pic>
    <xdr:clientData/>
  </xdr:oneCellAnchor>
</xdr:wsDr>
</file>

<file path=xl/drawings/summary20261007_drawing3.xml><?xml version="1.0" encoding="utf-8"?>
<xdr:wsDr xmlns:xdr="http://schemas.openxmlformats.org/drawingml/2006/spreadsheetDrawing">
  <xdr:twoCellAnchor>
    <xdr:from>
      <xdr:col>4</xdr:col>
      <xdr:colOff>0</xdr:colOff>
      <xdr:row>26</xdr:row>
      <xdr:rowOff>0</xdr:rowOff>
    </xdr:from>
    <xdr:to>
      <xdr:col>13</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b9401056ef47ff"/>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logoINR20261007" Type="http://schemas.openxmlformats.org/officeDocument/2006/relationships/drawing" Target="/xl/drawings/inr20261007_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logoINR20261007" Type="http://schemas.openxmlformats.org/officeDocument/2006/relationships/drawing" Target="/xl/drawings/inr20261007_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logoINR20261007" Type="http://schemas.openxmlformats.org/officeDocument/2006/relationships/drawing" Target="/xl/drawings/inr20261007_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logoINR20261007" Type="http://schemas.openxmlformats.org/officeDocument/2006/relationships/drawing" Target="/xl/drawings/inr20261007_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logoINR20261007" Type="http://schemas.openxmlformats.org/officeDocument/2006/relationships/drawing" Target="/xl/drawings/inr20261007_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logoINR20261007" Type="http://schemas.openxmlformats.org/officeDocument/2006/relationships/drawing" Target="/xl/drawings/inr20261007_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 Id="logoINR20261007" Type="http://schemas.openxmlformats.org/officeDocument/2006/relationships/drawing" Target="/xl/drawings/inr20261007_drawing9.xml"/></Relationships>
</file>

<file path=xl/worksheets/_rels/sheet11.xml.rels><?xml version='1.0' encoding='UTF-8' standalone='yes'?>
<Relationships xmlns="http://schemas.openxmlformats.org/package/2006/relationships"><Relationship Id="logoINR20261007" Type="http://schemas.openxmlformats.org/officeDocument/2006/relationships/drawing" Target="/xl/drawings/inr20261007_drawing10.xml"/></Relationships>
</file>

<file path=xl/worksheets/_rels/sheet12.xml.rels><?xml version='1.0' encoding='UTF-8' standalone='yes'?>
<Relationships xmlns="http://schemas.openxmlformats.org/package/2006/relationships"><Relationship Id="logoINR20261007" Type="http://schemas.openxmlformats.org/officeDocument/2006/relationships/drawing" Target="/xl/drawings/inr20261007_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7DD2-87CE-454C-8C43-EDD42C072FFC}">
  <sheetPr codeName="Feuil1"/>
  <dimension ref="A1:AK10"/>
  <sheetViews>
    <sheetView zoomScaleNormal="100" workbookViewId="0">
      <selection activeCell="N52" sqref="N52"/>
    </sheetView>
  </sheetViews>
  <sheetFormatPr baseColWidth="10" defaultColWidth="11.5" defaultRowHeight="13"/>
  <cols>
    <col min="1" max="37" width="11.5" style="1"/>
  </cols>
  <sheetData>
    <row r="1" spans="1:13">
      <c r="A1" s="1" t="s">
        <v>0</v>
      </c>
    </row>
    <row r="10" spans="1:13">
      <c r="M10" s="1" t="s">
        <v>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9:Y9"/>
  <sheetViews>
    <sheetView zoomScaleNormal="20" workbookViewId="0">
      <selection activeCell="N64" sqref="N64"/>
    </sheetView>
  </sheetViews>
  <sheetFormatPr baseColWidth="10" defaultColWidth="11.5" defaultRowHeight="13"/>
  <cols>
    <col min="1" max="25" width="11.5" style="1"/>
  </cols>
  <sheetData>
    <row r="9" spans="13:13">
      <c r="M9" s="1" t="s">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1:C12"/>
  <sheetViews>
    <sheetView topLeftCell="B1" zoomScaleNormal="90" workbookViewId="0">
      <selection activeCell="C4" sqref="C4"/>
    </sheetView>
  </sheetViews>
  <sheetFormatPr baseColWidth="10" defaultColWidth="10.6640625" defaultRowHeight="16"/>
  <cols>
    <col min="1" max="1" width="1.1640625" style="31" customWidth="1"/>
    <col min="2" max="2" width="33.83203125" style="31" customWidth="1"/>
    <col min="3" max="3" width="127.5" style="32" customWidth="1"/>
    <col min="4" max="256" width="10.6640625" style="31"/>
    <col min="257" max="257" width="1.1640625" style="31" customWidth="1"/>
    <col min="258" max="258" width="31.5" style="31" customWidth="1"/>
    <col min="259" max="259" width="127.5" style="31" customWidth="1"/>
    <col min="260" max="512" width="10.6640625" style="31"/>
    <col min="513" max="513" width="1.1640625" style="31" customWidth="1"/>
    <col min="514" max="514" width="31.5" style="31" customWidth="1"/>
    <col min="515" max="515" width="127.5" style="31" customWidth="1"/>
    <col min="516" max="768" width="10.6640625" style="31"/>
    <col min="769" max="769" width="1.1640625" style="31" customWidth="1"/>
    <col min="770" max="770" width="31.5" style="31" customWidth="1"/>
    <col min="771" max="771" width="127.5" style="31" customWidth="1"/>
    <col min="772" max="1024" width="10.6640625" style="31"/>
    <col min="1025" max="1025" width="1.1640625" style="31" customWidth="1"/>
    <col min="1026" max="1026" width="31.5" style="31" customWidth="1"/>
    <col min="1027" max="1027" width="127.5" style="31" customWidth="1"/>
    <col min="1028" max="1280" width="10.6640625" style="31"/>
    <col min="1281" max="1281" width="1.1640625" style="31" customWidth="1"/>
    <col min="1282" max="1282" width="31.5" style="31" customWidth="1"/>
    <col min="1283" max="1283" width="127.5" style="31" customWidth="1"/>
    <col min="1284" max="1536" width="10.6640625" style="31"/>
    <col min="1537" max="1537" width="1.1640625" style="31" customWidth="1"/>
    <col min="1538" max="1538" width="31.5" style="31" customWidth="1"/>
    <col min="1539" max="1539" width="127.5" style="31" customWidth="1"/>
    <col min="1540" max="1792" width="10.6640625" style="31"/>
    <col min="1793" max="1793" width="1.1640625" style="31" customWidth="1"/>
    <col min="1794" max="1794" width="31.5" style="31" customWidth="1"/>
    <col min="1795" max="1795" width="127.5" style="31" customWidth="1"/>
    <col min="1796" max="2048" width="10.6640625" style="31"/>
    <col min="2049" max="2049" width="1.1640625" style="31" customWidth="1"/>
    <col min="2050" max="2050" width="31.5" style="31" customWidth="1"/>
    <col min="2051" max="2051" width="127.5" style="31" customWidth="1"/>
    <col min="2052" max="2304" width="10.6640625" style="31"/>
    <col min="2305" max="2305" width="1.1640625" style="31" customWidth="1"/>
    <col min="2306" max="2306" width="31.5" style="31" customWidth="1"/>
    <col min="2307" max="2307" width="127.5" style="31" customWidth="1"/>
    <col min="2308" max="2560" width="10.6640625" style="31"/>
    <col min="2561" max="2561" width="1.1640625" style="31" customWidth="1"/>
    <col min="2562" max="2562" width="31.5" style="31" customWidth="1"/>
    <col min="2563" max="2563" width="127.5" style="31" customWidth="1"/>
    <col min="2564" max="2816" width="10.6640625" style="31"/>
    <col min="2817" max="2817" width="1.1640625" style="31" customWidth="1"/>
    <col min="2818" max="2818" width="31.5" style="31" customWidth="1"/>
    <col min="2819" max="2819" width="127.5" style="31" customWidth="1"/>
    <col min="2820" max="3072" width="10.6640625" style="31"/>
    <col min="3073" max="3073" width="1.1640625" style="31" customWidth="1"/>
    <col min="3074" max="3074" width="31.5" style="31" customWidth="1"/>
    <col min="3075" max="3075" width="127.5" style="31" customWidth="1"/>
    <col min="3076" max="3328" width="10.6640625" style="31"/>
    <col min="3329" max="3329" width="1.1640625" style="31" customWidth="1"/>
    <col min="3330" max="3330" width="31.5" style="31" customWidth="1"/>
    <col min="3331" max="3331" width="127.5" style="31" customWidth="1"/>
    <col min="3332" max="3584" width="10.6640625" style="31"/>
    <col min="3585" max="3585" width="1.1640625" style="31" customWidth="1"/>
    <col min="3586" max="3586" width="31.5" style="31" customWidth="1"/>
    <col min="3587" max="3587" width="127.5" style="31" customWidth="1"/>
    <col min="3588" max="3840" width="10.6640625" style="31"/>
    <col min="3841" max="3841" width="1.1640625" style="31" customWidth="1"/>
    <col min="3842" max="3842" width="31.5" style="31" customWidth="1"/>
    <col min="3843" max="3843" width="127.5" style="31" customWidth="1"/>
    <col min="3844" max="4096" width="10.6640625" style="31"/>
    <col min="4097" max="4097" width="1.1640625" style="31" customWidth="1"/>
    <col min="4098" max="4098" width="31.5" style="31" customWidth="1"/>
    <col min="4099" max="4099" width="127.5" style="31" customWidth="1"/>
    <col min="4100" max="4352" width="10.6640625" style="31"/>
    <col min="4353" max="4353" width="1.1640625" style="31" customWidth="1"/>
    <col min="4354" max="4354" width="31.5" style="31" customWidth="1"/>
    <col min="4355" max="4355" width="127.5" style="31" customWidth="1"/>
    <col min="4356" max="4608" width="10.6640625" style="31"/>
    <col min="4609" max="4609" width="1.1640625" style="31" customWidth="1"/>
    <col min="4610" max="4610" width="31.5" style="31" customWidth="1"/>
    <col min="4611" max="4611" width="127.5" style="31" customWidth="1"/>
    <col min="4612" max="4864" width="10.6640625" style="31"/>
    <col min="4865" max="4865" width="1.1640625" style="31" customWidth="1"/>
    <col min="4866" max="4866" width="31.5" style="31" customWidth="1"/>
    <col min="4867" max="4867" width="127.5" style="31" customWidth="1"/>
    <col min="4868" max="5120" width="10.6640625" style="31"/>
    <col min="5121" max="5121" width="1.1640625" style="31" customWidth="1"/>
    <col min="5122" max="5122" width="31.5" style="31" customWidth="1"/>
    <col min="5123" max="5123" width="127.5" style="31" customWidth="1"/>
    <col min="5124" max="5376" width="10.6640625" style="31"/>
    <col min="5377" max="5377" width="1.1640625" style="31" customWidth="1"/>
    <col min="5378" max="5378" width="31.5" style="31" customWidth="1"/>
    <col min="5379" max="5379" width="127.5" style="31" customWidth="1"/>
    <col min="5380" max="5632" width="10.6640625" style="31"/>
    <col min="5633" max="5633" width="1.1640625" style="31" customWidth="1"/>
    <col min="5634" max="5634" width="31.5" style="31" customWidth="1"/>
    <col min="5635" max="5635" width="127.5" style="31" customWidth="1"/>
    <col min="5636" max="5888" width="10.6640625" style="31"/>
    <col min="5889" max="5889" width="1.1640625" style="31" customWidth="1"/>
    <col min="5890" max="5890" width="31.5" style="31" customWidth="1"/>
    <col min="5891" max="5891" width="127.5" style="31" customWidth="1"/>
    <col min="5892" max="6144" width="10.6640625" style="31"/>
    <col min="6145" max="6145" width="1.1640625" style="31" customWidth="1"/>
    <col min="6146" max="6146" width="31.5" style="31" customWidth="1"/>
    <col min="6147" max="6147" width="127.5" style="31" customWidth="1"/>
    <col min="6148" max="6400" width="10.6640625" style="31"/>
    <col min="6401" max="6401" width="1.1640625" style="31" customWidth="1"/>
    <col min="6402" max="6402" width="31.5" style="31" customWidth="1"/>
    <col min="6403" max="6403" width="127.5" style="31" customWidth="1"/>
    <col min="6404" max="6656" width="10.6640625" style="31"/>
    <col min="6657" max="6657" width="1.1640625" style="31" customWidth="1"/>
    <col min="6658" max="6658" width="31.5" style="31" customWidth="1"/>
    <col min="6659" max="6659" width="127.5" style="31" customWidth="1"/>
    <col min="6660" max="6912" width="10.6640625" style="31"/>
    <col min="6913" max="6913" width="1.1640625" style="31" customWidth="1"/>
    <col min="6914" max="6914" width="31.5" style="31" customWidth="1"/>
    <col min="6915" max="6915" width="127.5" style="31" customWidth="1"/>
    <col min="6916" max="7168" width="10.6640625" style="31"/>
    <col min="7169" max="7169" width="1.1640625" style="31" customWidth="1"/>
    <col min="7170" max="7170" width="31.5" style="31" customWidth="1"/>
    <col min="7171" max="7171" width="127.5" style="31" customWidth="1"/>
    <col min="7172" max="7424" width="10.6640625" style="31"/>
    <col min="7425" max="7425" width="1.1640625" style="31" customWidth="1"/>
    <col min="7426" max="7426" width="31.5" style="31" customWidth="1"/>
    <col min="7427" max="7427" width="127.5" style="31" customWidth="1"/>
    <col min="7428" max="7680" width="10.6640625" style="31"/>
    <col min="7681" max="7681" width="1.1640625" style="31" customWidth="1"/>
    <col min="7682" max="7682" width="31.5" style="31" customWidth="1"/>
    <col min="7683" max="7683" width="127.5" style="31" customWidth="1"/>
    <col min="7684" max="7936" width="10.6640625" style="31"/>
    <col min="7937" max="7937" width="1.1640625" style="31" customWidth="1"/>
    <col min="7938" max="7938" width="31.5" style="31" customWidth="1"/>
    <col min="7939" max="7939" width="127.5" style="31" customWidth="1"/>
    <col min="7940" max="8192" width="10.6640625" style="31"/>
    <col min="8193" max="8193" width="1.1640625" style="31" customWidth="1"/>
    <col min="8194" max="8194" width="31.5" style="31" customWidth="1"/>
    <col min="8195" max="8195" width="127.5" style="31" customWidth="1"/>
    <col min="8196" max="8448" width="10.6640625" style="31"/>
    <col min="8449" max="8449" width="1.1640625" style="31" customWidth="1"/>
    <col min="8450" max="8450" width="31.5" style="31" customWidth="1"/>
    <col min="8451" max="8451" width="127.5" style="31" customWidth="1"/>
    <col min="8452" max="8704" width="10.6640625" style="31"/>
    <col min="8705" max="8705" width="1.1640625" style="31" customWidth="1"/>
    <col min="8706" max="8706" width="31.5" style="31" customWidth="1"/>
    <col min="8707" max="8707" width="127.5" style="31" customWidth="1"/>
    <col min="8708" max="8960" width="10.6640625" style="31"/>
    <col min="8961" max="8961" width="1.1640625" style="31" customWidth="1"/>
    <col min="8962" max="8962" width="31.5" style="31" customWidth="1"/>
    <col min="8963" max="8963" width="127.5" style="31" customWidth="1"/>
    <col min="8964" max="9216" width="10.6640625" style="31"/>
    <col min="9217" max="9217" width="1.1640625" style="31" customWidth="1"/>
    <col min="9218" max="9218" width="31.5" style="31" customWidth="1"/>
    <col min="9219" max="9219" width="127.5" style="31" customWidth="1"/>
    <col min="9220" max="9472" width="10.6640625" style="31"/>
    <col min="9473" max="9473" width="1.1640625" style="31" customWidth="1"/>
    <col min="9474" max="9474" width="31.5" style="31" customWidth="1"/>
    <col min="9475" max="9475" width="127.5" style="31" customWidth="1"/>
    <col min="9476" max="9728" width="10.6640625" style="31"/>
    <col min="9729" max="9729" width="1.1640625" style="31" customWidth="1"/>
    <col min="9730" max="9730" width="31.5" style="31" customWidth="1"/>
    <col min="9731" max="9731" width="127.5" style="31" customWidth="1"/>
    <col min="9732" max="9984" width="10.6640625" style="31"/>
    <col min="9985" max="9985" width="1.1640625" style="31" customWidth="1"/>
    <col min="9986" max="9986" width="31.5" style="31" customWidth="1"/>
    <col min="9987" max="9987" width="127.5" style="31" customWidth="1"/>
    <col min="9988" max="10240" width="10.6640625" style="31"/>
    <col min="10241" max="10241" width="1.1640625" style="31" customWidth="1"/>
    <col min="10242" max="10242" width="31.5" style="31" customWidth="1"/>
    <col min="10243" max="10243" width="127.5" style="31" customWidth="1"/>
    <col min="10244" max="10496" width="10.6640625" style="31"/>
    <col min="10497" max="10497" width="1.1640625" style="31" customWidth="1"/>
    <col min="10498" max="10498" width="31.5" style="31" customWidth="1"/>
    <col min="10499" max="10499" width="127.5" style="31" customWidth="1"/>
    <col min="10500" max="10752" width="10.6640625" style="31"/>
    <col min="10753" max="10753" width="1.1640625" style="31" customWidth="1"/>
    <col min="10754" max="10754" width="31.5" style="31" customWidth="1"/>
    <col min="10755" max="10755" width="127.5" style="31" customWidth="1"/>
    <col min="10756" max="11008" width="10.6640625" style="31"/>
    <col min="11009" max="11009" width="1.1640625" style="31" customWidth="1"/>
    <col min="11010" max="11010" width="31.5" style="31" customWidth="1"/>
    <col min="11011" max="11011" width="127.5" style="31" customWidth="1"/>
    <col min="11012" max="11264" width="10.6640625" style="31"/>
    <col min="11265" max="11265" width="1.1640625" style="31" customWidth="1"/>
    <col min="11266" max="11266" width="31.5" style="31" customWidth="1"/>
    <col min="11267" max="11267" width="127.5" style="31" customWidth="1"/>
    <col min="11268" max="11520" width="10.6640625" style="31"/>
    <col min="11521" max="11521" width="1.1640625" style="31" customWidth="1"/>
    <col min="11522" max="11522" width="31.5" style="31" customWidth="1"/>
    <col min="11523" max="11523" width="127.5" style="31" customWidth="1"/>
    <col min="11524" max="11776" width="10.6640625" style="31"/>
    <col min="11777" max="11777" width="1.1640625" style="31" customWidth="1"/>
    <col min="11778" max="11778" width="31.5" style="31" customWidth="1"/>
    <col min="11779" max="11779" width="127.5" style="31" customWidth="1"/>
    <col min="11780" max="12032" width="10.6640625" style="31"/>
    <col min="12033" max="12033" width="1.1640625" style="31" customWidth="1"/>
    <col min="12034" max="12034" width="31.5" style="31" customWidth="1"/>
    <col min="12035" max="12035" width="127.5" style="31" customWidth="1"/>
    <col min="12036" max="12288" width="10.6640625" style="31"/>
    <col min="12289" max="12289" width="1.1640625" style="31" customWidth="1"/>
    <col min="12290" max="12290" width="31.5" style="31" customWidth="1"/>
    <col min="12291" max="12291" width="127.5" style="31" customWidth="1"/>
    <col min="12292" max="12544" width="10.6640625" style="31"/>
    <col min="12545" max="12545" width="1.1640625" style="31" customWidth="1"/>
    <col min="12546" max="12546" width="31.5" style="31" customWidth="1"/>
    <col min="12547" max="12547" width="127.5" style="31" customWidth="1"/>
    <col min="12548" max="12800" width="10.6640625" style="31"/>
    <col min="12801" max="12801" width="1.1640625" style="31" customWidth="1"/>
    <col min="12802" max="12802" width="31.5" style="31" customWidth="1"/>
    <col min="12803" max="12803" width="127.5" style="31" customWidth="1"/>
    <col min="12804" max="13056" width="10.6640625" style="31"/>
    <col min="13057" max="13057" width="1.1640625" style="31" customWidth="1"/>
    <col min="13058" max="13058" width="31.5" style="31" customWidth="1"/>
    <col min="13059" max="13059" width="127.5" style="31" customWidth="1"/>
    <col min="13060" max="13312" width="10.6640625" style="31"/>
    <col min="13313" max="13313" width="1.1640625" style="31" customWidth="1"/>
    <col min="13314" max="13314" width="31.5" style="31" customWidth="1"/>
    <col min="13315" max="13315" width="127.5" style="31" customWidth="1"/>
    <col min="13316" max="13568" width="10.6640625" style="31"/>
    <col min="13569" max="13569" width="1.1640625" style="31" customWidth="1"/>
    <col min="13570" max="13570" width="31.5" style="31" customWidth="1"/>
    <col min="13571" max="13571" width="127.5" style="31" customWidth="1"/>
    <col min="13572" max="13824" width="10.6640625" style="31"/>
    <col min="13825" max="13825" width="1.1640625" style="31" customWidth="1"/>
    <col min="13826" max="13826" width="31.5" style="31" customWidth="1"/>
    <col min="13827" max="13827" width="127.5" style="31" customWidth="1"/>
    <col min="13828" max="14080" width="10.6640625" style="31"/>
    <col min="14081" max="14081" width="1.1640625" style="31" customWidth="1"/>
    <col min="14082" max="14082" width="31.5" style="31" customWidth="1"/>
    <col min="14083" max="14083" width="127.5" style="31" customWidth="1"/>
    <col min="14084" max="14336" width="10.6640625" style="31"/>
    <col min="14337" max="14337" width="1.1640625" style="31" customWidth="1"/>
    <col min="14338" max="14338" width="31.5" style="31" customWidth="1"/>
    <col min="14339" max="14339" width="127.5" style="31" customWidth="1"/>
    <col min="14340" max="14592" width="10.6640625" style="31"/>
    <col min="14593" max="14593" width="1.1640625" style="31" customWidth="1"/>
    <col min="14594" max="14594" width="31.5" style="31" customWidth="1"/>
    <col min="14595" max="14595" width="127.5" style="31" customWidth="1"/>
    <col min="14596" max="14848" width="10.6640625" style="31"/>
    <col min="14849" max="14849" width="1.1640625" style="31" customWidth="1"/>
    <col min="14850" max="14850" width="31.5" style="31" customWidth="1"/>
    <col min="14851" max="14851" width="127.5" style="31" customWidth="1"/>
    <col min="14852" max="15104" width="10.6640625" style="31"/>
    <col min="15105" max="15105" width="1.1640625" style="31" customWidth="1"/>
    <col min="15106" max="15106" width="31.5" style="31" customWidth="1"/>
    <col min="15107" max="15107" width="127.5" style="31" customWidth="1"/>
    <col min="15108" max="15360" width="10.6640625" style="31"/>
    <col min="15361" max="15361" width="1.1640625" style="31" customWidth="1"/>
    <col min="15362" max="15362" width="31.5" style="31" customWidth="1"/>
    <col min="15363" max="15363" width="127.5" style="31" customWidth="1"/>
    <col min="15364" max="15616" width="10.6640625" style="31"/>
    <col min="15617" max="15617" width="1.1640625" style="31" customWidth="1"/>
    <col min="15618" max="15618" width="31.5" style="31" customWidth="1"/>
    <col min="15619" max="15619" width="127.5" style="31" customWidth="1"/>
    <col min="15620" max="15872" width="10.6640625" style="31"/>
    <col min="15873" max="15873" width="1.1640625" style="31" customWidth="1"/>
    <col min="15874" max="15874" width="31.5" style="31" customWidth="1"/>
    <col min="15875" max="15875" width="127.5" style="31" customWidth="1"/>
    <col min="15876" max="16128" width="10.6640625" style="31"/>
    <col min="16129" max="16129" width="1.1640625" style="31" customWidth="1"/>
    <col min="16130" max="16130" width="31.5" style="31" customWidth="1"/>
    <col min="16131" max="16131" width="127.5" style="31" customWidth="1"/>
    <col min="16132" max="16384" width="10.6640625" style="31"/>
  </cols>
  <sheetData>
    <row r="1" spans="2:3" ht="6.75" customHeight="1"/>
    <row r="2" spans="2:3" ht="70.5" customHeight="1">
      <c r="B2" s="325" t="s">
        <v>1</v>
      </c>
      <c r="C2" s="326"/>
    </row>
    <row r="3" spans="2:3" ht="17" thickBot="1"/>
    <row r="4" spans="2:3" s="32" customFormat="1" ht="58.5" customHeight="1">
      <c r="B4" s="33" t="s">
        <v>2</v>
      </c>
      <c r="C4" s="34"/>
    </row>
    <row r="5" spans="2:3" s="32" customFormat="1" ht="65.25" customHeight="1">
      <c r="B5" s="35" t="s">
        <v>3</v>
      </c>
      <c r="C5" s="36"/>
    </row>
    <row r="6" spans="2:3" s="32" customFormat="1" ht="99" customHeight="1">
      <c r="B6" s="37" t="s">
        <v>4</v>
      </c>
      <c r="C6" s="38"/>
    </row>
    <row r="7" spans="2:3" s="32" customFormat="1" ht="99" customHeight="1">
      <c r="B7" s="39" t="s">
        <v>5</v>
      </c>
      <c r="C7" s="40"/>
    </row>
    <row r="8" spans="2:3" s="32" customFormat="1" ht="48" customHeight="1" thickBot="1">
      <c r="B8" s="41" t="s">
        <v>6</v>
      </c>
      <c r="C8" s="42"/>
    </row>
    <row r="9" spans="2:3" ht="17" thickBot="1">
      <c r="C9" s="58"/>
    </row>
    <row r="10" spans="2:3" ht="61.5" customHeight="1" thickBot="1">
      <c r="B10" s="33" t="s">
        <v>7</v>
      </c>
      <c r="C10" s="34"/>
    </row>
    <row r="11" spans="2:3" ht="61.5" customHeight="1">
      <c r="B11" s="39" t="s">
        <v>8</v>
      </c>
      <c r="C11" s="34"/>
    </row>
    <row r="12" spans="2:3" ht="43.5" customHeight="1" thickBot="1">
      <c r="B12" s="41" t="s">
        <v>9</v>
      </c>
      <c r="C12" s="43"/>
    </row>
  </sheetData>
  <mergeCells count="1">
    <mergeCell ref="B2:C2"/>
  </mergeCells>
  <pageMargins left="0.7" right="0.7" top="0.75" bottom="0.75" header="0.3" footer="0.3"/>
  <drawing r:id="logoINR20261007"/>
</worksheet>
</file>

<file path=xl/worksheets/sheet4.xml><?xml version="1.0" encoding="utf-8"?>
<x:worksheet xmlns:x="http://schemas.openxmlformats.org/spreadsheetml/2006/main">
  <x:sheetPr>
    <x:tabColor theme="4"/>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8" hidden="0" customWidth="1"/>
    <x:col min="2" max="2" width="7" style="871" hidden="0" customWidth="1"/>
    <x:col min="3" max="3" width="44" style="872" hidden="0" customWidth="1"/>
    <x:col min="4" max="4" width="34" style="873" hidden="0" customWidth="1"/>
    <x:col min="5" max="5" width="9" style="868" hidden="0" customWidth="1"/>
    <x:col min="6" max="6" width="9" style="874" hidden="0" customWidth="1"/>
    <x:col min="7" max="7" width="34" style="873" hidden="0" customWidth="1"/>
    <x:col min="8" max="8" width="12" style="873" hidden="0" customWidth="1"/>
    <x:col min="9" max="9" width="32" style="873" hidden="0" customWidth="1"/>
    <x:col min="10" max="10" width="23" style="873" hidden="0" customWidth="1"/>
    <x:col min="11" max="11" width="5.6640625" style="868" hidden="1" customWidth="1"/>
    <x:col min="12" max="12" width="16.6640625" style="868" hidden="1" customWidth="1"/>
    <x:col min="13" max="13" width="17.6640625" style="868" hidden="1" customWidth="1"/>
    <x:col min="14" max="14" width="5.6640625" style="868" hidden="1" customWidth="1"/>
    <x:col min="15" max="15" width="5.6640625" style="868" hidden="1" customWidth="1"/>
    <x:col min="16" max="16" width="5.6640625" style="868" hidden="1" customWidth="1"/>
    <x:col min="17" max="17" width="5.6640625" style="868" hidden="1" customWidth="1"/>
    <x:col min="18" max="18" width="5.6640625" style="868" hidden="1" customWidth="1"/>
    <x:col min="19" max="19" width="5.6640625" style="868" hidden="1" customWidth="1"/>
    <x:col min="20" max="20" width="5.6640625" style="868" hidden="1" customWidth="1"/>
    <x:col min="21" max="21" width="5.6640625" style="868" hidden="1" customWidth="1"/>
    <x:col min="22" max="22" width="46" style="873" hidden="0" customWidth="1"/>
    <x:col min="23" max="23" width="68.6640625" style="873" hidden="1" customWidth="1"/>
    <x:col min="24" max="24" width="78.5" style="868" hidden="1" customWidth="1"/>
    <x:col min="25" max="25" width="10.6640625" style="868" customWidth="0" hidden="0"/>
    <x:col min="26" max="26" width="10.6640625" style="868" customWidth="0" hidden="0"/>
    <x:col min="27" max="27" width="10.6640625" style="868" customWidth="0" hidden="0"/>
    <x:col min="28" max="28" width="10.6640625" style="868" customWidth="0" hidden="0"/>
    <x:col min="29" max="29" width="10.6640625" style="868" customWidth="0" hidden="0"/>
    <x:col min="30" max="30" width="10.6640625" style="868" customWidth="0" hidden="0"/>
    <x:col min="31" max="31" width="10.6640625" style="868" customWidth="0" hidden="0"/>
    <x:col min="32" max="32" width="10.6640625" style="868" customWidth="0" hidden="0"/>
    <x:col min="33" max="33" width="10.6640625" style="868" customWidth="0" hidden="0"/>
    <x:col min="34" max="34" width="10.6640625" style="868" customWidth="0" hidden="0"/>
    <x:col min="35" max="35" width="10.6640625" style="868" customWidth="0" hidden="0"/>
    <x:col min="36" max="36" width="10.6640625" style="868" customWidth="0" hidden="0"/>
    <x:col min="37" max="37" width="10.6640625" style="868" customWidth="0" hidden="0"/>
    <x:col min="38" max="38" width="10.6640625" style="868" customWidth="0" hidden="0"/>
    <x:col min="39" max="39" width="10.6640625" style="868" customWidth="0" hidden="0"/>
    <x:col min="40" max="40" width="10.6640625" style="868" customWidth="0" hidden="0"/>
    <x:col min="41" max="41" width="10.6640625" style="868" customWidth="0" hidden="0"/>
    <x:col min="42" max="42" width="10.6640625" style="868" customWidth="0" hidden="0"/>
    <x:col min="43" max="43" width="10.6640625" style="868" customWidth="0" hidden="0"/>
    <x:col min="44" max="44" width="10.6640625" style="868" customWidth="0" hidden="0"/>
    <x:col min="45" max="45" width="10.6640625" style="868" customWidth="0" hidden="0"/>
  </x:cols>
  <x:sheetData>
    <x:row r="1" s="863" customFormat="1" ht="8" customHeight="1">
      <x:c r="B1" s="864"/>
      <x:c r="C1" s="865"/>
      <x:c r="D1" s="866"/>
      <x:c r="F1" s="867"/>
      <x:c r="G1" s="866"/>
      <x:c r="H1" s="866"/>
      <x:c r="I1" s="866"/>
      <x:c r="J1" s="866"/>
      <x:c r="L1" s="863">
        <x:v>0</x:v>
      </x:c>
      <x:c r="M1" s="863">
        <x:v>1</x:v>
      </x:c>
      <x:c r="N1" s="863">
        <x:v>2</x:v>
      </x:c>
      <x:c r="O1" s="863">
        <x:v>3</x:v>
      </x:c>
      <x:c r="P1" s="863">
        <x:v>4</x:v>
      </x:c>
      <x:c r="Q1" s="863">
        <x:v>5</x:v>
      </x:c>
      <x:c r="V1" s="866"/>
      <x:c r="W1" s="866"/>
    </x:row>
    <x:row r="2" s="863" customFormat="1" ht="30" customHeight="1">
      <x:c r="B2" s="1719" t="str">
        <x:v>ONR 1 : Sobriété · Utiliser les outils numériques pour consommer moins de ressources et réduire leurs effets sur l’environnement</x:v>
      </x:c>
      <x:c r="C2" s="1720"/>
      <x:c r="D2" s="1720"/>
      <x:c r="E2" s="1720"/>
      <x:c r="F2" s="1720"/>
      <x:c r="G2" s="1721"/>
      <x:c r="H2" s="1726"/>
      <x:c r="I2" s="1726"/>
      <x:c r="J2" s="1726"/>
      <x:c r="V2" s="866"/>
      <x:c r="W2" s="866"/>
    </x:row>
    <x:row r="3" s="863" customFormat="1" ht="24" customHeight="1">
      <x:c r="B3" s="1723"/>
      <x:c r="C3" s="1724"/>
      <x:c r="D3" s="1724"/>
      <x:c r="E3" s="1724"/>
      <x:c r="F3" s="1724"/>
      <x:c r="G3" s="1724"/>
      <x:c r="H3" s="1724"/>
      <x:c r="I3" s="1724"/>
      <x:c r="J3" s="1724"/>
      <x:c r="K3" s="1161"/>
      <x:c r="L3" s="1161"/>
      <x:c r="M3" s="1161"/>
      <x:c r="N3" s="1161"/>
      <x:c r="O3" s="1161"/>
      <x:c r="P3" s="1161"/>
      <x:c r="Q3" s="1161"/>
      <x:c r="R3" s="1161"/>
      <x:c r="S3" s="1161"/>
      <x:c r="T3" s="1161"/>
      <x:c r="U3" s="1161"/>
      <x:c r="V3" s="1161"/>
      <x:c r="W3" s="1161"/>
      <x:c r="X3" s="1161"/>
    </x:row>
    <x:row r="4" ht="27" customHeight="1">
      <x:c r="A4" s="863"/>
      <x:c r="B4" s="1735" t="str">
        <x:v>Cibles à évaluer</x:v>
      </x:c>
      <x:c r="C4" s="1736"/>
      <x:c r="D4" s="1739" t="inlineStr">
        <x:is>
          <x:t xml:space="preserve">Importance de la cible</x:t>
        </x:is>
      </x:c>
      <x:c r="E4" s="1740"/>
      <x:c r="F4" s="1743" t="inlineStr">
        <x:is>
          <x:t xml:space="preserve">Performance actuelle</x:t>
        </x:is>
      </x:c>
      <x:c r="G4" s="1744"/>
      <x:c r="H4" s="1747" t="str">
        <x:v>Compétences internes et externes</x:v>
      </x:c>
      <x:c r="I4" s="1748"/>
      <x:c r="J4" s="1751" t="inlineStr">
        <x:is>
          <x:t xml:space="preserve">Priorité</x:t>
        </x:is>
      </x:c>
      <x:c r="K4" s="1643"/>
      <x:c r="L4" s="1643"/>
      <x:c r="M4" s="1643"/>
      <x:c r="N4" s="1643"/>
      <x:c r="O4" s="1643"/>
      <x:c r="P4" s="1643"/>
      <x:c r="Q4" s="1643"/>
      <x:c r="R4" s="1643"/>
      <x:c r="S4" s="1643"/>
      <x:c r="T4" s="1643"/>
      <x:c r="U4" s="1643"/>
      <x:c r="V4" s="1753" t="inlineStr">
        <x:is>
          <x:t xml:space="preserve">Mise en œuvre</x:t>
        </x:is>
      </x:c>
      <x:c r="W4" s="1754"/>
      <x:c r="X4" s="1754"/>
    </x:row>
    <x:row r="5" s="870" customFormat="1" ht="56" customHeight="1">
      <x:c r="A5" s="869"/>
      <x:c r="B5" s="1737"/>
      <x:c r="C5" s="1738"/>
      <x:c r="D5" s="1741" t="inlineStr">
        <x:is>
          <x:t xml:space="preserve">Avantages possibles et risques</x:t>
        </x:is>
      </x:c>
      <x:c r="E5" s="1742" t="inlineStr">
        <x:is>
          <x:t xml:space="preserve">Importance</x:t>
        </x:is>
      </x:c>
      <x:c r="F5" s="1745" t="inlineStr">
        <x:is>
          <x:t xml:space="preserve">Niveau actuel</x:t>
        </x:is>
      </x:c>
      <x:c r="G5" s="1746" t="inlineStr">
        <x:is>
          <x:t xml:space="preserve">Ce qui est déjà fait et ce qui justifie la note</x:t>
        </x:is>
      </x:c>
      <x:c r="H5" s="1749" t="inlineStr">
        <x:is>
          <x:t xml:space="preserve">Compétences nécessaires</x:t>
        </x:is>
      </x:c>
      <x:c r="I5" s="1750" t="inlineStr">
        <x:is>
          <x:t xml:space="preserve">Points forts et points faibles</x:t>
        </x:is>
      </x:c>
      <x:c r="J5" s="1752" t="inlineStr">
        <x:is>
          <x:t xml:space="preserve">Niveau de priorité</x:t>
        </x:is>
      </x:c>
      <x:c r="K5" s="1762" t="inlineStr">
        <x:is>
          <x:t xml:space="preserve">Clé de priorisation</x:t>
        </x:is>
      </x:c>
      <x:c r="L5" s="1655" t="inlineStr">
        <x:is>
          <x:t xml:space="preserve">Intervention urgente</x:t>
        </x:is>
      </x:c>
      <x:c r="M5" s="1656" t="inlineStr">
        <x:is>
          <x:t xml:space="preserve">Intervention prioritaire</x:t>
        </x:is>
      </x:c>
      <x:c r="N5" s="1657" t="inlineStr">
        <x:is>
          <x:t xml:space="preserve">Intervention à moyen terme</x:t>
        </x:is>
      </x:c>
      <x:c r="O5" s="1658" t="inlineStr">
        <x:is>
          <x:t xml:space="preserve">Intervention à long terme</x:t>
        </x:is>
      </x:c>
      <x:c r="P5" s="1659" t="inlineStr">
        <x:is>
          <x:t xml:space="preserve">Intervention de consolidation</x:t>
        </x:is>
      </x:c>
      <x:c r="Q5" s="1660" t="inlineStr">
        <x:is>
          <x:t xml:space="preserve">Intervention non prioritaire</x:t>
        </x:is>
      </x:c>
      <x:c r="R5" s="1661" t="inlineStr">
        <x:is>
          <x:t xml:space="preserve">Intervention non pertinente</x:t>
        </x:is>
      </x:c>
      <x:c r="S5" s="1763" t="inlineStr">
        <x:is>
          <x:t xml:space="preserve">Libellé de priorité</x:t>
        </x:is>
      </x:c>
      <x:c r="T5" s="1763" t="inlineStr">
        <x:is>
          <x:t xml:space="preserve">Score de priorité</x:t>
        </x:is>
      </x:c>
      <x:c r="U5" s="1763" t="inlineStr">
        <x:is>
          <x:t xml:space="preserve">Code priorité et compétences</x:t>
        </x:is>
      </x:c>
      <x:c r="V5" s="1755" t="inlineStr">
        <x:is>
          <x:t xml:space="preserve">Actions proposées pour atteindre la cible</x:t>
        </x:is>
      </x:c>
      <x:c r="W5" s="1756"/>
      <x:c r="X5" s="1757"/>
    </x:row>
    <x:row r="6" s="877" customFormat="1" ht="34" customHeight="1">
      <x:c r="A6" s="876"/>
      <x:c r="B6" s="1768" t="str">
        <x:v>Renseigner les cellules jaunes pour les notes, puis les textes utiles. La priorité se calcule automatiquement. Faire défiler vers la droite pour proposer des actions.</x:v>
      </x:c>
      <x:c r="C6" s="1769"/>
      <x:c r="D6" s="1770"/>
      <x:c r="E6" s="1770"/>
      <x:c r="F6" s="1770"/>
      <x:c r="G6" s="1770"/>
      <x:c r="H6" s="1770"/>
      <x:c r="I6" s="1770"/>
      <x:c r="J6" s="1770"/>
      <x:c r="K6" s="1770"/>
      <x:c r="L6" s="1770"/>
      <x:c r="M6" s="1770"/>
      <x:c r="N6" s="1770"/>
      <x:c r="O6" s="1770"/>
      <x:c r="P6" s="1770"/>
      <x:c r="Q6" s="1770"/>
      <x:c r="R6" s="1770"/>
      <x:c r="S6" s="1770"/>
      <x:c r="T6" s="1770"/>
      <x:c r="U6" s="1770"/>
      <x:c r="V6" s="1770"/>
      <x:c r="W6" s="1769"/>
      <x:c r="X6" s="1108"/>
    </x:row>
    <x:row r="7" s="954" customFormat="1" ht="121" customHeight="1">
      <x:c r="A7" s="953"/>
      <x:c r="B7" s="1807" t="inlineStr">
        <x:is>
          <x:t xml:space="preserve">1.1</x:t>
        </x:is>
      </x:c>
      <x:c r="C7" s="1799" t="inlineStr">
        <x:is>
          <x:t xml:space="preserve">Prendre en compte toutes les étapes de la vie des équipements et des logiciels, de leur création à leur fin de vie, pour contribuer à la transition énergétique.</x:t>
        </x:is>
      </x:c>
      <x:c r="D7" s="1802" t="inlineStr">
        <x:is>
          <x:t xml:space="preserve">Avantages possibles : réduire les émissions de gaz à effet de serre de l’organisation et se préparer aux futures règles environnementales.
Risque : payer plus cher à l’achat certains équipements conçus pour limiter leurs effets sur l’environnement.</x:t>
        </x:is>
      </x:c>
      <x:c r="E7" s="1806">
        <x:v>3</x:v>
      </x:c>
      <x:c r="F7" s="1806">
        <x:v>1</x:v>
      </x:c>
      <x:c r="G7" s="1802" t="inlineStr">
        <x:is>
          <x:t xml:space="preserve">L’équipe Achats retient le prix d’achat comme seul critère de choix. Elle ne demande pas d’analyse du cycle de vie (ACV) aux fournisseurs dans les appels d’offres.</x:t>
        </x:is>
      </x:c>
      <x:c r="H7" s="1806">
        <x:v>3</x:v>
      </x:c>
      <x:c r="I7" s="1803" t="inlineStr">
        <x:is>
          <x:t xml:space="preserve">Point fort : la direction des achats souhaite adopter des pratiques plus durables.
Point faible : l’équipe connaît peu les labels environnementaux des équipements informatiques.</x:t>
        </x:is>
      </x:c>
      <x:c r="J7" s="1810" t="str">
        <x:f>S7</x:f>
        <x:v>Intervention urgente</x:v>
      </x:c>
      <x:c r="K7" s="1781" t="n">
        <x:f>IF(IF(ISNUMBER(E7),AND(E7&gt;=0,E7&lt;=3,MOD(E7,1)=0),FALSE),IF(E7=0,0,IF(IF(ISNUMBER(F7),AND(F7&gt;=1,F7&lt;=4,MOD(F7,1)=0),FALSE),E7*10+F7,"")),"")</x:f>
        <x:v>31</x:v>
      </x:c>
      <x:c r="L7" s="1781" t="b">
        <x:f>IF(ISNUMBER(K7),K7=31,FALSE)</x:f>
        <x:v>1</x:v>
      </x:c>
      <x:c r="M7" s="1781" t="b">
        <x:f>IF(ISNUMBER(K7),OR(K7=21,K7=32),FALSE)</x:f>
        <x:v>0</x:v>
      </x:c>
      <x:c r="N7" s="1781" t="b">
        <x:f>IF(ISNUMBER(K7),OR(K7=22,K7=33),FALSE)</x:f>
        <x:v>0</x:v>
      </x:c>
      <x:c r="O7" s="1781" t="b">
        <x:f>IF(ISNUMBER(K7),OR(K7=11,K7=12),FALSE)</x:f>
        <x:v>0</x:v>
      </x:c>
      <x:c r="P7" s="1781" t="b">
        <x:f>IF(ISNUMBER(K7),OR(K7=23,K7=34),FALSE)</x:f>
        <x:v>0</x:v>
      </x:c>
      <x:c r="Q7" s="1781" t="b">
        <x:f>IF(ISNUMBER(K7),OR(K7=13,K7=14,K7=24),FALSE)</x:f>
        <x:v>0</x:v>
      </x:c>
      <x:c r="R7" s="1781" t="b">
        <x:f>IF(ISNUMBER(K7),K7=0,FALSE)</x:f>
        <x:v>0</x:v>
      </x:c>
      <x:c r="S7" s="1781" t="str">
        <x:f t="shared" ref="S7:S12" si="0">IF(ISNUMBER(T7),INDEX($L$5:$R$5,1,7-T7),"")</x:f>
        <x:v>Intervention urgente</x:v>
      </x:c>
      <x:c r="T7" s="1781" t="n">
        <x:f t="shared" ref="T7:T12" si="1">IF(ISNUMBER(K7),IF(L7,6,IF(M7,5,IF(N7,4,IF(O7,3,IF(P7,2,IF(Q7,1,0)))))),"")</x:f>
        <x:v>6</x:v>
      </x:c>
      <x:c r="U7" s="1794" t="n">
        <x:f>IF(AND(ISNUMBER(T7),ISNUMBER(H7)),IF(AND(H7&gt;=1,H7&lt;=4,MOD(H7,1)=0),T7*10+H7,""),"")</x:f>
        <x:v>63</x:v>
      </x:c>
      <x:c r="V7" s="1803" t="inlineStr">
        <x:is>
          <x:t xml:space="preserve">Former l’équipe Achats aux critères du numérique responsable et aux labels TCO et EPEAT. Dans les prochains appels d’offres pour remplacer les serveurs, faire compter les critères environnementaux pour 15 % de la note.</x:t>
        </x:is>
      </x:c>
      <x:c r="W7" s="1104"/>
      <x:c r="X7" s="905"/>
    </x:row>
    <x:row r="8" s="954" customFormat="1" ht="106" customHeight="1">
      <x:c r="A8" s="953"/>
      <x:c r="B8" s="1808" t="inlineStr">
        <x:is>
          <x:t xml:space="preserve">1.2</x:t>
        </x:is>
      </x:c>
      <x:c r="C8" s="1800" t="inlineStr">
        <x:is>
          <x:t xml:space="preserve">Utiliser les équipements plus longtemps, même après la fin de leur amortissement, c’est-à-dire la période sur laquelle leur coût est réparti dans les comptes.</x:t>
        </x:is>
      </x:c>
      <x:c r="D8" s="1802" t="inlineStr">
        <x:is>
          <x:t xml:space="preserve">Avantages possibles : réduire les dépenses d’achat de matériel et les déchets d’équipements électriques et électroniques (DEEE).</x:t>
        </x:is>
      </x:c>
      <x:c r="E8" s="1806">
        <x:v>3</x:v>
      </x:c>
      <x:c r="F8" s="1806">
        <x:v>3</x:v>
      </x:c>
      <x:c r="G8" s="1802" t="inlineStr">
        <x:is>
          <x:t xml:space="preserve">L’organisation a porté la durée de renouvellement des ordinateurs portables de trois à quatre ans l’année dernière. Elle dispose d’un contrat de maintenance.</x:t>
        </x:is>
      </x:c>
      <x:c r="H8" s="1806">
        <x:v>2</x:v>
      </x:c>
      <x:c r="I8" s="1803" t="inlineStr">
        <x:is>
          <x:t xml:space="preserve">Point fort : l’équipe technique peut réparer les équipements en interne.
Point faible : certains utilisateurs demandent du matériel neuf pour son apparence.</x:t>
        </x:is>
      </x:c>
      <x:c r="J8" s="1810" t="str">
        <x:f t="shared" ref="J8:J12" si="2">S8</x:f>
        <x:v>Intervention à moyen terme</x:v>
      </x:c>
      <x:c r="K8" s="1781" t="n">
        <x:f t="shared" ref="K8:K12" si="3">IF(IF(ISNUMBER(E8),AND(E8&gt;=0,E8&lt;=3,MOD(E8,1)=0),FALSE),IF(E8=0,0,IF(IF(ISNUMBER(F8),AND(F8&gt;=1,F8&lt;=4,MOD(F8,1)=0),FALSE),E8*10+F8,"")),"")</x:f>
        <x:v>33</x:v>
      </x:c>
      <x:c r="L8" s="1781" t="b">
        <x:f t="shared" ref="L8:L12" si="4">IF(ISNUMBER(K8),K8=31,FALSE)</x:f>
        <x:v>0</x:v>
      </x:c>
      <x:c r="M8" s="1781" t="b">
        <x:f t="shared" ref="M8:M12" si="5">IF(ISNUMBER(K8),OR(K8=21,K8=32),FALSE)</x:f>
        <x:v>0</x:v>
      </x:c>
      <x:c r="N8" s="1781" t="b">
        <x:f t="shared" ref="N8:N12" si="6">IF(ISNUMBER(K8),OR(K8=22,K8=33),FALSE)</x:f>
        <x:v>1</x:v>
      </x:c>
      <x:c r="O8" s="1781" t="b">
        <x:f t="shared" ref="O8:O12" si="7">IF(ISNUMBER(K8),OR(K8=11,K8=12),FALSE)</x:f>
        <x:v>0</x:v>
      </x:c>
      <x:c r="P8" s="1781" t="b">
        <x:f t="shared" ref="P8:P12" si="8">IF(ISNUMBER(K8),OR(K8=23,K8=34),FALSE)</x:f>
        <x:v>0</x:v>
      </x:c>
      <x:c r="Q8" s="1781" t="b">
        <x:f t="shared" ref="Q8:Q12" si="9">IF(ISNUMBER(K8),OR(K8=13,K8=14,K8=24),FALSE)</x:f>
        <x:v>0</x:v>
      </x:c>
      <x:c r="R8" s="1781" t="b">
        <x:f t="shared" ref="R8:R12" si="10">IF(ISNUMBER(K8),K8=0,FALSE)</x:f>
        <x:v>0</x:v>
      </x:c>
      <x:c r="S8" s="1781" t="str">
        <x:f t="shared" si="0">IF(ISNUMBER(T8),INDEX($L$5:$R$5,1,7-T8),"")</x:f>
        <x:v>Intervention à moyen terme</x:v>
      </x:c>
      <x:c r="T8" s="1781" t="n">
        <x:f t="shared" si="1">IF(ISNUMBER(K8),IF(L8,6,IF(M8,5,IF(N8,4,IF(O8,3,IF(P8,2,IF(Q8,1,0)))))),"")</x:f>
        <x:v>4</x:v>
      </x:c>
      <x:c r="U8" s="1794" t="n">
        <x:f t="shared" ref="U8:U12" si="11">IF(AND(ISNUMBER(T8),ISNUMBER(H8)),IF(AND(H8&gt;=1,H8&lt;=4,MOD(H8,1)=0),T8*10+H8,""),"")</x:f>
        <x:v>42</x:v>
      </x:c>
      <x:c r="V8" s="1803" t="inlineStr">
        <x:is>
          <x:t xml:space="preserve">Répartir le coût des équipements dans les comptes sur cinq ans au minimum : c’est la durée d’amortissement. Prévoir un stock de pièces détachées pour faciliter les réparations. Expliquer aux équipes comment garder leur ordinateur plus longtemps permet d’éviter des émissions de gaz à effet de serre.</x:t>
        </x:is>
      </x:c>
      <x:c r="W8" s="1119"/>
      <x:c r="X8" s="1118"/>
    </x:row>
    <x:row r="9" s="954" customFormat="1" ht="166" customHeight="1">
      <x:c r="A9" s="953"/>
      <x:c r="B9" s="1808" t="inlineStr">
        <x:is>
          <x:t xml:space="preserve">1.3</x:t>
        </x:is>
      </x:c>
      <x:c r="C9" s="1800" t="inlineStr">
        <x:is>
          <x:t xml:space="preserve">Concevoir des services numériques qui limitent leurs effets sur l’environnement. Choisir des technologies qui contribuent aux Objectifs de développement durable (ODD).</x:t>
        </x:is>
      </x:c>
      <x:c r="D9" s="1802" t="inlineStr">
        <x:is>
          <x:t xml:space="preserve">Avantages possibles : réduire les effets des services sur l’environnement dès leur conception, faciliter leur utilisation et contribuer aux Objectifs de développement durable (ODD).
Risques : accumuler des problèmes techniques non résolus ou créer des logiciels trop gourmands en ressources, qui obligent à remplacer le matériel plus tôt.</x:t>
        </x:is>
      </x:c>
      <x:c r="E9" s="1806">
        <x:v>3</x:v>
      </x:c>
      <x:c r="F9" s="1806">
        <x:v>2</x:v>
      </x:c>
      <x:c r="G9" s="1802" t="inlineStr">
        <x:is>
          <x:t xml:space="preserve">Les équipes valident les nouveaux services et sites web selon des critères fonctionnels, graphiques et financiers. Elles ne mesurent ni le poids des pages ni l’impact environnemental du code.</x:t>
        </x:is>
      </x:c>
      <x:c r="H9" s="1806">
        <x:v>2</x:v>
      </x:c>
      <x:c r="I9" s="1803" t="inlineStr">
        <x:is>
          <x:t xml:space="preserve">Point fort : les développeurs et les chefs de produit s’intéressent aux effets de leurs activités sur la société et l’environnement.
Points faibles : ils connaissent peu les guides pour concevoir des services numériques moins polluants, comme le RGESN. Ils savent peu comment relier leurs projets aux ODD.</x:t>
        </x:is>
      </x:c>
      <x:c r="J9" s="1810" t="str">
        <x:f t="shared" si="2">S9</x:f>
        <x:v>Intervention prioritaire</x:v>
      </x:c>
      <x:c r="K9" s="1787" t="n">
        <x:f t="shared" si="3">IF(IF(ISNUMBER(E9),AND(E9&gt;=0,E9&lt;=3,MOD(E9,1)=0),FALSE),IF(E9=0,0,IF(IF(ISNUMBER(F9),AND(F9&gt;=1,F9&lt;=4,MOD(F9,1)=0),FALSE),E9*10+F9,"")),"")</x:f>
        <x:v>32</x:v>
      </x:c>
      <x:c r="L9" s="1787" t="b">
        <x:f t="shared" si="4">IF(ISNUMBER(K9),K9=31,FALSE)</x:f>
        <x:v>0</x:v>
      </x:c>
      <x:c r="M9" s="1787" t="b">
        <x:f t="shared" si="5">IF(ISNUMBER(K9),OR(K9=21,K9=32),FALSE)</x:f>
        <x:v>1</x:v>
      </x:c>
      <x:c r="N9" s="1787" t="b">
        <x:f t="shared" si="6">IF(ISNUMBER(K9),OR(K9=22,K9=33),FALSE)</x:f>
        <x:v>0</x:v>
      </x:c>
      <x:c r="O9" s="1787" t="b">
        <x:f t="shared" si="7">IF(ISNUMBER(K9),OR(K9=11,K9=12),FALSE)</x:f>
        <x:v>0</x:v>
      </x:c>
      <x:c r="P9" s="1787" t="b">
        <x:f t="shared" si="8">IF(ISNUMBER(K9),OR(K9=23,K9=34),FALSE)</x:f>
        <x:v>0</x:v>
      </x:c>
      <x:c r="Q9" s="1787" t="b">
        <x:f t="shared" si="9">IF(ISNUMBER(K9),OR(K9=13,K9=14,K9=24),FALSE)</x:f>
        <x:v>0</x:v>
      </x:c>
      <x:c r="R9" s="1787" t="b">
        <x:f t="shared" si="10">IF(ISNUMBER(K9),K9=0,FALSE)</x:f>
        <x:v>0</x:v>
      </x:c>
      <x:c r="S9" s="1787" t="str">
        <x:f t="shared" si="0">IF(ISNUMBER(T9),INDEX($L$5:$R$5,1,7-T9),"")</x:f>
        <x:v>Intervention prioritaire</x:v>
      </x:c>
      <x:c r="T9" s="1787" t="n">
        <x:f t="shared" si="1">IF(ISNUMBER(K9),IF(L9,6,IF(M9,5,IF(N9,4,IF(O9,3,IF(P9,2,IF(Q9,1,0)))))),"")</x:f>
        <x:v>5</x:v>
      </x:c>
      <x:c r="U9" s="1787" t="n">
        <x:f t="shared" si="11">IF(AND(ISNUMBER(T9),ISNUMBER(H9)),IF(AND(H9&gt;=1,H9&lt;=4,MOD(H9,1)=0),T9*10+H9,""),"")</x:f>
        <x:v>52</x:v>
      </x:c>
      <x:c r="V9" s="1803" t="inlineStr">
        <x:is>
          <x:t xml:space="preserve">1. Former les équipes de conception, de développement et de gestion de projet à créer des services numériques qui limitent leurs effets sur l’environnement.
2. Ajouter des exigences environnementales aux cahiers des charges, comme limiter le poids des images et réduire les demandes envoyées aux serveurs.
3. Pour chaque nouveau projet, préciser à quels Objectifs de développement durable il contribue.</x:t>
        </x:is>
      </x:c>
      <x:c r="W9" s="1105"/>
      <x:c r="X9" s="1117"/>
    </x:row>
    <x:row r="10" s="954" customFormat="1" ht="70" customHeight="1">
      <x:c r="A10" s="953"/>
      <x:c r="B10" s="1808" t="inlineStr">
        <x:is>
          <x:t xml:space="preserve">1.4</x:t>
        </x:is>
      </x:c>
      <x:c r="C10" s="1800" t="inlineStr">
        <x:is>
          <x:t xml:space="preserve">Adopter des pratiques qui consomment moins de matériel, de ressources, d’énergie et de consommables, comme le papier ou l’encre.</x:t>
        </x:is>
      </x:c>
      <x:c r="D10" s="1802"/>
      <x:c r="E10" s="1806"/>
      <x:c r="F10" s="1806"/>
      <x:c r="G10" s="1802"/>
      <x:c r="H10" s="1806"/>
      <x:c r="I10" s="1803"/>
      <x:c r="J10" s="1810" t="str">
        <x:f t="shared" si="2">S10</x:f>
      </x:c>
      <x:c r="K10" s="1790" t="str">
        <x:f t="shared" si="3">IF(IF(ISNUMBER(E10),AND(E10&gt;=0,E10&lt;=3,MOD(E10,1)=0),FALSE),IF(E10=0,0,IF(IF(ISNUMBER(F10),AND(F10&gt;=1,F10&lt;=4,MOD(F10,1)=0),FALSE),E10*10+F10,"")),"")</x:f>
      </x:c>
      <x:c r="L10" s="1790" t="b">
        <x:f t="shared" si="4">IF(ISNUMBER(K10),K10=31,FALSE)</x:f>
        <x:v>0</x:v>
      </x:c>
      <x:c r="M10" s="1790" t="b">
        <x:f t="shared" si="5">IF(ISNUMBER(K10),OR(K10=21,K10=32),FALSE)</x:f>
        <x:v>0</x:v>
      </x:c>
      <x:c r="N10" s="1790" t="b">
        <x:f t="shared" si="6">IF(ISNUMBER(K10),OR(K10=22,K10=33),FALSE)</x:f>
        <x:v>0</x:v>
      </x:c>
      <x:c r="O10" s="1790" t="b">
        <x:f t="shared" si="7">IF(ISNUMBER(K10),OR(K10=11,K10=12),FALSE)</x:f>
        <x:v>0</x:v>
      </x:c>
      <x:c r="P10" s="1790" t="b">
        <x:f t="shared" si="8">IF(ISNUMBER(K10),OR(K10=23,K10=34),FALSE)</x:f>
        <x:v>0</x:v>
      </x:c>
      <x:c r="Q10" s="1790" t="b">
        <x:f t="shared" si="9">IF(ISNUMBER(K10),OR(K10=13,K10=14,K10=24),FALSE)</x:f>
        <x:v>0</x:v>
      </x:c>
      <x:c r="R10" s="1790" t="b">
        <x:f t="shared" si="10">IF(ISNUMBER(K10),K10=0,FALSE)</x:f>
        <x:v>0</x:v>
      </x:c>
      <x:c r="S10" s="1790" t="str">
        <x:f t="shared" si="0">IF(ISNUMBER(T10),INDEX($L$5:$R$5,1,7-T10),"")</x:f>
      </x:c>
      <x:c r="T10" s="1790" t="str">
        <x:f t="shared" si="1">IF(ISNUMBER(K10),IF(L10,6,IF(M10,5,IF(N10,4,IF(O10,3,IF(P10,2,IF(Q10,1,0)))))),"")</x:f>
      </x:c>
      <x:c r="U10" s="1794" t="str">
        <x:f t="shared" si="11">IF(AND(ISNUMBER(T10),ISNUMBER(H10)),IF(AND(H10&gt;=1,H10&lt;=4,MOD(H10,1)=0),T10*10+H10,""),"")</x:f>
      </x:c>
      <x:c r="V10" s="1802"/>
      <x:c r="W10" s="1106"/>
      <x:c r="X10" s="905"/>
    </x:row>
    <x:row r="11" s="954" customFormat="1" ht="76" customHeight="1">
      <x:c r="A11" s="953"/>
      <x:c r="B11" s="1809" t="inlineStr">
        <x:is>
          <x:t xml:space="preserve">1.5</x:t>
        </x:is>
      </x:c>
      <x:c r="C11" s="1801" t="inlineStr">
        <x:is>
          <x:t xml:space="preserve">Réutiliser ou recycler les déchets pour en faire de nouvelles ressources. Soutenir les emplois liés à leur traitement et à l’économie circulaire.</x:t>
        </x:is>
      </x:c>
      <x:c r="D11" s="1802"/>
      <x:c r="E11" s="1806"/>
      <x:c r="F11" s="1806"/>
      <x:c r="G11" s="1802"/>
      <x:c r="H11" s="1806"/>
      <x:c r="I11" s="1803"/>
      <x:c r="J11" s="1810" t="str">
        <x:f t="shared" si="2">S11</x:f>
      </x:c>
      <x:c r="K11" s="1790" t="str">
        <x:f t="shared" si="3">IF(IF(ISNUMBER(E11),AND(E11&gt;=0,E11&lt;=3,MOD(E11,1)=0),FALSE),IF(E11=0,0,IF(IF(ISNUMBER(F11),AND(F11&gt;=1,F11&lt;=4,MOD(F11,1)=0),FALSE),E11*10+F11,"")),"")</x:f>
      </x:c>
      <x:c r="L11" s="1790" t="b">
        <x:f t="shared" si="4">IF(ISNUMBER(K11),K11=31,FALSE)</x:f>
        <x:v>0</x:v>
      </x:c>
      <x:c r="M11" s="1790" t="b">
        <x:f t="shared" si="5">IF(ISNUMBER(K11),OR(K11=21,K11=32),FALSE)</x:f>
        <x:v>0</x:v>
      </x:c>
      <x:c r="N11" s="1790" t="b">
        <x:f t="shared" si="6">IF(ISNUMBER(K11),OR(K11=22,K11=33),FALSE)</x:f>
        <x:v>0</x:v>
      </x:c>
      <x:c r="O11" s="1790" t="b">
        <x:f t="shared" si="7">IF(ISNUMBER(K11),OR(K11=11,K11=12),FALSE)</x:f>
        <x:v>0</x:v>
      </x:c>
      <x:c r="P11" s="1790" t="b">
        <x:f t="shared" si="8">IF(ISNUMBER(K11),OR(K11=23,K11=34),FALSE)</x:f>
        <x:v>0</x:v>
      </x:c>
      <x:c r="Q11" s="1790" t="b">
        <x:f t="shared" si="9">IF(ISNUMBER(K11),OR(K11=13,K11=14,K11=24),FALSE)</x:f>
        <x:v>0</x:v>
      </x:c>
      <x:c r="R11" s="1790" t="b">
        <x:f t="shared" si="10">IF(ISNUMBER(K11),K11=0,FALSE)</x:f>
        <x:v>0</x:v>
      </x:c>
      <x:c r="S11" s="1790" t="str">
        <x:f t="shared" si="0">IF(ISNUMBER(T11),INDEX($L$5:$R$5,1,7-T11),"")</x:f>
      </x:c>
      <x:c r="T11" s="1790" t="str">
        <x:f t="shared" si="1">IF(ISNUMBER(K11),IF(L11,6,IF(M11,5,IF(N11,4,IF(O11,3,IF(P11,2,IF(Q11,1,0)))))),"")</x:f>
      </x:c>
      <x:c r="U11" s="1794" t="str">
        <x:f t="shared" si="11">IF(AND(ISNUMBER(T11),ISNUMBER(H11)),IF(AND(H11&gt;=1,H11&lt;=4,MOD(H11,1)=0),T11*10+H11,""),"")</x:f>
      </x:c>
      <x:c r="V11" s="1802"/>
      <x:c r="W11" s="1120"/>
      <x:c r="X11" s="1115"/>
    </x:row>
    <x:row r="12" s="955" customFormat="1" ht="70" customHeight="1">
      <x:c r="A12" s="953"/>
      <x:c r="B12" s="1808" t="inlineStr">
        <x:is>
          <x:t xml:space="preserve">1.6</x:t>
        </x:is>
      </x:c>
      <x:c r="C12" s="1801" t="inlineStr">
        <x:is>
          <x:t xml:space="preserve">Choisir des énergies renouvelables et encourager leur utilisation.</x:t>
        </x:is>
      </x:c>
      <x:c r="D12" s="1802"/>
      <x:c r="E12" s="1806"/>
      <x:c r="F12" s="1806"/>
      <x:c r="G12" s="1802"/>
      <x:c r="H12" s="1806"/>
      <x:c r="I12" s="1803"/>
      <x:c r="J12" s="1810" t="str">
        <x:f t="shared" si="2">S12</x:f>
      </x:c>
      <x:c r="K12" s="1790" t="str">
        <x:f t="shared" si="3">IF(IF(ISNUMBER(E12),AND(E12&gt;=0,E12&lt;=3,MOD(E12,1)=0),FALSE),IF(E12=0,0,IF(IF(ISNUMBER(F12),AND(F12&gt;=1,F12&lt;=4,MOD(F12,1)=0),FALSE),E12*10+F12,"")),"")</x:f>
      </x:c>
      <x:c r="L12" s="1790" t="b">
        <x:f t="shared" si="4">IF(ISNUMBER(K12),K12=31,FALSE)</x:f>
        <x:v>0</x:v>
      </x:c>
      <x:c r="M12" s="1790" t="b">
        <x:f t="shared" si="5">IF(ISNUMBER(K12),OR(K12=21,K12=32),FALSE)</x:f>
        <x:v>0</x:v>
      </x:c>
      <x:c r="N12" s="1790" t="b">
        <x:f t="shared" si="6">IF(ISNUMBER(K12),OR(K12=22,K12=33),FALSE)</x:f>
        <x:v>0</x:v>
      </x:c>
      <x:c r="O12" s="1790" t="b">
        <x:f t="shared" si="7">IF(ISNUMBER(K12),OR(K12=11,K12=12),FALSE)</x:f>
        <x:v>0</x:v>
      </x:c>
      <x:c r="P12" s="1790" t="b">
        <x:f t="shared" si="8">IF(ISNUMBER(K12),OR(K12=23,K12=34),FALSE)</x:f>
        <x:v>0</x:v>
      </x:c>
      <x:c r="Q12" s="1790" t="b">
        <x:f t="shared" si="9">IF(ISNUMBER(K12),OR(K12=13,K12=14,K12=24),FALSE)</x:f>
        <x:v>0</x:v>
      </x:c>
      <x:c r="R12" s="1790" t="b">
        <x:f t="shared" si="10">IF(ISNUMBER(K12),K12=0,FALSE)</x:f>
        <x:v>0</x:v>
      </x:c>
      <x:c r="S12" s="1790" t="str">
        <x:f t="shared" si="0">IF(ISNUMBER(T12),INDEX($L$5:$R$5,1,7-T12),"")</x:f>
      </x:c>
      <x:c r="T12" s="1790" t="str">
        <x:f t="shared" si="1">IF(ISNUMBER(K12),IF(L12,6,IF(M12,5,IF(N12,4,IF(O12,3,IF(P12,2,IF(Q12,1,0)))))),"")</x:f>
      </x:c>
      <x:c r="U12" s="1794" t="str">
        <x:f t="shared" si="11">IF(AND(ISNUMBER(T12),ISNUMBER(H12)),IF(AND(H12&gt;=1,H12&lt;=4,MOD(H12,1)=0),T12*10+H12,""),"")</x:f>
      </x:c>
      <x:c r="V12" s="1802"/>
      <x:c r="W12" s="1121"/>
      <x:c r="X12" s="1115"/>
    </x:row>
    <x:row r="13" ht="151" customHeight="1">
      <x:c r="B13" s="1808" t="inlineStr">
        <x:is>
          <x:t xml:space="preserve">1.7</x:t>
        </x:is>
      </x:c>
      <x:c r="C13" s="1801" t="inlineStr">
        <x:is>
          <x:t xml:space="preserve">Réserver l’intelligence artificielle aux besoins qui la justifient et privilégier des solutions sobres en ressources.</x:t>
        </x:is>
      </x:c>
      <x:c r="D13" s="1802" t="inlineStr">
        <x:is>
          <x:t xml:space="preserve">Avantages possibles : maîtriser les coûts du matériel et des services d’IA, et réduire les émissions de gaz à effet de serre liées à leur entraînement et à leur utilisation.
Risque : utiliser l’IA par effet de mode, sans besoin réel, et consommer davantage de ressources.</x:t>
        </x:is>
      </x:c>
      <x:c r="E13" s="1806">
        <x:v>3</x:v>
      </x:c>
      <x:c r="F13" s="1806">
        <x:v>1</x:v>
      </x:c>
      <x:c r="G13" s="1802" t="inlineStr">
        <x:is>
          <x:t xml:space="preserve">Les équipes métiers expérimentent plusieurs projets d’IA générative, dont des usages de ChatGPT. Elles ne mesurent pas leur impact énergétique et ne disposent pas de charte pour encadrer les besoins et les usages.</x:t>
        </x:is>
      </x:c>
      <x:c r="H13" s="1806">
        <x:v>2</x:v>
      </x:c>
      <x:c r="I13" s="1803" t="inlineStr">
        <x:is>
          <x:t xml:space="preserve">Point fort : l’équipe chargée des données et de l’informatique dispose de compétences techniques et souhaite explorer ces outils.
Points faibles : elle connaît peu les méthodes pour mesurer et réduire la consommation de l’IA. Elle manque aussi de recul pour savoir quand l’IA est utile.</x:t>
        </x:is>
      </x:c>
      <x:c r="J13" s="1810" t="str">
        <x:f t="shared" ref="J13" si="12">S13</x:f>
        <x:v>Intervention urgente</x:v>
      </x:c>
      <x:c r="K13" s="1790" t="n">
        <x:f t="shared" ref="K13" si="13">IF(IF(ISNUMBER(E13),AND(E13&gt;=0,E13&lt;=3,MOD(E13,1)=0),FALSE),IF(E13=0,0,IF(IF(ISNUMBER(F13),AND(F13&gt;=1,F13&lt;=4,MOD(F13,1)=0),FALSE),E13*10+F13,"")),"")</x:f>
        <x:v>31</x:v>
      </x:c>
      <x:c r="L13" s="1790" t="b">
        <x:f t="shared" ref="L13" si="14">IF(ISNUMBER(K13),K13=31,FALSE)</x:f>
        <x:v>1</x:v>
      </x:c>
      <x:c r="M13" s="1790" t="b">
        <x:f t="shared" ref="M13" si="15">IF(ISNUMBER(K13),OR(K13=21,K13=32),FALSE)</x:f>
        <x:v>0</x:v>
      </x:c>
      <x:c r="N13" s="1790" t="b">
        <x:f t="shared" ref="N13" si="16">IF(ISNUMBER(K13),OR(K13=22,K13=33),FALSE)</x:f>
        <x:v>0</x:v>
      </x:c>
      <x:c r="O13" s="1790" t="b">
        <x:f t="shared" ref="O13" si="17">IF(ISNUMBER(K13),OR(K13=11,K13=12),FALSE)</x:f>
        <x:v>0</x:v>
      </x:c>
      <x:c r="P13" s="1790" t="b">
        <x:f t="shared" ref="P13" si="18">IF(ISNUMBER(K13),OR(K13=23,K13=34),FALSE)</x:f>
        <x:v>0</x:v>
      </x:c>
      <x:c r="Q13" s="1790" t="b">
        <x:f t="shared" ref="Q13" si="19">IF(ISNUMBER(K13),OR(K13=13,K13=14,K13=24),FALSE)</x:f>
        <x:v>0</x:v>
      </x:c>
      <x:c r="R13" s="1790" t="b">
        <x:f t="shared" ref="R13" si="20">IF(ISNUMBER(K13),K13=0,FALSE)</x:f>
        <x:v>0</x:v>
      </x:c>
      <x:c r="S13" s="1790" t="str">
        <x:f t="shared" ref="S13" si="21">IF(ISNUMBER(T13),INDEX($L$5:$R$5,1,7-T13),"")</x:f>
        <x:v>Intervention urgente</x:v>
      </x:c>
      <x:c r="T13" s="1790" t="n">
        <x:f t="shared" ref="T13" si="22">IF(ISNUMBER(K13),IF(L13,6,IF(M13,5,IF(N13,4,IF(O13,3,IF(P13,2,IF(Q13,1,0)))))),"")</x:f>
        <x:v>6</x:v>
      </x:c>
      <x:c r="U13" s="1794" t="n">
        <x:f t="shared" ref="U13" si="23">IF(AND(ISNUMBER(T13),ISNUMBER(H13)),IF(AND(H13&gt;=1,H13&lt;=4,MOD(H13,1)=0),T13*10+H13,""),"")</x:f>
        <x:v>62</x:v>
      </x:c>
      <x:c r="V13" s="1802" t="inlineStr">
        <x:is>
          <x:t xml:space="preserve">1. Vérifier le besoin avant chaque projet : faut-il de l’IA ou un outil informatique classique suffit-il ?
2. Choisir de petits modèles spécialisés quand ils répondent au besoin.
3. Former les développeurs et les spécialistes des données à réduire la consommation de l’IA, en améliorant le code et en évitant les calculs répétés.</x:t>
        </x:is>
      </x:c>
      <x:c r="W13" s="1122"/>
      <x:c r="X13" s="1115"/>
    </x:row>
    <x:row r="14" ht="151" customHeight="1">
      <x:c r="B14" s="1808" t="inlineStr">
        <x:is>
          <x:t xml:space="preserve">1.8</x:t>
        </x:is>
      </x:c>
      <x:c r="C14" s="1801" t="inlineStr">
        <x:is>
          <x:t xml:space="preserve">Mesurer et réduire ce que consomme l’intelligence artificielle, pendant son entraînement comme pendant son utilisation.</x:t>
        </x:is>
      </x:c>
      <x:c r="D14" s="1802" t="inlineStr">
        <x:is>
          <x:t xml:space="preserve">Avantages possibles : maîtriser les coûts du matériel et des services d’IA, et réduire les émissions de gaz à effet de serre liées à leur entraînement et à leur utilisation.
Risque : utiliser l’IA par effet de mode, sans besoin réel, et consommer davantage de ressources.</x:t>
        </x:is>
      </x:c>
      <x:c r="E14" s="1806">
        <x:v>3</x:v>
      </x:c>
      <x:c r="F14" s="1806">
        <x:v>1</x:v>
      </x:c>
      <x:c r="G14" s="1802" t="inlineStr">
        <x:is>
          <x:t xml:space="preserve">Les équipes métiers expérimentent plusieurs projets d’IA générative, dont des usages de ChatGPT. Elles ne mesurent pas leur impact énergétique et ne disposent pas de charte pour encadrer les besoins et les usages.</x:t>
        </x:is>
      </x:c>
      <x:c r="H14" s="1806">
        <x:v>2</x:v>
      </x:c>
      <x:c r="I14" s="1803" t="inlineStr">
        <x:is>
          <x:t xml:space="preserve">Point fort : l’équipe chargée des données et de l’informatique dispose de compétences techniques et souhaite explorer ces outils.
Points faibles : elle connaît peu les méthodes pour mesurer et réduire la consommation de l’IA. Elle manque aussi de recul pour savoir quand l’IA est utile.</x:t>
        </x:is>
      </x:c>
      <x:c r="J14" s="1810" t="str">
        <x:f>S14</x:f>
        <x:v>Intervention urgente</x:v>
      </x:c>
      <x:c r="K14" s="1790" t="n">
        <x:f>IF(IF(ISNUMBER(E14),AND(E14&gt;=0,E14&lt;=3,MOD(E14,1)=0),FALSE),IF(E14=0,0,IF(IF(ISNUMBER(F14),AND(F14&gt;=1,F14&lt;=4,MOD(F14,1)=0),FALSE),E14*10+F14,"")),"")</x:f>
        <x:v>31</x:v>
      </x:c>
      <x:c r="L14" s="1790" t="b">
        <x:f>IF(ISNUMBER(K14),K14=31,FALSE)</x:f>
        <x:v>1</x:v>
      </x:c>
      <x:c r="M14" s="1790" t="b">
        <x:f>IF(ISNUMBER(K14),OR(K14=21,K14=32),FALSE)</x:f>
        <x:v>0</x:v>
      </x:c>
      <x:c r="N14" s="1790" t="b">
        <x:f>IF(ISNUMBER(K14),OR(K14=22,K14=33),FALSE)</x:f>
        <x:v>0</x:v>
      </x:c>
      <x:c r="O14" s="1790" t="b">
        <x:f>IF(ISNUMBER(K14),OR(K14=11,K14=12),FALSE)</x:f>
        <x:v>0</x:v>
      </x:c>
      <x:c r="P14" s="1790" t="b">
        <x:f>IF(ISNUMBER(K14),OR(K14=23,K14=34),FALSE)</x:f>
        <x:v>0</x:v>
      </x:c>
      <x:c r="Q14" s="1790" t="b">
        <x:f>IF(ISNUMBER(K14),OR(K14=13,K14=14,K14=24),FALSE)</x:f>
        <x:v>0</x:v>
      </x:c>
      <x:c r="R14" s="1790" t="b">
        <x:f>IF(ISNUMBER(K14),K14=0,FALSE)</x:f>
        <x:v>0</x:v>
      </x:c>
      <x:c r="S14" s="1790" t="str">
        <x:f>IF(ISNUMBER(T14),INDEX($L$5:$R$5,1,7-T14),"")</x:f>
        <x:v>Intervention urgente</x:v>
      </x:c>
      <x:c r="T14" s="1790" t="n">
        <x:f>IF(ISNUMBER(K14),IF(L14,6,IF(M14,5,IF(N14,4,IF(O14,3,IF(P14,2,IF(Q14,1,0)))))),"")</x:f>
        <x:v>6</x:v>
      </x:c>
      <x:c r="U14" s="1794" t="n">
        <x:f>IF(AND(ISNUMBER(T14),ISNUMBER(H14)),IF(AND(H14&gt;=1,H14&lt;=4,MOD(H14,1)=0),T14*10+H14,""),"")</x:f>
        <x:v>62</x:v>
      </x:c>
      <x:c r="V14" s="1802" t="inlineStr">
        <x:is>
          <x:t xml:space="preserve">1. Vérifier le besoin avant chaque projet : faut-il de l’IA ou un outil informatique classique suffit-il ?
2. Choisir de petits modèles spécialisés quand ils répondent au besoin.
3. Former les développeurs et les spécialistes des données à réduire la consommation de l’IA, en améliorant le code et en évitant les calculs répétés.</x:t>
        </x:is>
      </x:c>
      <x:c r="W14" s="1122"/>
      <x:c r="X14" s="1115"/>
    </x:row>
  </x:sheetData>
  <x:mergeCells>
    <x:mergeCell ref="B6:W6"/>
    <x:mergeCell ref="B4:C5"/>
    <x:mergeCell ref="D4:E4"/>
    <x:mergeCell ref="F4:G4"/>
    <x:mergeCell ref="H4:I4"/>
    <x:mergeCell ref="V4:X4"/>
    <x:mergeCell ref="B2:J3"/>
  </x:mergeCells>
  <x:conditionalFormatting sqref="J7:J14">
    <x:cfRule type="expression" dxfId="1626" priority="271">
      <x:formula>AND(ISNUMBER($T7),$T7=6)</x:formula>
    </x:cfRule>
    <x:cfRule type="expression" dxfId="1627" priority="272">
      <x:formula>AND(ISNUMBER($T7),$T7=5)</x:formula>
    </x:cfRule>
    <x:cfRule type="expression" dxfId="1628" priority="273">
      <x:formula>AND(ISNUMBER($T7),$T7=4)</x:formula>
    </x:cfRule>
    <x:cfRule type="expression" dxfId="1629" priority="274">
      <x:formula>AND(ISNUMBER($T7),$T7=3)</x:formula>
    </x:cfRule>
    <x:cfRule type="expression" dxfId="1630" priority="275">
      <x:formula>AND(ISNUMBER($T7),$T7=2)</x:formula>
    </x:cfRule>
    <x:cfRule type="expression" dxfId="1631" priority="276">
      <x:formula>AND(ISNUMBER($T7),$T7=1)</x:formula>
    </x:cfRule>
    <x:cfRule type="expression" dxfId="1632" priority="277">
      <x:formula>AND(ISNUMBER($T7),$T7=0)</x:formula>
    </x:cfRule>
  </x:conditionalFormatting>
  <x:dataValidations count="3">
    <x:dataValidation type="list" allowBlank="1" showInputMessage="1" showErrorMessage="1" errorStyle="stop" showDropDown="0" sqref="E7:E14"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4"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4"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5.xml><?xml version="1.0" encoding="utf-8"?>
<x:worksheet xmlns:x="http://schemas.openxmlformats.org/spreadsheetml/2006/main">
  <x:sheetPr>
    <x:tabColor theme="9"/>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8" hidden="0" customWidth="1"/>
    <x:col min="2" max="2" width="7" style="871" hidden="0" customWidth="1"/>
    <x:col min="3" max="3" width="44" style="872" hidden="0" customWidth="1"/>
    <x:col min="4" max="4" width="34" style="873" hidden="0" customWidth="1"/>
    <x:col min="5" max="5" width="9" style="868" hidden="0" customWidth="1"/>
    <x:col min="6" max="6" width="9" style="874" hidden="0" customWidth="1"/>
    <x:col min="7" max="7" width="34" style="873" hidden="0" customWidth="1"/>
    <x:col min="8" max="8" width="12" style="873" hidden="0" customWidth="1"/>
    <x:col min="9" max="9" width="32" style="873" hidden="0" customWidth="1"/>
    <x:col min="10" max="10" width="23" style="873" hidden="0" customWidth="1"/>
    <x:col min="11" max="11" width="5.6640625" style="868" hidden="1" customWidth="1"/>
    <x:col min="12" max="12" width="5.6640625" style="868" hidden="1" customWidth="1"/>
    <x:col min="13" max="13" width="5.6640625" style="868" hidden="1" customWidth="1"/>
    <x:col min="14" max="14" width="5.6640625" style="868" hidden="1" customWidth="1"/>
    <x:col min="15" max="15" width="5.6640625" style="868" hidden="1" customWidth="1"/>
    <x:col min="16" max="16" width="5.6640625" style="868" hidden="1" customWidth="1"/>
    <x:col min="17" max="17" width="5.6640625" style="868" hidden="1" customWidth="1"/>
    <x:col min="18" max="18" width="5.6640625" style="868" hidden="1" customWidth="1"/>
    <x:col min="19" max="19" width="5.6640625" style="868" hidden="1" customWidth="1"/>
    <x:col min="20" max="20" width="5.6640625" style="868" hidden="1" customWidth="1"/>
    <x:col min="21" max="21" width="5.6640625" style="868" hidden="1" customWidth="1"/>
    <x:col min="22" max="22" width="46" style="873" hidden="0" customWidth="1"/>
    <x:col min="23" max="23" width="42.6640625" style="873" hidden="1" customWidth="1"/>
    <x:col min="24" max="24" width="42.6640625" style="868" hidden="1" customWidth="1"/>
    <x:col min="25" max="25" width="10.6640625" style="868" customWidth="0" hidden="0"/>
    <x:col min="26" max="26" width="10.6640625" style="868" customWidth="0" hidden="0"/>
    <x:col min="27" max="27" width="10.6640625" style="868" customWidth="0" hidden="0"/>
    <x:col min="28" max="28" width="10.6640625" style="868" customWidth="0" hidden="0"/>
    <x:col min="29" max="29" width="10.6640625" style="868" customWidth="0" hidden="0"/>
    <x:col min="30" max="30" width="10.6640625" style="868" customWidth="0" hidden="0"/>
    <x:col min="31" max="31" width="10.6640625" style="868" customWidth="0" hidden="0"/>
    <x:col min="32" max="32" width="10.6640625" style="868" customWidth="0" hidden="0"/>
    <x:col min="33" max="33" width="10.6640625" style="868" customWidth="0" hidden="0"/>
    <x:col min="34" max="34" width="10.6640625" style="868" customWidth="0" hidden="0"/>
    <x:col min="35" max="35" width="10.6640625" style="868" customWidth="0" hidden="0"/>
    <x:col min="36" max="36" width="10.6640625" style="868" customWidth="0" hidden="0"/>
    <x:col min="37" max="37" width="10.6640625" style="868" customWidth="0" hidden="0"/>
    <x:col min="38" max="38" width="10.6640625" style="868" customWidth="0" hidden="0"/>
    <x:col min="39" max="39" width="10.6640625" style="868" customWidth="0" hidden="0"/>
    <x:col min="40" max="40" width="10.6640625" style="868" customWidth="0" hidden="0"/>
    <x:col min="41" max="41" width="10.6640625" style="868" customWidth="0" hidden="0"/>
    <x:col min="42" max="42" width="10.6640625" style="868" customWidth="0" hidden="0"/>
    <x:col min="43" max="43" width="10.6640625" style="868" customWidth="0" hidden="0"/>
    <x:col min="44" max="44" width="10.6640625" style="868" customWidth="0" hidden="0"/>
    <x:col min="45" max="45" width="10.6640625" style="868" customWidth="0" hidden="0"/>
  </x:cols>
  <x:sheetData>
    <x:row r="1" s="863" customFormat="1" ht="8" customHeight="1">
      <x:c r="B1" s="864"/>
      <x:c r="C1" s="865"/>
      <x:c r="D1" s="866"/>
      <x:c r="F1" s="867"/>
      <x:c r="G1" s="866"/>
      <x:c r="H1" s="866"/>
      <x:c r="I1" s="866"/>
      <x:c r="J1" s="866"/>
      <x:c r="L1" s="863">
        <x:v>0</x:v>
      </x:c>
      <x:c r="M1" s="863">
        <x:v>1</x:v>
      </x:c>
      <x:c r="N1" s="863">
        <x:v>2</x:v>
      </x:c>
      <x:c r="O1" s="863">
        <x:v>3</x:v>
      </x:c>
      <x:c r="P1" s="863">
        <x:v>4</x:v>
      </x:c>
      <x:c r="Q1" s="863">
        <x:v>5</x:v>
      </x:c>
      <x:c r="V1" s="866"/>
      <x:c r="W1" s="866"/>
    </x:row>
    <x:row r="2" s="863" customFormat="1" ht="30" customHeight="1">
      <x:c r="B2" s="1719" t="str">
        <x:v>ONR 2 : Inclusion · Développer des services numériques durables que toutes et tous peuvent utiliser</x:v>
      </x:c>
      <x:c r="C2" s="1720"/>
      <x:c r="D2" s="1720"/>
      <x:c r="E2" s="1720"/>
      <x:c r="F2" s="1720"/>
      <x:c r="G2" s="1721"/>
      <x:c r="H2" s="1726"/>
      <x:c r="I2" s="1726"/>
      <x:c r="J2" s="1726"/>
      <x:c r="V2" s="866"/>
      <x:c r="W2" s="866"/>
    </x:row>
    <x:row r="3" s="863" customFormat="1" ht="24" customHeight="1">
      <x:c r="B3" s="1723"/>
      <x:c r="C3" s="1724"/>
      <x:c r="D3" s="1724"/>
      <x:c r="E3" s="1724"/>
      <x:c r="F3" s="1724"/>
      <x:c r="G3" s="1724"/>
      <x:c r="H3" s="1724"/>
      <x:c r="I3" s="1724"/>
      <x:c r="J3" s="1724"/>
      <x:c r="K3" s="1161"/>
      <x:c r="L3" s="1161"/>
      <x:c r="M3" s="1161"/>
      <x:c r="N3" s="1161"/>
      <x:c r="O3" s="1161"/>
      <x:c r="P3" s="1161"/>
      <x:c r="Q3" s="1161"/>
      <x:c r="R3" s="1161"/>
      <x:c r="S3" s="1161"/>
      <x:c r="T3" s="1161"/>
      <x:c r="U3" s="1161"/>
      <x:c r="V3" s="1161"/>
      <x:c r="W3" s="1161"/>
      <x:c r="X3" s="1161"/>
    </x:row>
    <x:row r="4" ht="27" customHeight="1">
      <x:c r="A4" s="863"/>
      <x:c r="B4" s="1826" t="str">
        <x:v>Cibles à évaluer</x:v>
      </x:c>
      <x:c r="C4" s="1827"/>
      <x:c r="D4" s="1739" t="inlineStr">
        <x:is>
          <x:t xml:space="preserve">Importance de la cible</x:t>
        </x:is>
      </x:c>
      <x:c r="E4" s="1740"/>
      <x:c r="F4" s="1743" t="inlineStr">
        <x:is>
          <x:t xml:space="preserve">Performance actuelle</x:t>
        </x:is>
      </x:c>
      <x:c r="G4" s="1744"/>
      <x:c r="H4" s="1747" t="str">
        <x:v>Compétences internes et externes</x:v>
      </x:c>
      <x:c r="I4" s="1748"/>
      <x:c r="J4" s="1751" t="inlineStr">
        <x:is>
          <x:t xml:space="preserve">Priorité</x:t>
        </x:is>
      </x:c>
      <x:c r="K4" s="1643"/>
      <x:c r="L4" s="1643"/>
      <x:c r="M4" s="1643"/>
      <x:c r="N4" s="1643"/>
      <x:c r="O4" s="1643"/>
      <x:c r="P4" s="1643"/>
      <x:c r="Q4" s="1643"/>
      <x:c r="R4" s="1643"/>
      <x:c r="S4" s="1643"/>
      <x:c r="T4" s="1643"/>
      <x:c r="U4" s="1643"/>
      <x:c r="V4" s="1753" t="inlineStr">
        <x:is>
          <x:t xml:space="preserve">Mise en œuvre</x:t>
        </x:is>
      </x:c>
      <x:c r="W4" s="1754"/>
      <x:c r="X4" s="1754"/>
    </x:row>
    <x:row r="5" s="870" customFormat="1" ht="56" customHeight="1">
      <x:c r="A5" s="869"/>
      <x:c r="B5" s="1828"/>
      <x:c r="C5" s="1829"/>
      <x:c r="D5" s="1741" t="inlineStr">
        <x:is>
          <x:t xml:space="preserve">Avantages possibles et risques</x:t>
        </x:is>
      </x:c>
      <x:c r="E5" s="1742" t="inlineStr">
        <x:is>
          <x:t xml:space="preserve">Importance</x:t>
        </x:is>
      </x:c>
      <x:c r="F5" s="1745" t="inlineStr">
        <x:is>
          <x:t xml:space="preserve">Niveau actuel</x:t>
        </x:is>
      </x:c>
      <x:c r="G5" s="1746" t="inlineStr">
        <x:is>
          <x:t xml:space="preserve">Ce qui est déjà fait et ce qui justifie la note</x:t>
        </x:is>
      </x:c>
      <x:c r="H5" s="1749" t="inlineStr">
        <x:is>
          <x:t xml:space="preserve">Compétences nécessaires</x:t>
        </x:is>
      </x:c>
      <x:c r="I5" s="1750" t="inlineStr">
        <x:is>
          <x:t xml:space="preserve">Points forts et points faibles</x:t>
        </x:is>
      </x:c>
      <x:c r="J5" s="1752" t="inlineStr">
        <x:is>
          <x:t xml:space="preserve">Niveau de priorité</x:t>
        </x:is>
      </x:c>
      <x:c r="K5" s="1762" t="inlineStr">
        <x:is>
          <x:t xml:space="preserve">Clé de priorisation</x:t>
        </x:is>
      </x:c>
      <x:c r="L5" s="1655" t="inlineStr">
        <x:is>
          <x:t xml:space="preserve">Intervention urgente</x:t>
        </x:is>
      </x:c>
      <x:c r="M5" s="1656" t="inlineStr">
        <x:is>
          <x:t xml:space="preserve">Intervention prioritaire</x:t>
        </x:is>
      </x:c>
      <x:c r="N5" s="1657" t="inlineStr">
        <x:is>
          <x:t xml:space="preserve">Intervention à moyen terme</x:t>
        </x:is>
      </x:c>
      <x:c r="O5" s="1658" t="inlineStr">
        <x:is>
          <x:t xml:space="preserve">Intervention à long terme</x:t>
        </x:is>
      </x:c>
      <x:c r="P5" s="1659" t="inlineStr">
        <x:is>
          <x:t xml:space="preserve">Intervention de consolidation</x:t>
        </x:is>
      </x:c>
      <x:c r="Q5" s="1660" t="inlineStr">
        <x:is>
          <x:t xml:space="preserve">Intervention non prioritaire</x:t>
        </x:is>
      </x:c>
      <x:c r="R5" s="1661" t="inlineStr">
        <x:is>
          <x:t xml:space="preserve">Intervention non pertinente</x:t>
        </x:is>
      </x:c>
      <x:c r="S5" s="1763" t="inlineStr">
        <x:is>
          <x:t xml:space="preserve">Libellé de priorité</x:t>
        </x:is>
      </x:c>
      <x:c r="T5" s="1763" t="inlineStr">
        <x:is>
          <x:t xml:space="preserve">Score de priorité</x:t>
        </x:is>
      </x:c>
      <x:c r="U5" s="1763" t="inlineStr">
        <x:is>
          <x:t xml:space="preserve">Code priorité et compétences</x:t>
        </x:is>
      </x:c>
      <x:c r="V5" s="1830" t="inlineStr">
        <x:is>
          <x:t xml:space="preserve">Actions proposées pour atteindre la cible</x:t>
        </x:is>
      </x:c>
      <x:c r="W5" s="1757" t="inlineStr">
        <x:is>
          <x:t xml:space="preserve">Adhérence</x:t>
        </x:is>
      </x:c>
      <x:c r="X5" s="1757"/>
    </x:row>
    <x:row r="6" s="877" customFormat="1" ht="34" customHeight="1">
      <x:c r="A6" s="876"/>
      <x:c r="B6" s="1836" t="str">
        <x:v>Renseigner les cellules jaunes pour les notes, puis les textes utiles. La priorité se calcule automatiquement. Faire défiler vers la droite pour proposer des actions.</x:v>
      </x:c>
      <x:c r="C6" s="1837"/>
      <x:c r="D6" s="1838"/>
      <x:c r="E6" s="1838"/>
      <x:c r="F6" s="1838"/>
      <x:c r="G6" s="1838"/>
      <x:c r="H6" s="1838"/>
      <x:c r="I6" s="1838"/>
      <x:c r="J6" s="1838"/>
      <x:c r="K6" s="1838"/>
      <x:c r="L6" s="1838"/>
      <x:c r="M6" s="1838"/>
      <x:c r="N6" s="1838"/>
      <x:c r="O6" s="1838"/>
      <x:c r="P6" s="1838"/>
      <x:c r="Q6" s="1838"/>
      <x:c r="R6" s="1838"/>
      <x:c r="S6" s="1838"/>
      <x:c r="T6" s="1838"/>
      <x:c r="U6" s="1838"/>
      <x:c r="V6" s="1839"/>
      <x:c r="W6" s="1840"/>
      <x:c r="X6" s="1130"/>
    </x:row>
    <x:row r="7" s="954" customFormat="1" ht="70" customHeight="1">
      <x:c r="A7" s="953"/>
      <x:c r="B7" s="1808" t="inlineStr">
        <x:is>
          <x:t xml:space="preserve">2.1</x:t>
        </x:is>
      </x:c>
      <x:c r="C7" s="1800" t="inlineStr">
        <x:is>
          <x:t xml:space="preserve">Intégrer dans tous les achats des exigences qui tiennent compte de leurs effets sur la société et l’environnement.</x:t>
        </x:is>
      </x:c>
      <x:c r="D7" s="1802"/>
      <x:c r="E7" s="1806"/>
      <x:c r="F7" s="1806"/>
      <x:c r="G7" s="1802"/>
      <x:c r="H7" s="1806"/>
      <x:c r="I7" s="1802"/>
      <x:c r="J7" s="1810" t="str">
        <x:f t="shared" ref="J7:J9" si="0">S7</x:f>
      </x:c>
      <x:c r="K7" s="1787" t="str">
        <x:f>IF(IF(ISNUMBER(E7),AND(E7&gt;=0,E7&lt;=3,MOD(E7,1)=0),FALSE),IF(E7=0,0,IF(IF(ISNUMBER(F7),AND(F7&gt;=1,F7&lt;=4,MOD(F7,1)=0),FALSE),E7*10+F7,"")),"")</x:f>
      </x:c>
      <x:c r="L7" s="1787" t="b">
        <x:f>IF(ISNUMBER(K7),K7=31,FALSE)</x:f>
        <x:v>0</x:v>
      </x:c>
      <x:c r="M7" s="1787" t="b">
        <x:f>IF(ISNUMBER(K7),OR(K7=21,K7=32),FALSE)</x:f>
        <x:v>0</x:v>
      </x:c>
      <x:c r="N7" s="1787" t="b">
        <x:f>IF(ISNUMBER(K7),OR(K7=22,K7=33),FALSE)</x:f>
        <x:v>0</x:v>
      </x:c>
      <x:c r="O7" s="1787" t="b">
        <x:f>IF(ISNUMBER(K7),OR(K7=11,K7=12),FALSE)</x:f>
        <x:v>0</x:v>
      </x:c>
      <x:c r="P7" s="1787" t="b">
        <x:f>IF(ISNUMBER(K7),OR(K7=23,K7=34),FALSE)</x:f>
        <x:v>0</x:v>
      </x:c>
      <x:c r="Q7" s="1787" t="b">
        <x:f>IF(ISNUMBER(K7),OR(K7=13,K7=14,K7=24),FALSE)</x:f>
        <x:v>0</x:v>
      </x:c>
      <x:c r="R7" s="1787" t="b">
        <x:f>IF(ISNUMBER(K7),K7=0,FALSE)</x:f>
        <x:v>0</x:v>
      </x:c>
      <x:c r="S7" s="1787" t="str">
        <x:f>IF(ISNUMBER(T7),INDEX($L$5:$R$5,1,7-T7),"")</x:f>
      </x:c>
      <x:c r="T7" s="1787" t="str">
        <x:f>IF(ISNUMBER(K7),IF(L7,6,IF(M7,5,IF(N7,4,IF(O7,3,IF(P7,2,IF(Q7,1,0)))))),"")</x:f>
      </x:c>
      <x:c r="U7" s="1787" t="str">
        <x:f>IF(AND(ISNUMBER(T7),ISNUMBER(H7)),IF(AND(H7&gt;=1,H7&lt;=4,MOD(H7,1)=0),T7*10+H7,""),"")</x:f>
      </x:c>
      <x:c r="V7" s="1802"/>
      <x:c r="W7" s="1124"/>
      <x:c r="X7" s="1114"/>
    </x:row>
    <x:row r="8" s="954" customFormat="1" ht="76" customHeight="1">
      <x:c r="A8" s="953"/>
      <x:c r="B8" s="1808" t="inlineStr">
        <x:is>
          <x:t xml:space="preserve">2.2</x:t>
        </x:is>
      </x:c>
      <x:c r="C8" s="1800" t="inlineStr">
        <x:is>
          <x:t xml:space="preserve">Rendre les services numériques accessibles à toutes et tous. Mesurer leur respect du RGAA, le référentiel français sur l’accessibilité numérique.</x:t>
        </x:is>
      </x:c>
      <x:c r="D8" s="1802"/>
      <x:c r="E8" s="1806"/>
      <x:c r="F8" s="1806"/>
      <x:c r="G8" s="1802"/>
      <x:c r="H8" s="1806"/>
      <x:c r="I8" s="1802"/>
      <x:c r="J8" s="1810" t="str">
        <x:f t="shared" si="0">S8</x:f>
      </x:c>
      <x:c r="K8" s="1787" t="str">
        <x:f>IF(IF(ISNUMBER(E8),AND(E8&gt;=0,E8&lt;=3,MOD(E8,1)=0),FALSE),IF(E8=0,0,IF(IF(ISNUMBER(F8),AND(F8&gt;=1,F8&lt;=4,MOD(F8,1)=0),FALSE),E8*10+F8,"")),"")</x:f>
      </x:c>
      <x:c r="L8" s="1787" t="b">
        <x:f>IF(ISNUMBER(K8),K8=31,FALSE)</x:f>
        <x:v>0</x:v>
      </x:c>
      <x:c r="M8" s="1787" t="b">
        <x:f>IF(ISNUMBER(K8),OR(K8=21,K8=32),FALSE)</x:f>
        <x:v>0</x:v>
      </x:c>
      <x:c r="N8" s="1787" t="b">
        <x:f>IF(ISNUMBER(K8),OR(K8=22,K8=33),FALSE)</x:f>
        <x:v>0</x:v>
      </x:c>
      <x:c r="O8" s="1787" t="b">
        <x:f>IF(ISNUMBER(K8),OR(K8=11,K8=12),FALSE)</x:f>
        <x:v>0</x:v>
      </x:c>
      <x:c r="P8" s="1787" t="b">
        <x:f>IF(ISNUMBER(K8),OR(K8=23,K8=34),FALSE)</x:f>
        <x:v>0</x:v>
      </x:c>
      <x:c r="Q8" s="1787" t="b">
        <x:f>IF(ISNUMBER(K8),OR(K8=13,K8=14,K8=24),FALSE)</x:f>
        <x:v>0</x:v>
      </x:c>
      <x:c r="R8" s="1787" t="b">
        <x:f>IF(ISNUMBER(K8),K8=0,FALSE)</x:f>
        <x:v>0</x:v>
      </x:c>
      <x:c r="S8" s="1787" t="str">
        <x:f>IF(ISNUMBER(T8),INDEX($L$5:$R$5,1,7-T8),"")</x:f>
      </x:c>
      <x:c r="T8" s="1787" t="str">
        <x:f>IF(ISNUMBER(K8),IF(L8,6,IF(M8,5,IF(N8,4,IF(O8,3,IF(P8,2,IF(Q8,1,0)))))),"")</x:f>
      </x:c>
      <x:c r="U8" s="1787" t="str">
        <x:f>IF(AND(ISNUMBER(T8),ISNUMBER(H8)),IF(AND(H8&gt;=1,H8&lt;=4,MOD(H8,1)=0),T8*10+H8,""),"")</x:f>
      </x:c>
      <x:c r="V8" s="1802"/>
      <x:c r="W8" s="1110"/>
      <x:c r="X8" s="1109"/>
    </x:row>
    <x:row r="9" s="954" customFormat="1" ht="76" customHeight="1">
      <x:c r="A9" s="953"/>
      <x:c r="B9" s="1808" t="inlineStr">
        <x:is>
          <x:t xml:space="preserve">2.3</x:t>
        </x:is>
      </x:c>
      <x:c r="C9" s="1800" t="inlineStr">
        <x:is>
          <x:t xml:space="preserve">Créer des applications utiles, faciles à utiliser et réellement utilisées : les « 3 U ». Les rendre accessibles pour permettre à chacun d’utiliser le numérique.</x:t>
        </x:is>
      </x:c>
      <x:c r="D9" s="1802"/>
      <x:c r="E9" s="1806"/>
      <x:c r="F9" s="1806"/>
      <x:c r="G9" s="1802"/>
      <x:c r="H9" s="1806"/>
      <x:c r="I9" s="1802"/>
      <x:c r="J9" s="1810" t="str">
        <x:f t="shared" si="0">S9</x:f>
      </x:c>
      <x:c r="K9" s="1787" t="str">
        <x:f>IF(IF(ISNUMBER(E9),AND(E9&gt;=0,E9&lt;=3,MOD(E9,1)=0),FALSE),IF(E9=0,0,IF(IF(ISNUMBER(F9),AND(F9&gt;=1,F9&lt;=4,MOD(F9,1)=0),FALSE),E9*10+F9,"")),"")</x:f>
      </x:c>
      <x:c r="L9" s="1787" t="b">
        <x:f>IF(ISNUMBER(K9),K9=31,FALSE)</x:f>
        <x:v>0</x:v>
      </x:c>
      <x:c r="M9" s="1787" t="b">
        <x:f>IF(ISNUMBER(K9),OR(K9=21,K9=32),FALSE)</x:f>
        <x:v>0</x:v>
      </x:c>
      <x:c r="N9" s="1787" t="b">
        <x:f>IF(ISNUMBER(K9),OR(K9=22,K9=33),FALSE)</x:f>
        <x:v>0</x:v>
      </x:c>
      <x:c r="O9" s="1787" t="b">
        <x:f>IF(ISNUMBER(K9),OR(K9=11,K9=12),FALSE)</x:f>
        <x:v>0</x:v>
      </x:c>
      <x:c r="P9" s="1787" t="b">
        <x:f>IF(ISNUMBER(K9),OR(K9=23,K9=34),FALSE)</x:f>
        <x:v>0</x:v>
      </x:c>
      <x:c r="Q9" s="1787" t="b">
        <x:f>IF(ISNUMBER(K9),OR(K9=13,K9=14,K9=24),FALSE)</x:f>
        <x:v>0</x:v>
      </x:c>
      <x:c r="R9" s="1787" t="b">
        <x:f>IF(ISNUMBER(K9),K9=0,FALSE)</x:f>
        <x:v>0</x:v>
      </x:c>
      <x:c r="S9" s="1787" t="str">
        <x:f>IF(ISNUMBER(T9),INDEX($L$5:$R$5,1,7-T9),"")</x:f>
      </x:c>
      <x:c r="T9" s="1787" t="str">
        <x:f>IF(ISNUMBER(K9),IF(L9,6,IF(M9,5,IF(N9,4,IF(O9,3,IF(P9,2,IF(Q9,1,0)))))),"")</x:f>
      </x:c>
      <x:c r="U9" s="1787" t="str">
        <x:f>IF(AND(ISNUMBER(T9),ISNUMBER(H9)),IF(AND(H9&gt;=1,H9&lt;=4,MOD(H9,1)=0),T9*10+H9,""),"")</x:f>
      </x:c>
      <x:c r="V9" s="1802"/>
      <x:c r="W9" s="1123"/>
      <x:c r="X9" s="1115"/>
    </x:row>
    <x:row r="10" s="954" customFormat="1" ht="70" customHeight="1">
      <x:c r="A10" s="953"/>
      <x:c r="B10" s="1808" t="inlineStr">
        <x:is>
          <x:t xml:space="preserve">2.4</x:t>
        </x:is>
      </x:c>
      <x:c r="C10" s="1800" t="inlineStr">
        <x:is>
          <x:t xml:space="preserve">Concevoir les services avec leurs utilisateurs et utilisatrices, en se concentrant sur leurs besoins réels.</x:t>
        </x:is>
      </x:c>
      <x:c r="D10" s="1802"/>
      <x:c r="E10" s="1806"/>
      <x:c r="F10" s="1806"/>
      <x:c r="G10" s="1802"/>
      <x:c r="H10" s="1806"/>
      <x:c r="I10" s="1802"/>
      <x:c r="J10" s="1810" t="str">
        <x:f>S10</x:f>
      </x:c>
      <x:c r="K10" s="1781" t="str">
        <x:f>IF(IF(ISNUMBER(E10),AND(E10&gt;=0,E10&lt;=3,MOD(E10,1)=0),FALSE),IF(E10=0,0,IF(IF(ISNUMBER(F10),AND(F10&gt;=1,F10&lt;=4,MOD(F10,1)=0),FALSE),E10*10+F10,"")),"")</x:f>
      </x:c>
      <x:c r="L10" s="1781" t="b">
        <x:f>IF(ISNUMBER(K10),K10=31,FALSE)</x:f>
        <x:v>0</x:v>
      </x:c>
      <x:c r="M10" s="1781" t="b">
        <x:f>IF(ISNUMBER(K10),OR(K10=21,K10=32),FALSE)</x:f>
        <x:v>0</x:v>
      </x:c>
      <x:c r="N10" s="1781" t="b">
        <x:f>IF(ISNUMBER(K10),OR(K10=22,K10=33),FALSE)</x:f>
        <x:v>0</x:v>
      </x:c>
      <x:c r="O10" s="1781" t="b">
        <x:f>IF(ISNUMBER(K10),OR(K10=11,K10=12),FALSE)</x:f>
        <x:v>0</x:v>
      </x:c>
      <x:c r="P10" s="1781" t="b">
        <x:f>IF(ISNUMBER(K10),OR(K10=23,K10=34),FALSE)</x:f>
        <x:v>0</x:v>
      </x:c>
      <x:c r="Q10" s="1781" t="b">
        <x:f>IF(ISNUMBER(K10),OR(K10=13,K10=14,K10=24),FALSE)</x:f>
        <x:v>0</x:v>
      </x:c>
      <x:c r="R10" s="1781" t="b">
        <x:f>IF(ISNUMBER(K10),K10=0,FALSE)</x:f>
        <x:v>0</x:v>
      </x:c>
      <x:c r="S10" s="1781" t="str">
        <x:f>IF(ISNUMBER(T10),INDEX($L$5:$R$5,1,7-T10),"")</x:f>
      </x:c>
      <x:c r="T10" s="1781" t="str">
        <x:f>IF(ISNUMBER(K10),IF(L10,6,IF(M10,5,IF(N10,4,IF(O10,3,IF(P10,2,IF(Q10,1,0)))))),"")</x:f>
      </x:c>
      <x:c r="U10" s="1794" t="str">
        <x:f>IF(AND(ISNUMBER(T10),ISNUMBER(H10)),IF(AND(H10&gt;=1,H10&lt;=4,MOD(H10,1)=0),T10*10+H10,""),"")</x:f>
      </x:c>
      <x:c r="V10" s="1802"/>
      <x:c r="W10" s="1110"/>
      <x:c r="X10" s="1109"/>
    </x:row>
    <x:row r="11" s="954" customFormat="1" ht="70" customHeight="1">
      <x:c r="A11" s="953"/>
      <x:c r="B11" s="1808" t="inlineStr">
        <x:is>
          <x:t xml:space="preserve">2.5</x:t>
        </x:is>
      </x:c>
      <x:c r="C11" s="1800" t="inlineStr">
        <x:is>
          <x:t xml:space="preserve">Vérifier que l’intelligence artificielle ne discrimine personne et que ses services peuvent être utilisés par toutes et tous.</x:t>
        </x:is>
      </x:c>
      <x:c r="D11" s="1802"/>
      <x:c r="E11" s="1806"/>
      <x:c r="F11" s="1806"/>
      <x:c r="G11" s="1802"/>
      <x:c r="H11" s="1806"/>
      <x:c r="I11" s="1802"/>
      <x:c r="J11" s="1810" t="n">
        <x:f>S11</x:f>
        <x:v>0</x:v>
      </x:c>
      <x:c r="K11" s="1781" t="str">
        <x:f>IF(IF(ISNUMBER(E11),AND(E11&gt;=0,E11&lt;=3,MOD(E11,1)=0),FALSE),IF(E11=0,0,IF(IF(ISNUMBER(F11),AND(F11&gt;=1,F11&lt;=4,MOD(F11,1)=0),FALSE),E11*10+F11,"")),"")</x:f>
      </x:c>
      <x:c r="L11" s="1781" t="b">
        <x:f>IF(ISNUMBER(K11),K11=31,FALSE)</x:f>
        <x:v>0</x:v>
      </x:c>
      <x:c r="M11" s="1781" t="b">
        <x:f>IF(ISNUMBER(K11),OR(K11=21,K11=32),FALSE)</x:f>
        <x:v>0</x:v>
      </x:c>
      <x:c r="N11" s="1781" t="b">
        <x:f>IF(ISNUMBER(K11),OR(K11=22,K11=33),FALSE)</x:f>
        <x:v>0</x:v>
      </x:c>
      <x:c r="O11" s="1781" t="b">
        <x:f>IF(ISNUMBER(K11),OR(K11=11,K11=12),FALSE)</x:f>
        <x:v>0</x:v>
      </x:c>
      <x:c r="P11" s="1781" t="b">
        <x:f>IF(ISNUMBER(K11),OR(K11=23,K11=34),FALSE)</x:f>
        <x:v>0</x:v>
      </x:c>
      <x:c r="Q11" s="1781" t="b">
        <x:f>IF(ISNUMBER(K11),OR(K11=13,K11=14,K11=24),FALSE)</x:f>
        <x:v>0</x:v>
      </x:c>
      <x:c r="R11" s="1781" t="b">
        <x:f>IF(ISNUMBER(K11),K11=0,FALSE)</x:f>
        <x:v>0</x:v>
      </x:c>
      <x:c r="S11" s="1781" t="str">
        <x:f>IF(ISNUMBER(T11),INDEX($L$5:$R$5,1,7-T11),"")</x:f>
      </x:c>
      <x:c r="T11" s="1781" t="str">
        <x:f>IF(ISNUMBER(K11),IF(L11,6,IF(M11,5,IF(N11,4,IF(O11,3,IF(P11,2,IF(Q11,1,0)))))),"")</x:f>
      </x:c>
      <x:c r="U11" s="1794" t="str">
        <x:f>IF(AND(ISNUMBER(T11),ISNUMBER(H11)),IF(AND(H11&gt;=1,H11&lt;=4,MOD(H11,1)=0),T11*10+H11,""),"")</x:f>
      </x:c>
      <x:c r="V11" s="1802"/>
      <x:c r="W11" s="1110"/>
      <x:c r="X11" s="1109"/>
    </x:row>
    <x:row r="12">
      <x:c r="V12" s="895"/>
    </x:row>
  </x:sheetData>
  <x:mergeCells>
    <x:mergeCell ref="V4:X4"/>
    <x:mergeCell ref="B4:C5"/>
    <x:mergeCell ref="D4:E4"/>
    <x:mergeCell ref="F4:G4"/>
    <x:mergeCell ref="H4:I4"/>
    <x:mergeCell ref="B2:J3"/>
  </x:mergeCells>
  <x:conditionalFormatting sqref="J7:J11">
    <x:cfRule type="expression" dxfId="1633" priority="498">
      <x:formula>AND(ISNUMBER($T7),$T7=6)</x:formula>
    </x:cfRule>
    <x:cfRule type="expression" dxfId="1634" priority="499">
      <x:formula>AND(ISNUMBER($T7),$T7=5)</x:formula>
    </x:cfRule>
    <x:cfRule type="expression" dxfId="1635" priority="500">
      <x:formula>AND(ISNUMBER($T7),$T7=4)</x:formula>
    </x:cfRule>
    <x:cfRule type="expression" dxfId="1636" priority="501">
      <x:formula>AND(ISNUMBER($T7),$T7=3)</x:formula>
    </x:cfRule>
    <x:cfRule type="expression" dxfId="1637" priority="502">
      <x:formula>AND(ISNUMBER($T7),$T7=2)</x:formula>
    </x:cfRule>
    <x:cfRule type="expression" dxfId="1638" priority="503">
      <x:formula>AND(ISNUMBER($T7),$T7=1)</x:formula>
    </x:cfRule>
    <x:cfRule type="expression" dxfId="1639" priority="504">
      <x:formula>AND(ISNUMBER($T7),$T7=0)</x:formula>
    </x:cfRule>
  </x:conditionalFormatting>
  <x:dataValidations count="3">
    <x:dataValidation type="list" allowBlank="1" showInputMessage="1" showErrorMessage="1" errorStyle="stop" showDropDown="0" sqref="E7:E11"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1"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1"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6.xml><?xml version="1.0" encoding="utf-8"?>
<x:worksheet xmlns:x="http://schemas.openxmlformats.org/spreadsheetml/2006/main">
  <x:sheetPr>
    <x:tabColor rgb="FF92D05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8" hidden="0" customWidth="1"/>
    <x:col min="2" max="2" width="7" style="871" hidden="0" customWidth="1"/>
    <x:col min="3" max="3" width="44" style="872" hidden="0" customWidth="1"/>
    <x:col min="4" max="4" width="34" style="873" hidden="0" customWidth="1"/>
    <x:col min="5" max="5" width="9" style="868" hidden="0" customWidth="1"/>
    <x:col min="6" max="6" width="9" style="874" hidden="0" customWidth="1"/>
    <x:col min="7" max="7" width="34" style="873" hidden="0" customWidth="1"/>
    <x:col min="8" max="8" width="12" style="873" hidden="0" customWidth="1"/>
    <x:col min="9" max="9" width="32" style="873" hidden="0" customWidth="1"/>
    <x:col min="10" max="10" width="23" style="873" hidden="0" customWidth="1"/>
    <x:col min="11" max="11" width="5.6640625" style="868" hidden="1" customWidth="1"/>
    <x:col min="12" max="12" width="5.6640625" style="868" hidden="1" customWidth="1"/>
    <x:col min="13" max="13" width="5.6640625" style="868" hidden="1" customWidth="1"/>
    <x:col min="14" max="14" width="5.6640625" style="868" hidden="1" customWidth="1"/>
    <x:col min="15" max="15" width="5.6640625" style="868" hidden="1" customWidth="1"/>
    <x:col min="16" max="16" width="5.6640625" style="868" hidden="1" customWidth="1"/>
    <x:col min="17" max="17" width="5.6640625" style="868" hidden="1" customWidth="1"/>
    <x:col min="18" max="18" width="5.6640625" style="868" hidden="1" customWidth="1"/>
    <x:col min="19" max="19" width="5.6640625" style="868" hidden="1" customWidth="1"/>
    <x:col min="20" max="20" width="5.6640625" style="868" hidden="1" customWidth="1"/>
    <x:col min="21" max="21" width="5.6640625" style="868" hidden="1" customWidth="1"/>
    <x:col min="22" max="22" width="46" style="873" hidden="0" customWidth="1"/>
    <x:col min="23" max="23" width="57.5" style="873" hidden="1" customWidth="1"/>
    <x:col min="24" max="24" width="52.6640625" style="868" hidden="1" customWidth="1"/>
    <x:col min="25" max="25" width="10.6640625" style="868" customWidth="0" hidden="0"/>
    <x:col min="26" max="26" width="10.6640625" style="868" customWidth="0" hidden="0"/>
    <x:col min="27" max="27" width="10.6640625" style="868" customWidth="0" hidden="0"/>
    <x:col min="28" max="28" width="10.6640625" style="868" customWidth="0" hidden="0"/>
    <x:col min="29" max="29" width="10.6640625" style="868" customWidth="0" hidden="0"/>
    <x:col min="30" max="30" width="10.6640625" style="868" customWidth="0" hidden="0"/>
    <x:col min="31" max="31" width="10.6640625" style="868" customWidth="0" hidden="0"/>
    <x:col min="32" max="32" width="10.6640625" style="868" customWidth="0" hidden="0"/>
    <x:col min="33" max="33" width="10.6640625" style="868" customWidth="0" hidden="0"/>
    <x:col min="34" max="34" width="10.6640625" style="868" customWidth="0" hidden="0"/>
    <x:col min="35" max="35" width="10.6640625" style="868" customWidth="0" hidden="0"/>
    <x:col min="36" max="36" width="10.6640625" style="868" customWidth="0" hidden="0"/>
    <x:col min="37" max="37" width="10.6640625" style="868" customWidth="0" hidden="0"/>
    <x:col min="38" max="38" width="10.6640625" style="868" customWidth="0" hidden="0"/>
    <x:col min="39" max="39" width="10.6640625" style="868" customWidth="0" hidden="0"/>
    <x:col min="40" max="40" width="10.6640625" style="868" customWidth="0" hidden="0"/>
    <x:col min="41" max="41" width="10.6640625" style="868" customWidth="0" hidden="0"/>
    <x:col min="42" max="42" width="10.6640625" style="868" customWidth="0" hidden="0"/>
    <x:col min="43" max="43" width="10.6640625" style="868" customWidth="0" hidden="0"/>
    <x:col min="44" max="44" width="10.6640625" style="868" customWidth="0" hidden="0"/>
    <x:col min="45" max="45" width="10.6640625" style="868" customWidth="0" hidden="0"/>
  </x:cols>
  <x:sheetData>
    <x:row r="1" s="863" customFormat="1" ht="8" customHeight="1">
      <x:c r="B1" s="864"/>
      <x:c r="C1" s="865"/>
      <x:c r="D1" s="866"/>
      <x:c r="F1" s="867"/>
      <x:c r="G1" s="866"/>
      <x:c r="H1" s="866"/>
      <x:c r="I1" s="866"/>
      <x:c r="J1" s="866"/>
      <x:c r="L1" s="863">
        <x:v>0</x:v>
      </x:c>
      <x:c r="M1" s="863">
        <x:v>1</x:v>
      </x:c>
      <x:c r="N1" s="863">
        <x:v>2</x:v>
      </x:c>
      <x:c r="O1" s="863">
        <x:v>3</x:v>
      </x:c>
      <x:c r="P1" s="863">
        <x:v>4</x:v>
      </x:c>
      <x:c r="Q1" s="863">
        <x:v>5</x:v>
      </x:c>
      <x:c r="V1" s="866"/>
      <x:c r="W1" s="866"/>
    </x:row>
    <x:row r="2" s="863" customFormat="1" ht="30" customHeight="1">
      <x:c r="B2" s="1719" t="str">
        <x:v>ONR 3 : RSE · Utiliser le numérique de façon éthique et responsable</x:v>
      </x:c>
      <x:c r="C2" s="1720"/>
      <x:c r="D2" s="1720" t="inlineStr">
        <x:is>
          <x:t xml:space="preserve"> </x:t>
        </x:is>
      </x:c>
      <x:c r="E2" s="1720"/>
      <x:c r="F2" s="1720"/>
      <x:c r="G2" s="1721"/>
      <x:c r="H2" s="1726"/>
      <x:c r="I2" s="1726"/>
      <x:c r="J2" s="1726"/>
      <x:c r="V2" s="866"/>
      <x:c r="W2" s="866"/>
    </x:row>
    <x:row r="3" s="863" customFormat="1" ht="24" customHeight="1">
      <x:c r="B3" s="1850"/>
      <x:c r="C3" s="1851"/>
      <x:c r="D3" s="1851"/>
      <x:c r="E3" s="1851"/>
      <x:c r="F3" s="1851"/>
      <x:c r="G3" s="1851"/>
      <x:c r="H3" s="1851"/>
      <x:c r="I3" s="1851"/>
      <x:c r="J3" s="1852"/>
      <x:c r="K3" s="1168"/>
      <x:c r="L3" s="1168"/>
      <x:c r="M3" s="1168"/>
      <x:c r="N3" s="1168"/>
      <x:c r="O3" s="1168"/>
      <x:c r="P3" s="1168"/>
      <x:c r="Q3" s="1168"/>
      <x:c r="R3" s="1168"/>
      <x:c r="S3" s="1168"/>
      <x:c r="T3" s="1168"/>
      <x:c r="U3" s="1168"/>
      <x:c r="V3" s="1168"/>
      <x:c r="W3" s="1169"/>
    </x:row>
    <x:row r="4" ht="27" customHeight="1">
      <x:c r="A4" s="863"/>
      <x:c r="B4" s="1861" t="str">
        <x:v>Cibles à évaluer</x:v>
      </x:c>
      <x:c r="C4" s="1862"/>
      <x:c r="D4" s="1739" t="inlineStr">
        <x:is>
          <x:t xml:space="preserve">Importance de la cible</x:t>
        </x:is>
      </x:c>
      <x:c r="E4" s="1740"/>
      <x:c r="F4" s="1743" t="inlineStr">
        <x:is>
          <x:t xml:space="preserve">Performance actuelle</x:t>
        </x:is>
      </x:c>
      <x:c r="G4" s="1744"/>
      <x:c r="H4" s="1747" t="str">
        <x:v>Compétences internes et externes</x:v>
      </x:c>
      <x:c r="I4" s="1748"/>
      <x:c r="J4" s="1751" t="inlineStr">
        <x:is>
          <x:t xml:space="preserve">Priorité</x:t>
        </x:is>
      </x:c>
      <x:c r="K4" s="1643"/>
      <x:c r="L4" s="1643"/>
      <x:c r="M4" s="1643"/>
      <x:c r="N4" s="1643"/>
      <x:c r="O4" s="1643"/>
      <x:c r="P4" s="1643"/>
      <x:c r="Q4" s="1643"/>
      <x:c r="R4" s="1643"/>
      <x:c r="S4" s="1643"/>
      <x:c r="T4" s="1643"/>
      <x:c r="U4" s="1643"/>
      <x:c r="V4" s="1830" t="inlineStr">
        <x:is>
          <x:t xml:space="preserve">Mise en œuvre</x:t>
        </x:is>
      </x:c>
      <x:c r="W4" s="1757"/>
      <x:c r="X4" s="1757"/>
    </x:row>
    <x:row r="5" s="870" customFormat="1" ht="56" customHeight="1">
      <x:c r="A5" s="869"/>
      <x:c r="B5" s="1863"/>
      <x:c r="C5" s="1864"/>
      <x:c r="D5" s="1741" t="inlineStr">
        <x:is>
          <x:t xml:space="preserve">Avantages possibles et risques</x:t>
        </x:is>
      </x:c>
      <x:c r="E5" s="1742" t="inlineStr">
        <x:is>
          <x:t xml:space="preserve">Importance</x:t>
        </x:is>
      </x:c>
      <x:c r="F5" s="1745" t="inlineStr">
        <x:is>
          <x:t xml:space="preserve">Niveau actuel</x:t>
        </x:is>
      </x:c>
      <x:c r="G5" s="1746" t="inlineStr">
        <x:is>
          <x:t xml:space="preserve">Ce qui est déjà fait et ce qui justifie la note</x:t>
        </x:is>
      </x:c>
      <x:c r="H5" s="1749" t="inlineStr">
        <x:is>
          <x:t xml:space="preserve">Compétences nécessaires</x:t>
        </x:is>
      </x:c>
      <x:c r="I5" s="1750" t="inlineStr">
        <x:is>
          <x:t xml:space="preserve">Points forts et points faibles</x:t>
        </x:is>
      </x:c>
      <x:c r="J5" s="1752" t="inlineStr">
        <x:is>
          <x:t xml:space="preserve">Niveau de priorité</x:t>
        </x:is>
      </x:c>
      <x:c r="K5" s="1762" t="inlineStr">
        <x:is>
          <x:t xml:space="preserve">Clé de priorisation</x:t>
        </x:is>
      </x:c>
      <x:c r="L5" s="1655" t="inlineStr">
        <x:is>
          <x:t xml:space="preserve">Intervention urgente</x:t>
        </x:is>
      </x:c>
      <x:c r="M5" s="1656" t="inlineStr">
        <x:is>
          <x:t xml:space="preserve">Intervention prioritaire</x:t>
        </x:is>
      </x:c>
      <x:c r="N5" s="1657" t="inlineStr">
        <x:is>
          <x:t xml:space="preserve">Intervention à moyen terme</x:t>
        </x:is>
      </x:c>
      <x:c r="O5" s="1658" t="inlineStr">
        <x:is>
          <x:t xml:space="preserve">Intervention à long terme</x:t>
        </x:is>
      </x:c>
      <x:c r="P5" s="1659" t="inlineStr">
        <x:is>
          <x:t xml:space="preserve">Intervention de consolidation</x:t>
        </x:is>
      </x:c>
      <x:c r="Q5" s="1660" t="inlineStr">
        <x:is>
          <x:t xml:space="preserve">Intervention non prioritaire</x:t>
        </x:is>
      </x:c>
      <x:c r="R5" s="1661" t="inlineStr">
        <x:is>
          <x:t xml:space="preserve">Intervention non pertinente</x:t>
        </x:is>
      </x:c>
      <x:c r="S5" s="1763" t="inlineStr">
        <x:is>
          <x:t xml:space="preserve">Libellé de priorité</x:t>
        </x:is>
      </x:c>
      <x:c r="T5" s="1763" t="inlineStr">
        <x:is>
          <x:t xml:space="preserve">Score de priorité</x:t>
        </x:is>
      </x:c>
      <x:c r="U5" s="1763" t="inlineStr">
        <x:is>
          <x:t xml:space="preserve">Code priorité et compétences</x:t>
        </x:is>
      </x:c>
      <x:c r="V5" s="1830" t="inlineStr">
        <x:is>
          <x:t xml:space="preserve">Actions proposées pour atteindre la cible</x:t>
        </x:is>
      </x:c>
      <x:c r="W5" s="1757"/>
      <x:c r="X5" s="1757"/>
    </x:row>
    <x:row r="6" s="877" customFormat="1" ht="34" customHeight="1">
      <x:c r="A6" s="876"/>
      <x:c r="B6" s="1768" t="str">
        <x:v>Renseigner les cellules jaunes pour les notes, puis les textes utiles. La priorité se calcule automatiquement. Faire défiler vers la droite pour proposer des actions.</x:v>
      </x:c>
      <x:c r="C6" s="1769"/>
      <x:c r="D6" s="1770"/>
      <x:c r="E6" s="1770"/>
      <x:c r="F6" s="1770"/>
      <x:c r="G6" s="1770"/>
      <x:c r="H6" s="1770"/>
      <x:c r="I6" s="1770"/>
      <x:c r="J6" s="1770"/>
      <x:c r="K6" s="1770"/>
      <x:c r="L6" s="1770"/>
      <x:c r="M6" s="1770"/>
      <x:c r="N6" s="1770"/>
      <x:c r="O6" s="1770"/>
      <x:c r="P6" s="1770"/>
      <x:c r="Q6" s="1770"/>
      <x:c r="R6" s="1770"/>
      <x:c r="S6" s="1770"/>
      <x:c r="T6" s="1770"/>
      <x:c r="U6" s="1770"/>
      <x:c r="V6" s="1867"/>
      <x:c r="W6" s="1868"/>
    </x:row>
    <x:row r="7" s="954" customFormat="1" ht="70" customHeight="1">
      <x:c r="A7" s="953"/>
      <x:c r="B7" s="1808" t="inlineStr">
        <x:is>
          <x:t xml:space="preserve">3.1</x:t>
        </x:is>
      </x:c>
      <x:c r="C7" s="1800" t="inlineStr">
        <x:is>
          <x:t xml:space="preserve">Utiliser les données et les services numériques avec mesure, en respectant les personnes et l’environnement.</x:t>
        </x:is>
      </x:c>
      <x:c r="D7" s="1802"/>
      <x:c r="E7" s="1806"/>
      <x:c r="F7" s="1806"/>
      <x:c r="G7" s="1802"/>
      <x:c r="H7" s="1806"/>
      <x:c r="I7" s="1802"/>
      <x:c r="J7" s="1810" t="str">
        <x:f t="shared" ref="J7:J13" si="0">S7</x:f>
      </x:c>
      <x:c r="K7" s="1787" t="str">
        <x:f>IF(IF(ISNUMBER(E7),AND(E7&gt;=0,E7&lt;=3,MOD(E7,1)=0),FALSE),IF(E7=0,0,IF(IF(ISNUMBER(F7),AND(F7&gt;=1,F7&lt;=4,MOD(F7,1)=0),FALSE),E7*10+F7,"")),"")</x:f>
      </x:c>
      <x:c r="L7" s="1787" t="b">
        <x:f>IF(ISNUMBER(K7),K7=31,FALSE)</x:f>
        <x:v>0</x:v>
      </x:c>
      <x:c r="M7" s="1787" t="b">
        <x:f>IF(ISNUMBER(K7),OR(K7=21,K7=32),FALSE)</x:f>
        <x:v>0</x:v>
      </x:c>
      <x:c r="N7" s="1787" t="b">
        <x:f>IF(ISNUMBER(K7),OR(K7=22,K7=33),FALSE)</x:f>
        <x:v>0</x:v>
      </x:c>
      <x:c r="O7" s="1787" t="b">
        <x:f>IF(ISNUMBER(K7),OR(K7=11,K7=12),FALSE)</x:f>
        <x:v>0</x:v>
      </x:c>
      <x:c r="P7" s="1787" t="b">
        <x:f>IF(ISNUMBER(K7),OR(K7=23,K7=34),FALSE)</x:f>
        <x:v>0</x:v>
      </x:c>
      <x:c r="Q7" s="1787" t="b">
        <x:f>IF(ISNUMBER(K7),OR(K7=13,K7=14,K7=24),FALSE)</x:f>
        <x:v>0</x:v>
      </x:c>
      <x:c r="R7" s="1787" t="b">
        <x:f>IF(ISNUMBER(K7),K7=0,FALSE)</x:f>
        <x:v>0</x:v>
      </x:c>
      <x:c r="S7" s="1787" t="str">
        <x:f t="shared" ref="S7:S13" si="1">IF(ISNUMBER(T7),INDEX($L$5:$R$5,1,7-T7),"")</x:f>
      </x:c>
      <x:c r="T7" s="1787" t="str">
        <x:f t="shared" ref="T7:T13" si="2">IF(ISNUMBER(K7),IF(L7,6,IF(M7,5,IF(N7,4,IF(O7,3,IF(P7,2,IF(Q7,1,0)))))),"")</x:f>
      </x:c>
      <x:c r="U7" s="1787" t="str">
        <x:f t="shared" ref="U7:U13" si="3">IF(AND(ISNUMBER(T7),ISNUMBER(H7)),IF(AND(H7&gt;=1,H7&lt;=4,MOD(H7,1)=0),T7*10+H7,""),"")</x:f>
      </x:c>
      <x:c r="V7" s="1802"/>
      <x:c r="W7" s="1131"/>
      <x:c r="X7" s="1115"/>
      <x:c r="Y7" s="999"/>
      <x:c r="Z7" s="999"/>
    </x:row>
    <x:row r="8" s="954" customFormat="1" ht="76" customHeight="1">
      <x:c r="A8" s="953"/>
      <x:c r="B8" s="1808" t="inlineStr">
        <x:is>
          <x:t xml:space="preserve">3.2</x:t>
        </x:is>
      </x:c>
      <x:c r="C8" s="1800" t="inlineStr">
        <x:is>
          <x:t xml:space="preserve">Supprimer les pratiques et les interfaces qui trompent les utilisateurs sur les sites web, aussi appelées « dark patterns ». Respecter la réglementation.</x:t>
        </x:is>
      </x:c>
      <x:c r="D8" s="1802"/>
      <x:c r="E8" s="1806"/>
      <x:c r="F8" s="1806"/>
      <x:c r="G8" s="1802"/>
      <x:c r="H8" s="1806"/>
      <x:c r="I8" s="1802"/>
      <x:c r="J8" s="1810" t="str">
        <x:f t="shared" si="0">S8</x:f>
      </x:c>
      <x:c r="K8" s="1787" t="str">
        <x:f t="shared" ref="K8:K13" si="4">IF(IF(ISNUMBER(E8),AND(E8&gt;=0,E8&lt;=3,MOD(E8,1)=0),FALSE),IF(E8=0,0,IF(IF(ISNUMBER(F8),AND(F8&gt;=1,F8&lt;=4,MOD(F8,1)=0),FALSE),E8*10+F8,"")),"")</x:f>
      </x:c>
      <x:c r="L8" s="1787" t="b">
        <x:f t="shared" ref="L8:L13" si="5">IF(ISNUMBER(K8),K8=31,FALSE)</x:f>
        <x:v>0</x:v>
      </x:c>
      <x:c r="M8" s="1787" t="b">
        <x:f t="shared" ref="M8:M13" si="6">IF(ISNUMBER(K8),OR(K8=21,K8=32),FALSE)</x:f>
        <x:v>0</x:v>
      </x:c>
      <x:c r="N8" s="1787" t="b">
        <x:f t="shared" ref="N8:N13" si="7">IF(ISNUMBER(K8),OR(K8=22,K8=33),FALSE)</x:f>
        <x:v>0</x:v>
      </x:c>
      <x:c r="O8" s="1787" t="b">
        <x:f t="shared" ref="O8:O13" si="8">IF(ISNUMBER(K8),OR(K8=11,K8=12),FALSE)</x:f>
        <x:v>0</x:v>
      </x:c>
      <x:c r="P8" s="1787" t="b">
        <x:f t="shared" ref="P8:P13" si="9">IF(ISNUMBER(K8),OR(K8=23,K8=34),FALSE)</x:f>
        <x:v>0</x:v>
      </x:c>
      <x:c r="Q8" s="1787" t="b">
        <x:f t="shared" ref="Q8:Q13" si="10">IF(ISNUMBER(K8),OR(K8=13,K8=14,K8=24),FALSE)</x:f>
        <x:v>0</x:v>
      </x:c>
      <x:c r="R8" s="1787" t="b">
        <x:f t="shared" ref="R8:R13" si="11">IF(ISNUMBER(K8),K8=0,FALSE)</x:f>
        <x:v>0</x:v>
      </x:c>
      <x:c r="S8" s="1787" t="str">
        <x:f t="shared" si="1">IF(ISNUMBER(T8),INDEX($L$5:$R$5,1,7-T8),"")</x:f>
      </x:c>
      <x:c r="T8" s="1787" t="str">
        <x:f t="shared" si="2">IF(ISNUMBER(K8),IF(L8,6,IF(M8,5,IF(N8,4,IF(O8,3,IF(P8,2,IF(Q8,1,0)))))),"")</x:f>
      </x:c>
      <x:c r="U8" s="1787" t="str">
        <x:f t="shared" si="3">IF(AND(ISNUMBER(T8),ISNUMBER(H8)),IF(AND(H8&gt;=1,H8&lt;=4,MOD(H8,1)=0),T8*10+H8,""),"")</x:f>
      </x:c>
      <x:c r="V8" s="1802"/>
      <x:c r="W8" s="1110"/>
      <x:c r="X8" s="1109"/>
    </x:row>
    <x:row r="9" s="954" customFormat="1" ht="91" customHeight="1">
      <x:c r="A9" s="953"/>
      <x:c r="B9" s="1808" t="inlineStr">
        <x:is>
          <x:t xml:space="preserve">3.3</x:t>
        </x:is>
      </x:c>
      <x:c r="C9" s="1800" t="inlineStr">
        <x:is>
          <x:t xml:space="preserve">Collecter seulement les données nécessaires au service rendu. Protéger la vie privée, réduire les effets sur l’environnement et respecter le RGPD, le règlement sur la protection des données personnelles.</x:t>
        </x:is>
      </x:c>
      <x:c r="D9" s="1802"/>
      <x:c r="E9" s="1806"/>
      <x:c r="F9" s="1806"/>
      <x:c r="G9" s="1802"/>
      <x:c r="H9" s="1806"/>
      <x:c r="I9" s="1802"/>
      <x:c r="J9" s="1810" t="str">
        <x:f t="shared" si="0">S9</x:f>
      </x:c>
      <x:c r="K9" s="1781" t="str">
        <x:f t="shared" si="4">IF(IF(ISNUMBER(E9),AND(E9&gt;=0,E9&lt;=3,MOD(E9,1)=0),FALSE),IF(E9=0,0,IF(IF(ISNUMBER(F9),AND(F9&gt;=1,F9&lt;=4,MOD(F9,1)=0),FALSE),E9*10+F9,"")),"")</x:f>
      </x:c>
      <x:c r="L9" s="1781" t="b">
        <x:f t="shared" si="5">IF(ISNUMBER(K9),K9=31,FALSE)</x:f>
        <x:v>0</x:v>
      </x:c>
      <x:c r="M9" s="1781" t="b">
        <x:f t="shared" si="6">IF(ISNUMBER(K9),OR(K9=21,K9=32),FALSE)</x:f>
        <x:v>0</x:v>
      </x:c>
      <x:c r="N9" s="1781" t="b">
        <x:f t="shared" si="7">IF(ISNUMBER(K9),OR(K9=22,K9=33),FALSE)</x:f>
        <x:v>0</x:v>
      </x:c>
      <x:c r="O9" s="1781" t="b">
        <x:f t="shared" si="8">IF(ISNUMBER(K9),OR(K9=11,K9=12),FALSE)</x:f>
        <x:v>0</x:v>
      </x:c>
      <x:c r="P9" s="1781" t="b">
        <x:f t="shared" si="9">IF(ISNUMBER(K9),OR(K9=23,K9=34),FALSE)</x:f>
        <x:v>0</x:v>
      </x:c>
      <x:c r="Q9" s="1781" t="b">
        <x:f t="shared" si="10">IF(ISNUMBER(K9),OR(K9=13,K9=14,K9=24),FALSE)</x:f>
        <x:v>0</x:v>
      </x:c>
      <x:c r="R9" s="1781" t="b">
        <x:f t="shared" si="11">IF(ISNUMBER(K9),K9=0,FALSE)</x:f>
        <x:v>0</x:v>
      </x:c>
      <x:c r="S9" s="1781" t="str">
        <x:f t="shared" si="1">IF(ISNUMBER(T9),INDEX($L$5:$R$5,1,7-T9),"")</x:f>
      </x:c>
      <x:c r="T9" s="1781" t="str">
        <x:f t="shared" si="2">IF(ISNUMBER(K9),IF(L9,6,IF(M9,5,IF(N9,4,IF(O9,3,IF(P9,2,IF(Q9,1,0)))))),"")</x:f>
      </x:c>
      <x:c r="U9" s="1794" t="str">
        <x:f t="shared" si="3">IF(AND(ISNUMBER(T9),ISNUMBER(H9)),IF(AND(H9&gt;=1,H9&lt;=4,MOD(H9,1)=0),T9*10+H9,""),"")</x:f>
      </x:c>
      <x:c r="V9" s="1802"/>
      <x:c r="W9" s="1123"/>
      <x:c r="X9" s="1115"/>
    </x:row>
    <x:row r="10" s="955" customFormat="1" ht="70" customHeight="1">
      <x:c r="A10" s="953"/>
      <x:c r="B10" s="1808" t="inlineStr">
        <x:is>
          <x:t xml:space="preserve">3.4</x:t>
        </x:is>
      </x:c>
      <x:c r="C10" s="1872" t="inlineStr">
        <x:is>
          <x:t xml:space="preserve">Recruter des personnes aux profils variés dans les métiers du numérique.</x:t>
        </x:is>
      </x:c>
      <x:c r="D10" s="1802"/>
      <x:c r="E10" s="1806"/>
      <x:c r="F10" s="1806"/>
      <x:c r="G10" s="1802"/>
      <x:c r="H10" s="1806"/>
      <x:c r="I10" s="1802"/>
      <x:c r="J10" s="1810" t="str">
        <x:f t="shared" si="0">S10</x:f>
      </x:c>
      <x:c r="K10" s="1870" t="str">
        <x:f t="shared" si="4">IF(IF(ISNUMBER(E10),AND(E10&gt;=0,E10&lt;=3,MOD(E10,1)=0),FALSE),IF(E10=0,0,IF(IF(ISNUMBER(F10),AND(F10&gt;=1,F10&lt;=4,MOD(F10,1)=0),FALSE),E10*10+F10,"")),"")</x:f>
      </x:c>
      <x:c r="L10" s="1870" t="b">
        <x:f t="shared" si="5">IF(ISNUMBER(K10),K10=31,FALSE)</x:f>
        <x:v>0</x:v>
      </x:c>
      <x:c r="M10" s="1870" t="b">
        <x:f t="shared" si="6">IF(ISNUMBER(K10),OR(K10=21,K10=32),FALSE)</x:f>
        <x:v>0</x:v>
      </x:c>
      <x:c r="N10" s="1870" t="b">
        <x:f t="shared" si="7">IF(ISNUMBER(K10),OR(K10=22,K10=33),FALSE)</x:f>
        <x:v>0</x:v>
      </x:c>
      <x:c r="O10" s="1870" t="b">
        <x:f t="shared" si="8">IF(ISNUMBER(K10),OR(K10=11,K10=12),FALSE)</x:f>
        <x:v>0</x:v>
      </x:c>
      <x:c r="P10" s="1870" t="b">
        <x:f t="shared" si="9">IF(ISNUMBER(K10),OR(K10=23,K10=34),FALSE)</x:f>
        <x:v>0</x:v>
      </x:c>
      <x:c r="Q10" s="1870" t="b">
        <x:f t="shared" si="10">IF(ISNUMBER(K10),OR(K10=13,K10=14,K10=24),FALSE)</x:f>
        <x:v>0</x:v>
      </x:c>
      <x:c r="R10" s="1870" t="b">
        <x:f t="shared" si="11">IF(ISNUMBER(K10),K10=0,FALSE)</x:f>
        <x:v>0</x:v>
      </x:c>
      <x:c r="S10" s="1870" t="str">
        <x:f t="shared" si="1">IF(ISNUMBER(T10),INDEX($L$5:$R$5,1,7-T10),"")</x:f>
      </x:c>
      <x:c r="T10" s="1870" t="str">
        <x:f t="shared" si="2">IF(ISNUMBER(K10),IF(L10,6,IF(M10,5,IF(N10,4,IF(O10,3,IF(P10,2,IF(Q10,1,0)))))),"")</x:f>
      </x:c>
      <x:c r="U10" s="1870" t="str">
        <x:f t="shared" si="3">IF(AND(ISNUMBER(T10),ISNUMBER(H10)),IF(AND(H10&gt;=1,H10&lt;=4,MOD(H10,1)=0),T10*10+H10,""),"")</x:f>
      </x:c>
      <x:c r="V10" s="1802"/>
      <x:c r="W10" s="1132"/>
      <x:c r="X10" s="1115"/>
      <x:c r="Y10" s="954"/>
      <x:c r="Z10" s="954"/>
      <x:c r="AA10" s="954"/>
      <x:c r="AB10" s="954"/>
      <x:c r="AC10" s="954"/>
      <x:c r="AD10" s="954"/>
      <x:c r="AE10" s="954"/>
      <x:c r="AF10" s="954"/>
      <x:c r="AG10" s="954"/>
      <x:c r="AH10" s="954"/>
      <x:c r="AI10" s="954"/>
      <x:c r="AJ10" s="954"/>
      <x:c r="AK10" s="954"/>
      <x:c r="AL10" s="954"/>
      <x:c r="AM10" s="954"/>
      <x:c r="AN10" s="954"/>
      <x:c r="AO10" s="954"/>
      <x:c r="AP10" s="954"/>
      <x:c r="AQ10" s="954"/>
      <x:c r="AR10" s="954"/>
      <x:c r="AS10" s="954"/>
      <x:c r="AT10" s="954"/>
      <x:c r="AU10" s="954"/>
      <x:c r="AV10" s="954"/>
      <x:c r="AW10" s="954"/>
      <x:c r="AX10" s="954"/>
      <x:c r="AY10" s="954"/>
      <x:c r="AZ10" s="954"/>
      <x:c r="BA10" s="954"/>
      <x:c r="BB10" s="954"/>
      <x:c r="BC10" s="954"/>
      <x:c r="BD10" s="954"/>
      <x:c r="BE10" s="954"/>
      <x:c r="BF10" s="954"/>
      <x:c r="BG10" s="954"/>
      <x:c r="BH10" s="954"/>
      <x:c r="BI10" s="954"/>
      <x:c r="BJ10" s="954"/>
      <x:c r="BK10" s="954"/>
      <x:c r="BL10" s="954"/>
      <x:c r="BM10" s="954"/>
      <x:c r="BN10" s="954"/>
      <x:c r="BO10" s="954"/>
      <x:c r="BP10" s="954"/>
      <x:c r="BQ10" s="954"/>
      <x:c r="BR10" s="954"/>
      <x:c r="BS10" s="954"/>
      <x:c r="BT10" s="954"/>
      <x:c r="BU10" s="954"/>
      <x:c r="BV10" s="954"/>
      <x:c r="BW10" s="954"/>
      <x:c r="BX10" s="954"/>
      <x:c r="BY10" s="954"/>
      <x:c r="BZ10" s="954"/>
      <x:c r="CA10" s="954"/>
      <x:c r="CB10" s="954"/>
      <x:c r="CC10" s="954"/>
      <x:c r="CD10" s="954"/>
      <x:c r="CE10" s="954"/>
      <x:c r="CF10" s="954"/>
      <x:c r="CG10" s="954"/>
      <x:c r="CH10" s="954"/>
      <x:c r="CI10" s="954"/>
      <x:c r="CJ10" s="954"/>
      <x:c r="CK10" s="954"/>
      <x:c r="CL10" s="954"/>
      <x:c r="CM10" s="954"/>
      <x:c r="CN10" s="954"/>
      <x:c r="CO10" s="954"/>
      <x:c r="CP10" s="954"/>
      <x:c r="CQ10" s="954"/>
      <x:c r="CR10" s="954"/>
      <x:c r="CS10" s="954"/>
      <x:c r="CT10" s="954"/>
      <x:c r="CU10" s="954"/>
      <x:c r="CV10" s="954"/>
      <x:c r="CW10" s="954"/>
      <x:c r="CX10" s="954"/>
      <x:c r="CY10" s="954"/>
      <x:c r="CZ10" s="954"/>
      <x:c r="DA10" s="954"/>
      <x:c r="DB10" s="954"/>
      <x:c r="DC10" s="954"/>
      <x:c r="DD10" s="954"/>
      <x:c r="DE10" s="954"/>
      <x:c r="DF10" s="954"/>
      <x:c r="DG10" s="954"/>
      <x:c r="DH10" s="954"/>
      <x:c r="DI10" s="954"/>
      <x:c r="DJ10" s="954"/>
      <x:c r="DK10" s="954"/>
      <x:c r="DL10" s="954"/>
      <x:c r="DM10" s="954"/>
      <x:c r="DN10" s="954"/>
      <x:c r="DO10" s="954"/>
      <x:c r="DP10" s="954"/>
      <x:c r="DQ10" s="954"/>
      <x:c r="DR10" s="954"/>
      <x:c r="DS10" s="954"/>
      <x:c r="DT10" s="954"/>
      <x:c r="DU10" s="954"/>
      <x:c r="DV10" s="954"/>
      <x:c r="DW10" s="954"/>
      <x:c r="DX10" s="954"/>
      <x:c r="DY10" s="954"/>
      <x:c r="DZ10" s="954"/>
      <x:c r="EA10" s="954"/>
      <x:c r="EB10" s="954"/>
      <x:c r="EC10" s="954"/>
      <x:c r="ED10" s="954"/>
      <x:c r="EE10" s="954"/>
      <x:c r="EF10" s="954"/>
      <x:c r="EG10" s="954"/>
      <x:c r="EH10" s="954"/>
      <x:c r="EI10" s="954"/>
      <x:c r="EJ10" s="954"/>
      <x:c r="EK10" s="954"/>
      <x:c r="EL10" s="954"/>
      <x:c r="EM10" s="954"/>
      <x:c r="EN10" s="954"/>
      <x:c r="EO10" s="954"/>
      <x:c r="EP10" s="954"/>
      <x:c r="EQ10" s="954"/>
      <x:c r="ER10" s="954"/>
      <x:c r="ES10" s="954"/>
      <x:c r="ET10" s="954"/>
      <x:c r="EU10" s="954"/>
      <x:c r="EV10" s="954"/>
      <x:c r="EW10" s="954"/>
      <x:c r="EX10" s="954"/>
      <x:c r="EY10" s="954"/>
      <x:c r="EZ10" s="954"/>
      <x:c r="FA10" s="954"/>
      <x:c r="FB10" s="954"/>
      <x:c r="FC10" s="954"/>
      <x:c r="FD10" s="954"/>
      <x:c r="FE10" s="954"/>
      <x:c r="FF10" s="954"/>
      <x:c r="FG10" s="954"/>
      <x:c r="FH10" s="954"/>
      <x:c r="FI10" s="954"/>
      <x:c r="FJ10" s="954"/>
      <x:c r="FK10" s="954"/>
      <x:c r="FL10" s="954"/>
      <x:c r="FM10" s="954"/>
      <x:c r="FN10" s="954"/>
      <x:c r="FO10" s="954"/>
      <x:c r="FP10" s="954"/>
      <x:c r="FQ10" s="954"/>
      <x:c r="FR10" s="954"/>
      <x:c r="FS10" s="954"/>
      <x:c r="FT10" s="954"/>
      <x:c r="FU10" s="954"/>
      <x:c r="FV10" s="954"/>
      <x:c r="FW10" s="954"/>
      <x:c r="FX10" s="954"/>
      <x:c r="FY10" s="954"/>
      <x:c r="FZ10" s="954"/>
      <x:c r="GA10" s="954"/>
      <x:c r="GB10" s="954"/>
      <x:c r="GC10" s="954"/>
      <x:c r="GD10" s="954"/>
      <x:c r="GE10" s="954"/>
      <x:c r="GF10" s="954"/>
      <x:c r="GG10" s="954"/>
      <x:c r="GH10" s="954"/>
      <x:c r="GI10" s="954"/>
      <x:c r="GJ10" s="954"/>
      <x:c r="GK10" s="954"/>
      <x:c r="GL10" s="954"/>
      <x:c r="GM10" s="954"/>
      <x:c r="GN10" s="954"/>
      <x:c r="GO10" s="954"/>
      <x:c r="GP10" s="954"/>
      <x:c r="GQ10" s="954"/>
      <x:c r="GR10" s="954"/>
      <x:c r="GS10" s="954"/>
      <x:c r="GT10" s="954"/>
      <x:c r="GU10" s="954"/>
      <x:c r="GV10" s="954"/>
      <x:c r="GW10" s="954"/>
      <x:c r="GX10" s="954"/>
      <x:c r="GY10" s="954"/>
      <x:c r="GZ10" s="954"/>
      <x:c r="HA10" s="954"/>
      <x:c r="HB10" s="954"/>
      <x:c r="HC10" s="954"/>
      <x:c r="HD10" s="954"/>
      <x:c r="HE10" s="954"/>
      <x:c r="HF10" s="954"/>
      <x:c r="HG10" s="954"/>
      <x:c r="HH10" s="954"/>
      <x:c r="HI10" s="954"/>
      <x:c r="HJ10" s="954"/>
      <x:c r="HK10" s="954"/>
      <x:c r="HL10" s="954"/>
      <x:c r="HM10" s="954"/>
      <x:c r="HN10" s="954"/>
      <x:c r="HO10" s="954"/>
      <x:c r="HP10" s="954"/>
      <x:c r="HQ10" s="954"/>
      <x:c r="HR10" s="954"/>
      <x:c r="HS10" s="954"/>
      <x:c r="HT10" s="954"/>
      <x:c r="HU10" s="954"/>
      <x:c r="HV10" s="954"/>
      <x:c r="HW10" s="954"/>
      <x:c r="HX10" s="954"/>
      <x:c r="HY10" s="954"/>
      <x:c r="HZ10" s="954"/>
      <x:c r="IA10" s="954"/>
      <x:c r="IB10" s="954"/>
      <x:c r="IC10" s="954"/>
      <x:c r="ID10" s="954"/>
      <x:c r="IE10" s="954"/>
      <x:c r="IF10" s="954"/>
      <x:c r="IG10" s="954"/>
      <x:c r="IH10" s="954"/>
      <x:c r="II10" s="954"/>
      <x:c r="IJ10" s="954"/>
      <x:c r="IK10" s="954"/>
      <x:c r="IL10" s="954"/>
      <x:c r="IM10" s="954"/>
      <x:c r="IN10" s="954"/>
      <x:c r="IO10" s="954"/>
      <x:c r="IP10" s="954"/>
      <x:c r="IQ10" s="954"/>
      <x:c r="IR10" s="954"/>
      <x:c r="IS10" s="954"/>
      <x:c r="IT10" s="954"/>
      <x:c r="IU10" s="954"/>
      <x:c r="IV10" s="954"/>
      <x:c r="IW10" s="954"/>
      <x:c r="IX10" s="954"/>
      <x:c r="IY10" s="954"/>
      <x:c r="IZ10" s="954"/>
      <x:c r="JA10" s="954"/>
      <x:c r="JB10" s="954"/>
      <x:c r="JC10" s="954"/>
      <x:c r="JD10" s="954"/>
      <x:c r="JE10" s="954"/>
      <x:c r="JF10" s="954"/>
      <x:c r="JG10" s="954"/>
      <x:c r="JH10" s="954"/>
      <x:c r="JI10" s="954"/>
      <x:c r="JJ10" s="954"/>
      <x:c r="JK10" s="954"/>
      <x:c r="JL10" s="954"/>
      <x:c r="JM10" s="954"/>
      <x:c r="JN10" s="954"/>
      <x:c r="JO10" s="954"/>
      <x:c r="JP10" s="954"/>
      <x:c r="JQ10" s="954"/>
      <x:c r="JR10" s="954"/>
      <x:c r="JS10" s="954"/>
      <x:c r="JT10" s="954"/>
      <x:c r="JU10" s="954"/>
      <x:c r="JV10" s="954"/>
      <x:c r="JW10" s="954"/>
      <x:c r="JX10" s="954"/>
      <x:c r="JY10" s="954"/>
      <x:c r="JZ10" s="954"/>
      <x:c r="KA10" s="954"/>
      <x:c r="KB10" s="954"/>
      <x:c r="KC10" s="954"/>
      <x:c r="KD10" s="954"/>
      <x:c r="KE10" s="954"/>
      <x:c r="KF10" s="954"/>
      <x:c r="KG10" s="954"/>
      <x:c r="KH10" s="954"/>
      <x:c r="KI10" s="954"/>
      <x:c r="KJ10" s="954"/>
      <x:c r="KK10" s="954"/>
      <x:c r="KL10" s="954"/>
      <x:c r="KM10" s="954"/>
      <x:c r="KN10" s="954"/>
      <x:c r="KO10" s="954"/>
      <x:c r="KP10" s="954"/>
      <x:c r="KQ10" s="954"/>
      <x:c r="KR10" s="954"/>
      <x:c r="KS10" s="954"/>
      <x:c r="KT10" s="954"/>
      <x:c r="KU10" s="954"/>
      <x:c r="KV10" s="954"/>
      <x:c r="KW10" s="954"/>
      <x:c r="KX10" s="954"/>
      <x:c r="KY10" s="954"/>
      <x:c r="KZ10" s="954"/>
      <x:c r="LA10" s="954"/>
      <x:c r="LB10" s="954"/>
      <x:c r="LC10" s="954"/>
      <x:c r="LD10" s="954"/>
      <x:c r="LE10" s="954"/>
      <x:c r="LF10" s="954"/>
      <x:c r="LG10" s="954"/>
      <x:c r="LH10" s="954"/>
      <x:c r="LI10" s="954"/>
      <x:c r="LJ10" s="954"/>
      <x:c r="LK10" s="954"/>
      <x:c r="LL10" s="954"/>
      <x:c r="LM10" s="954"/>
      <x:c r="LN10" s="954"/>
      <x:c r="LO10" s="954"/>
      <x:c r="LP10" s="954"/>
      <x:c r="LQ10" s="954"/>
      <x:c r="LR10" s="954"/>
      <x:c r="LS10" s="954"/>
      <x:c r="LT10" s="954"/>
      <x:c r="LU10" s="954"/>
      <x:c r="LV10" s="954"/>
      <x:c r="LW10" s="954"/>
      <x:c r="LX10" s="954"/>
      <x:c r="LY10" s="954"/>
      <x:c r="LZ10" s="954"/>
      <x:c r="MA10" s="954"/>
      <x:c r="MB10" s="954"/>
      <x:c r="MC10" s="954"/>
      <x:c r="MD10" s="954"/>
      <x:c r="ME10" s="954"/>
      <x:c r="MF10" s="954"/>
      <x:c r="MG10" s="954"/>
      <x:c r="MH10" s="954"/>
      <x:c r="MI10" s="954"/>
      <x:c r="MJ10" s="954"/>
      <x:c r="MK10" s="954"/>
      <x:c r="ML10" s="954"/>
      <x:c r="MM10" s="954"/>
      <x:c r="MN10" s="954"/>
      <x:c r="MO10" s="954"/>
      <x:c r="MP10" s="954"/>
      <x:c r="MQ10" s="954"/>
      <x:c r="MR10" s="954"/>
      <x:c r="MS10" s="954"/>
      <x:c r="MT10" s="954"/>
      <x:c r="MU10" s="954"/>
      <x:c r="MV10" s="954"/>
      <x:c r="MW10" s="954"/>
      <x:c r="MX10" s="954"/>
      <x:c r="MY10" s="954"/>
      <x:c r="MZ10" s="954"/>
      <x:c r="NA10" s="954"/>
      <x:c r="NB10" s="954"/>
      <x:c r="NC10" s="954"/>
      <x:c r="ND10" s="954"/>
      <x:c r="NE10" s="954"/>
      <x:c r="NF10" s="954"/>
      <x:c r="NG10" s="954"/>
      <x:c r="NH10" s="954"/>
      <x:c r="NI10" s="954"/>
      <x:c r="NJ10" s="954"/>
      <x:c r="NK10" s="954"/>
      <x:c r="NL10" s="954"/>
      <x:c r="NM10" s="954"/>
      <x:c r="NN10" s="954"/>
      <x:c r="NO10" s="954"/>
      <x:c r="NP10" s="954"/>
      <x:c r="NQ10" s="954"/>
      <x:c r="NR10" s="954"/>
      <x:c r="NS10" s="954"/>
      <x:c r="NT10" s="954"/>
      <x:c r="NU10" s="954"/>
      <x:c r="NV10" s="954"/>
      <x:c r="NW10" s="954"/>
      <x:c r="NX10" s="954"/>
      <x:c r="NY10" s="954"/>
      <x:c r="NZ10" s="954"/>
      <x:c r="OA10" s="954"/>
      <x:c r="OB10" s="954"/>
      <x:c r="OC10" s="954"/>
      <x:c r="OD10" s="954"/>
      <x:c r="OE10" s="954"/>
      <x:c r="OF10" s="954"/>
      <x:c r="OG10" s="954"/>
      <x:c r="OH10" s="954"/>
      <x:c r="OI10" s="954"/>
      <x:c r="OJ10" s="954"/>
      <x:c r="OK10" s="954"/>
      <x:c r="OL10" s="954"/>
      <x:c r="OM10" s="954"/>
      <x:c r="ON10" s="954"/>
      <x:c r="OO10" s="954"/>
      <x:c r="OP10" s="954"/>
      <x:c r="OQ10" s="954"/>
      <x:c r="OR10" s="954"/>
      <x:c r="OS10" s="954"/>
      <x:c r="OT10" s="954"/>
      <x:c r="OU10" s="954"/>
      <x:c r="OV10" s="954"/>
      <x:c r="OW10" s="954"/>
      <x:c r="OX10" s="954"/>
      <x:c r="OY10" s="954"/>
      <x:c r="OZ10" s="954"/>
      <x:c r="PA10" s="954"/>
      <x:c r="PB10" s="954"/>
      <x:c r="PC10" s="954"/>
      <x:c r="PD10" s="954"/>
      <x:c r="PE10" s="954"/>
      <x:c r="PF10" s="954"/>
      <x:c r="PG10" s="954"/>
      <x:c r="PH10" s="954"/>
      <x:c r="PI10" s="954"/>
      <x:c r="PJ10" s="954"/>
      <x:c r="PK10" s="954"/>
      <x:c r="PL10" s="954"/>
      <x:c r="PM10" s="954"/>
      <x:c r="PN10" s="954"/>
      <x:c r="PO10" s="954"/>
      <x:c r="PP10" s="954"/>
      <x:c r="PQ10" s="954"/>
      <x:c r="PR10" s="954"/>
      <x:c r="PS10" s="954"/>
      <x:c r="PT10" s="954"/>
      <x:c r="PU10" s="954"/>
      <x:c r="PV10" s="954"/>
      <x:c r="PW10" s="954"/>
      <x:c r="PX10" s="954"/>
      <x:c r="PY10" s="954"/>
      <x:c r="PZ10" s="954"/>
      <x:c r="QA10" s="954"/>
      <x:c r="QB10" s="954"/>
      <x:c r="QC10" s="954"/>
      <x:c r="QD10" s="954"/>
      <x:c r="QE10" s="954"/>
    </x:row>
    <x:row r="11" s="955" customFormat="1" ht="70" customHeight="1">
      <x:c r="A11" s="953"/>
      <x:c r="B11" s="1808" t="inlineStr">
        <x:is>
          <x:t xml:space="preserve">3.5</x:t>
        </x:is>
      </x:c>
      <x:c r="C11" s="1800" t="inlineStr">
        <x:is>
          <x:t xml:space="preserve">Améliorer les conditions de travail des personnes qui travaillent dans le numérique.</x:t>
        </x:is>
      </x:c>
      <x:c r="D11" s="1802"/>
      <x:c r="E11" s="1806"/>
      <x:c r="F11" s="1806"/>
      <x:c r="G11" s="1802"/>
      <x:c r="H11" s="1806"/>
      <x:c r="I11" s="1802"/>
      <x:c r="J11" s="1810" t="str">
        <x:f t="shared" si="0">S11</x:f>
      </x:c>
      <x:c r="K11" s="1787" t="str">
        <x:f t="shared" si="4">IF(IF(ISNUMBER(E11),AND(E11&gt;=0,E11&lt;=3,MOD(E11,1)=0),FALSE),IF(E11=0,0,IF(IF(ISNUMBER(F11),AND(F11&gt;=1,F11&lt;=4,MOD(F11,1)=0),FALSE),E11*10+F11,"")),"")</x:f>
      </x:c>
      <x:c r="L11" s="1787" t="b">
        <x:f t="shared" si="5">IF(ISNUMBER(K11),K11=31,FALSE)</x:f>
        <x:v>0</x:v>
      </x:c>
      <x:c r="M11" s="1787" t="b">
        <x:f t="shared" si="6">IF(ISNUMBER(K11),OR(K11=21,K11=32),FALSE)</x:f>
        <x:v>0</x:v>
      </x:c>
      <x:c r="N11" s="1787" t="b">
        <x:f t="shared" si="7">IF(ISNUMBER(K11),OR(K11=22,K11=33),FALSE)</x:f>
        <x:v>0</x:v>
      </x:c>
      <x:c r="O11" s="1787" t="b">
        <x:f t="shared" si="8">IF(ISNUMBER(K11),OR(K11=11,K11=12),FALSE)</x:f>
        <x:v>0</x:v>
      </x:c>
      <x:c r="P11" s="1787" t="b">
        <x:f t="shared" si="9">IF(ISNUMBER(K11),OR(K11=23,K11=34),FALSE)</x:f>
        <x:v>0</x:v>
      </x:c>
      <x:c r="Q11" s="1787" t="b">
        <x:f t="shared" si="10">IF(ISNUMBER(K11),OR(K11=13,K11=14,K11=24),FALSE)</x:f>
        <x:v>0</x:v>
      </x:c>
      <x:c r="R11" s="1787" t="b">
        <x:f t="shared" si="11">IF(ISNUMBER(K11),K11=0,FALSE)</x:f>
        <x:v>0</x:v>
      </x:c>
      <x:c r="S11" s="1787" t="str">
        <x:f t="shared" si="1">IF(ISNUMBER(T11),INDEX($L$5:$R$5,1,7-T11),"")</x:f>
      </x:c>
      <x:c r="T11" s="1787" t="str">
        <x:f t="shared" si="2">IF(ISNUMBER(K11),IF(L11,6,IF(M11,5,IF(N11,4,IF(O11,3,IF(P11,2,IF(Q11,1,0)))))),"")</x:f>
      </x:c>
      <x:c r="U11" s="1787" t="str">
        <x:f t="shared" si="3">IF(AND(ISNUMBER(T11),ISNUMBER(H11)),IF(AND(H11&gt;=1,H11&lt;=4,MOD(H11,1)=0),T11*10+H11,""),"")</x:f>
      </x:c>
      <x:c r="V11" s="1802"/>
      <x:c r="W11" s="1113"/>
      <x:c r="X11" s="1109"/>
      <x:c r="Y11" s="954"/>
      <x:c r="Z11" s="954"/>
      <x:c r="AA11" s="954"/>
      <x:c r="AB11" s="954"/>
      <x:c r="AC11" s="954"/>
      <x:c r="AD11" s="954"/>
      <x:c r="AE11" s="954"/>
      <x:c r="AF11" s="954"/>
      <x:c r="AG11" s="954"/>
      <x:c r="AH11" s="954"/>
      <x:c r="AI11" s="954"/>
      <x:c r="AJ11" s="954"/>
      <x:c r="AK11" s="954"/>
      <x:c r="AL11" s="954"/>
      <x:c r="AM11" s="954"/>
      <x:c r="AN11" s="954"/>
      <x:c r="AO11" s="954"/>
      <x:c r="AP11" s="954"/>
      <x:c r="AQ11" s="954"/>
      <x:c r="AR11" s="954"/>
      <x:c r="AS11" s="954"/>
      <x:c r="AT11" s="954"/>
      <x:c r="AU11" s="954"/>
      <x:c r="AV11" s="954"/>
      <x:c r="AW11" s="954"/>
      <x:c r="AX11" s="954"/>
      <x:c r="AY11" s="954"/>
      <x:c r="AZ11" s="954"/>
      <x:c r="BA11" s="954"/>
      <x:c r="BB11" s="954"/>
      <x:c r="BC11" s="954"/>
      <x:c r="BD11" s="954"/>
      <x:c r="BE11" s="954"/>
      <x:c r="BF11" s="954"/>
      <x:c r="BG11" s="954"/>
      <x:c r="BH11" s="954"/>
      <x:c r="BI11" s="954"/>
      <x:c r="BJ11" s="954"/>
      <x:c r="BK11" s="954"/>
      <x:c r="BL11" s="954"/>
      <x:c r="BM11" s="954"/>
      <x:c r="BN11" s="954"/>
      <x:c r="BO11" s="954"/>
      <x:c r="BP11" s="954"/>
      <x:c r="BQ11" s="954"/>
      <x:c r="BR11" s="954"/>
      <x:c r="BS11" s="954"/>
      <x:c r="BT11" s="954"/>
      <x:c r="BU11" s="954"/>
      <x:c r="BV11" s="954"/>
      <x:c r="BW11" s="954"/>
      <x:c r="BX11" s="954"/>
      <x:c r="BY11" s="954"/>
      <x:c r="BZ11" s="954"/>
      <x:c r="CA11" s="954"/>
      <x:c r="CB11" s="954"/>
      <x:c r="CC11" s="954"/>
      <x:c r="CD11" s="954"/>
      <x:c r="CE11" s="954"/>
      <x:c r="CF11" s="954"/>
      <x:c r="CG11" s="954"/>
      <x:c r="CH11" s="954"/>
      <x:c r="CI11" s="954"/>
      <x:c r="CJ11" s="954"/>
      <x:c r="CK11" s="954"/>
      <x:c r="CL11" s="954"/>
      <x:c r="CM11" s="954"/>
      <x:c r="CN11" s="954"/>
      <x:c r="CO11" s="954"/>
      <x:c r="CP11" s="954"/>
      <x:c r="CQ11" s="954"/>
      <x:c r="CR11" s="954"/>
      <x:c r="CS11" s="954"/>
      <x:c r="CT11" s="954"/>
      <x:c r="CU11" s="954"/>
      <x:c r="CV11" s="954"/>
      <x:c r="CW11" s="954"/>
      <x:c r="CX11" s="954"/>
      <x:c r="CY11" s="954"/>
      <x:c r="CZ11" s="954"/>
      <x:c r="DA11" s="954"/>
      <x:c r="DB11" s="954"/>
      <x:c r="DC11" s="954"/>
      <x:c r="DD11" s="954"/>
      <x:c r="DE11" s="954"/>
      <x:c r="DF11" s="954"/>
      <x:c r="DG11" s="954"/>
      <x:c r="DH11" s="954"/>
      <x:c r="DI11" s="954"/>
      <x:c r="DJ11" s="954"/>
      <x:c r="DK11" s="954"/>
      <x:c r="DL11" s="954"/>
      <x:c r="DM11" s="954"/>
      <x:c r="DN11" s="954"/>
      <x:c r="DO11" s="954"/>
      <x:c r="DP11" s="954"/>
      <x:c r="DQ11" s="954"/>
      <x:c r="DR11" s="954"/>
      <x:c r="DS11" s="954"/>
      <x:c r="DT11" s="954"/>
      <x:c r="DU11" s="954"/>
      <x:c r="DV11" s="954"/>
      <x:c r="DW11" s="954"/>
      <x:c r="DX11" s="954"/>
      <x:c r="DY11" s="954"/>
      <x:c r="DZ11" s="954"/>
      <x:c r="EA11" s="954"/>
      <x:c r="EB11" s="954"/>
      <x:c r="EC11" s="954"/>
      <x:c r="ED11" s="954"/>
      <x:c r="EE11" s="954"/>
      <x:c r="EF11" s="954"/>
      <x:c r="EG11" s="954"/>
      <x:c r="EH11" s="954"/>
      <x:c r="EI11" s="954"/>
      <x:c r="EJ11" s="954"/>
      <x:c r="EK11" s="954"/>
      <x:c r="EL11" s="954"/>
      <x:c r="EM11" s="954"/>
      <x:c r="EN11" s="954"/>
      <x:c r="EO11" s="954"/>
      <x:c r="EP11" s="954"/>
      <x:c r="EQ11" s="954"/>
      <x:c r="ER11" s="954"/>
      <x:c r="ES11" s="954"/>
      <x:c r="ET11" s="954"/>
      <x:c r="EU11" s="954"/>
      <x:c r="EV11" s="954"/>
      <x:c r="EW11" s="954"/>
      <x:c r="EX11" s="954"/>
      <x:c r="EY11" s="954"/>
      <x:c r="EZ11" s="954"/>
      <x:c r="FA11" s="954"/>
      <x:c r="FB11" s="954"/>
      <x:c r="FC11" s="954"/>
      <x:c r="FD11" s="954"/>
      <x:c r="FE11" s="954"/>
      <x:c r="FF11" s="954"/>
      <x:c r="FG11" s="954"/>
      <x:c r="FH11" s="954"/>
      <x:c r="FI11" s="954"/>
      <x:c r="FJ11" s="954"/>
      <x:c r="FK11" s="954"/>
      <x:c r="FL11" s="954"/>
      <x:c r="FM11" s="954"/>
      <x:c r="FN11" s="954"/>
      <x:c r="FO11" s="954"/>
      <x:c r="FP11" s="954"/>
      <x:c r="FQ11" s="954"/>
      <x:c r="FR11" s="954"/>
      <x:c r="FS11" s="954"/>
      <x:c r="FT11" s="954"/>
      <x:c r="FU11" s="954"/>
      <x:c r="FV11" s="954"/>
      <x:c r="FW11" s="954"/>
      <x:c r="FX11" s="954"/>
      <x:c r="FY11" s="954"/>
      <x:c r="FZ11" s="954"/>
      <x:c r="GA11" s="954"/>
      <x:c r="GB11" s="954"/>
      <x:c r="GC11" s="954"/>
      <x:c r="GD11" s="954"/>
      <x:c r="GE11" s="954"/>
      <x:c r="GF11" s="954"/>
      <x:c r="GG11" s="954"/>
      <x:c r="GH11" s="954"/>
      <x:c r="GI11" s="954"/>
      <x:c r="GJ11" s="954"/>
      <x:c r="GK11" s="954"/>
      <x:c r="GL11" s="954"/>
      <x:c r="GM11" s="954"/>
      <x:c r="GN11" s="954"/>
      <x:c r="GO11" s="954"/>
      <x:c r="GP11" s="954"/>
      <x:c r="GQ11" s="954"/>
      <x:c r="GR11" s="954"/>
      <x:c r="GS11" s="954"/>
      <x:c r="GT11" s="954"/>
      <x:c r="GU11" s="954"/>
      <x:c r="GV11" s="954"/>
      <x:c r="GW11" s="954"/>
      <x:c r="GX11" s="954"/>
      <x:c r="GY11" s="954"/>
      <x:c r="GZ11" s="954"/>
      <x:c r="HA11" s="954"/>
      <x:c r="HB11" s="954"/>
      <x:c r="HC11" s="954"/>
      <x:c r="HD11" s="954"/>
      <x:c r="HE11" s="954"/>
      <x:c r="HF11" s="954"/>
      <x:c r="HG11" s="954"/>
      <x:c r="HH11" s="954"/>
      <x:c r="HI11" s="954"/>
      <x:c r="HJ11" s="954"/>
      <x:c r="HK11" s="954"/>
      <x:c r="HL11" s="954"/>
      <x:c r="HM11" s="954"/>
      <x:c r="HN11" s="954"/>
      <x:c r="HO11" s="954"/>
      <x:c r="HP11" s="954"/>
      <x:c r="HQ11" s="954"/>
      <x:c r="HR11" s="954"/>
      <x:c r="HS11" s="954"/>
      <x:c r="HT11" s="954"/>
      <x:c r="HU11" s="954"/>
      <x:c r="HV11" s="954"/>
      <x:c r="HW11" s="954"/>
      <x:c r="HX11" s="954"/>
      <x:c r="HY11" s="954"/>
      <x:c r="HZ11" s="954"/>
      <x:c r="IA11" s="954"/>
      <x:c r="IB11" s="954"/>
      <x:c r="IC11" s="954"/>
      <x:c r="ID11" s="954"/>
      <x:c r="IE11" s="954"/>
      <x:c r="IF11" s="954"/>
      <x:c r="IG11" s="954"/>
      <x:c r="IH11" s="954"/>
      <x:c r="II11" s="954"/>
      <x:c r="IJ11" s="954"/>
      <x:c r="IK11" s="954"/>
      <x:c r="IL11" s="954"/>
      <x:c r="IM11" s="954"/>
      <x:c r="IN11" s="954"/>
      <x:c r="IO11" s="954"/>
      <x:c r="IP11" s="954"/>
      <x:c r="IQ11" s="954"/>
      <x:c r="IR11" s="954"/>
      <x:c r="IS11" s="954"/>
      <x:c r="IT11" s="954"/>
      <x:c r="IU11" s="954"/>
      <x:c r="IV11" s="954"/>
      <x:c r="IW11" s="954"/>
      <x:c r="IX11" s="954"/>
      <x:c r="IY11" s="954"/>
      <x:c r="IZ11" s="954"/>
      <x:c r="JA11" s="954"/>
      <x:c r="JB11" s="954"/>
      <x:c r="JC11" s="954"/>
      <x:c r="JD11" s="954"/>
      <x:c r="JE11" s="954"/>
      <x:c r="JF11" s="954"/>
      <x:c r="JG11" s="954"/>
      <x:c r="JH11" s="954"/>
      <x:c r="JI11" s="954"/>
      <x:c r="JJ11" s="954"/>
      <x:c r="JK11" s="954"/>
      <x:c r="JL11" s="954"/>
      <x:c r="JM11" s="954"/>
      <x:c r="JN11" s="954"/>
      <x:c r="JO11" s="954"/>
      <x:c r="JP11" s="954"/>
      <x:c r="JQ11" s="954"/>
      <x:c r="JR11" s="954"/>
      <x:c r="JS11" s="954"/>
      <x:c r="JT11" s="954"/>
      <x:c r="JU11" s="954"/>
      <x:c r="JV11" s="954"/>
      <x:c r="JW11" s="954"/>
      <x:c r="JX11" s="954"/>
      <x:c r="JY11" s="954"/>
      <x:c r="JZ11" s="954"/>
      <x:c r="KA11" s="954"/>
      <x:c r="KB11" s="954"/>
      <x:c r="KC11" s="954"/>
      <x:c r="KD11" s="954"/>
      <x:c r="KE11" s="954"/>
      <x:c r="KF11" s="954"/>
      <x:c r="KG11" s="954"/>
      <x:c r="KH11" s="954"/>
      <x:c r="KI11" s="954"/>
      <x:c r="KJ11" s="954"/>
      <x:c r="KK11" s="954"/>
      <x:c r="KL11" s="954"/>
      <x:c r="KM11" s="954"/>
      <x:c r="KN11" s="954"/>
      <x:c r="KO11" s="954"/>
      <x:c r="KP11" s="954"/>
      <x:c r="KQ11" s="954"/>
      <x:c r="KR11" s="954"/>
      <x:c r="KS11" s="954"/>
      <x:c r="KT11" s="954"/>
      <x:c r="KU11" s="954"/>
      <x:c r="KV11" s="954"/>
      <x:c r="KW11" s="954"/>
      <x:c r="KX11" s="954"/>
      <x:c r="KY11" s="954"/>
      <x:c r="KZ11" s="954"/>
      <x:c r="LA11" s="954"/>
      <x:c r="LB11" s="954"/>
      <x:c r="LC11" s="954"/>
      <x:c r="LD11" s="954"/>
      <x:c r="LE11" s="954"/>
      <x:c r="LF11" s="954"/>
      <x:c r="LG11" s="954"/>
      <x:c r="LH11" s="954"/>
      <x:c r="LI11" s="954"/>
      <x:c r="LJ11" s="954"/>
      <x:c r="LK11" s="954"/>
      <x:c r="LL11" s="954"/>
      <x:c r="LM11" s="954"/>
      <x:c r="LN11" s="954"/>
      <x:c r="LO11" s="954"/>
      <x:c r="LP11" s="954"/>
      <x:c r="LQ11" s="954"/>
      <x:c r="LR11" s="954"/>
      <x:c r="LS11" s="954"/>
      <x:c r="LT11" s="954"/>
      <x:c r="LU11" s="954"/>
      <x:c r="LV11" s="954"/>
      <x:c r="LW11" s="954"/>
      <x:c r="LX11" s="954"/>
      <x:c r="LY11" s="954"/>
      <x:c r="LZ11" s="954"/>
      <x:c r="MA11" s="954"/>
      <x:c r="MB11" s="954"/>
      <x:c r="MC11" s="954"/>
      <x:c r="MD11" s="954"/>
      <x:c r="ME11" s="954"/>
      <x:c r="MF11" s="954"/>
      <x:c r="MG11" s="954"/>
      <x:c r="MH11" s="954"/>
      <x:c r="MI11" s="954"/>
      <x:c r="MJ11" s="954"/>
      <x:c r="MK11" s="954"/>
      <x:c r="ML11" s="954"/>
      <x:c r="MM11" s="954"/>
      <x:c r="MN11" s="954"/>
      <x:c r="MO11" s="954"/>
      <x:c r="MP11" s="954"/>
      <x:c r="MQ11" s="954"/>
      <x:c r="MR11" s="954"/>
      <x:c r="MS11" s="954"/>
      <x:c r="MT11" s="954"/>
      <x:c r="MU11" s="954"/>
      <x:c r="MV11" s="954"/>
      <x:c r="MW11" s="954"/>
      <x:c r="MX11" s="954"/>
      <x:c r="MY11" s="954"/>
      <x:c r="MZ11" s="954"/>
      <x:c r="NA11" s="954"/>
      <x:c r="NB11" s="954"/>
      <x:c r="NC11" s="954"/>
      <x:c r="ND11" s="954"/>
      <x:c r="NE11" s="954"/>
      <x:c r="NF11" s="954"/>
      <x:c r="NG11" s="954"/>
      <x:c r="NH11" s="954"/>
      <x:c r="NI11" s="954"/>
      <x:c r="NJ11" s="954"/>
      <x:c r="NK11" s="954"/>
      <x:c r="NL11" s="954"/>
      <x:c r="NM11" s="954"/>
      <x:c r="NN11" s="954"/>
      <x:c r="NO11" s="954"/>
      <x:c r="NP11" s="954"/>
      <x:c r="NQ11" s="954"/>
      <x:c r="NR11" s="954"/>
      <x:c r="NS11" s="954"/>
      <x:c r="NT11" s="954"/>
      <x:c r="NU11" s="954"/>
      <x:c r="NV11" s="954"/>
      <x:c r="NW11" s="954"/>
      <x:c r="NX11" s="954"/>
      <x:c r="NY11" s="954"/>
      <x:c r="NZ11" s="954"/>
      <x:c r="OA11" s="954"/>
      <x:c r="OB11" s="954"/>
      <x:c r="OC11" s="954"/>
      <x:c r="OD11" s="954"/>
      <x:c r="OE11" s="954"/>
      <x:c r="OF11" s="954"/>
      <x:c r="OG11" s="954"/>
      <x:c r="OH11" s="954"/>
      <x:c r="OI11" s="954"/>
      <x:c r="OJ11" s="954"/>
      <x:c r="OK11" s="954"/>
      <x:c r="OL11" s="954"/>
      <x:c r="OM11" s="954"/>
      <x:c r="ON11" s="954"/>
      <x:c r="OO11" s="954"/>
      <x:c r="OP11" s="954"/>
      <x:c r="OQ11" s="954"/>
      <x:c r="OR11" s="954"/>
      <x:c r="OS11" s="954"/>
      <x:c r="OT11" s="954"/>
      <x:c r="OU11" s="954"/>
      <x:c r="OV11" s="954"/>
      <x:c r="OW11" s="954"/>
      <x:c r="OX11" s="954"/>
      <x:c r="OY11" s="954"/>
      <x:c r="OZ11" s="954"/>
      <x:c r="PA11" s="954"/>
      <x:c r="PB11" s="954"/>
      <x:c r="PC11" s="954"/>
      <x:c r="PD11" s="954"/>
      <x:c r="PE11" s="954"/>
      <x:c r="PF11" s="954"/>
      <x:c r="PG11" s="954"/>
      <x:c r="PH11" s="954"/>
      <x:c r="PI11" s="954"/>
      <x:c r="PJ11" s="954"/>
      <x:c r="PK11" s="954"/>
      <x:c r="PL11" s="954"/>
      <x:c r="PM11" s="954"/>
      <x:c r="PN11" s="954"/>
      <x:c r="PO11" s="954"/>
      <x:c r="PP11" s="954"/>
      <x:c r="PQ11" s="954"/>
      <x:c r="PR11" s="954"/>
      <x:c r="PS11" s="954"/>
      <x:c r="PT11" s="954"/>
      <x:c r="PU11" s="954"/>
      <x:c r="PV11" s="954"/>
      <x:c r="PW11" s="954"/>
      <x:c r="PX11" s="954"/>
      <x:c r="PY11" s="954"/>
      <x:c r="PZ11" s="954"/>
      <x:c r="QA11" s="954"/>
      <x:c r="QB11" s="954"/>
      <x:c r="QC11" s="954"/>
      <x:c r="QD11" s="954"/>
      <x:c r="QE11" s="954"/>
    </x:row>
    <x:row r="12" s="954" customFormat="1" ht="76" customHeight="1">
      <x:c r="A12" s="953"/>
      <x:c r="B12" s="1808" t="inlineStr">
        <x:is>
          <x:t xml:space="preserve">3.6</x:t>
        </x:is>
      </x:c>
      <x:c r="C12" s="1800" t="inlineStr">
        <x:is>
          <x:t xml:space="preserve">Fixer et appliquer des règles éthiques pour utiliser les algorithmes, en particulier l’intelligence artificielle. Encadrer l’utilisation des données et assurer leur protection.</x:t>
        </x:is>
      </x:c>
      <x:c r="D12" s="1802"/>
      <x:c r="E12" s="1806"/>
      <x:c r="F12" s="1806"/>
      <x:c r="G12" s="1802"/>
      <x:c r="H12" s="1806"/>
      <x:c r="I12" s="1802"/>
      <x:c r="J12" s="1810" t="str">
        <x:f t="shared" si="0">S12</x:f>
      </x:c>
      <x:c r="K12" s="1790" t="str">
        <x:f t="shared" si="4">IF(IF(ISNUMBER(E12),AND(E12&gt;=0,E12&lt;=3,MOD(E12,1)=0),FALSE),IF(E12=0,0,IF(IF(ISNUMBER(F12),AND(F12&gt;=1,F12&lt;=4,MOD(F12,1)=0),FALSE),E12*10+F12,"")),"")</x:f>
      </x:c>
      <x:c r="L12" s="1790" t="b">
        <x:f t="shared" si="5">IF(ISNUMBER(K12),K12=31,FALSE)</x:f>
        <x:v>0</x:v>
      </x:c>
      <x:c r="M12" s="1790" t="b">
        <x:f t="shared" si="6">IF(ISNUMBER(K12),OR(K12=21,K12=32),FALSE)</x:f>
        <x:v>0</x:v>
      </x:c>
      <x:c r="N12" s="1790" t="b">
        <x:f t="shared" si="7">IF(ISNUMBER(K12),OR(K12=22,K12=33),FALSE)</x:f>
        <x:v>0</x:v>
      </x:c>
      <x:c r="O12" s="1790" t="b">
        <x:f t="shared" si="8">IF(ISNUMBER(K12),OR(K12=11,K12=12),FALSE)</x:f>
        <x:v>0</x:v>
      </x:c>
      <x:c r="P12" s="1790" t="b">
        <x:f t="shared" si="9">IF(ISNUMBER(K12),OR(K12=23,K12=34),FALSE)</x:f>
        <x:v>0</x:v>
      </x:c>
      <x:c r="Q12" s="1790" t="b">
        <x:f t="shared" si="10">IF(ISNUMBER(K12),OR(K12=13,K12=14,K12=24),FALSE)</x:f>
        <x:v>0</x:v>
      </x:c>
      <x:c r="R12" s="1790" t="b">
        <x:f t="shared" si="11">IF(ISNUMBER(K12),K12=0,FALSE)</x:f>
        <x:v>0</x:v>
      </x:c>
      <x:c r="S12" s="1790" t="str">
        <x:f t="shared" si="1">IF(ISNUMBER(T12),INDEX($L$5:$R$5,1,7-T12),"")</x:f>
      </x:c>
      <x:c r="T12" s="1790" t="str">
        <x:f t="shared" si="2">IF(ISNUMBER(K12),IF(L12,6,IF(M12,5,IF(N12,4,IF(O12,3,IF(P12,2,IF(Q12,1,0)))))),"")</x:f>
      </x:c>
      <x:c r="U12" s="1794" t="str">
        <x:f t="shared" si="3">IF(AND(ISNUMBER(T12),ISNUMBER(H12)),IF(AND(H12&gt;=1,H12&lt;=4,MOD(H12,1)=0),T12*10+H12,""),"")</x:f>
      </x:c>
      <x:c r="V12" s="1802"/>
      <x:c r="W12" s="1133"/>
      <x:c r="X12" s="1115"/>
    </x:row>
    <x:row r="13" s="954" customFormat="1" ht="76" customHeight="1">
      <x:c r="A13" s="953"/>
      <x:c r="B13" s="1808" t="inlineStr">
        <x:is>
          <x:t xml:space="preserve">3.7</x:t>
        </x:is>
      </x:c>
      <x:c r="C13" s="1800" t="inlineStr">
        <x:is>
          <x:t xml:space="preserve">Mettre en place et faire connaître les actions de responsabilité sociétale (RSE), qui prennent en compte les effets de l’organisation sur la société et l’environnement.</x:t>
        </x:is>
      </x:c>
      <x:c r="D13" s="1802"/>
      <x:c r="E13" s="1806"/>
      <x:c r="F13" s="1806"/>
      <x:c r="G13" s="1802"/>
      <x:c r="H13" s="1806"/>
      <x:c r="I13" s="1802"/>
      <x:c r="J13" s="1810" t="str">
        <x:f t="shared" si="0">S13</x:f>
      </x:c>
      <x:c r="K13" s="1790" t="str">
        <x:f t="shared" si="4">IF(IF(ISNUMBER(E13),AND(E13&gt;=0,E13&lt;=3,MOD(E13,1)=0),FALSE),IF(E13=0,0,IF(IF(ISNUMBER(F13),AND(F13&gt;=1,F13&lt;=4,MOD(F13,1)=0),FALSE),E13*10+F13,"")),"")</x:f>
      </x:c>
      <x:c r="L13" s="1790" t="b">
        <x:f t="shared" si="5">IF(ISNUMBER(K13),K13=31,FALSE)</x:f>
        <x:v>0</x:v>
      </x:c>
      <x:c r="M13" s="1790" t="b">
        <x:f t="shared" si="6">IF(ISNUMBER(K13),OR(K13=21,K13=32),FALSE)</x:f>
        <x:v>0</x:v>
      </x:c>
      <x:c r="N13" s="1790" t="b">
        <x:f t="shared" si="7">IF(ISNUMBER(K13),OR(K13=22,K13=33),FALSE)</x:f>
        <x:v>0</x:v>
      </x:c>
      <x:c r="O13" s="1790" t="b">
        <x:f t="shared" si="8">IF(ISNUMBER(K13),OR(K13=11,K13=12),FALSE)</x:f>
        <x:v>0</x:v>
      </x:c>
      <x:c r="P13" s="1790" t="b">
        <x:f t="shared" si="9">IF(ISNUMBER(K13),OR(K13=23,K13=34),FALSE)</x:f>
        <x:v>0</x:v>
      </x:c>
      <x:c r="Q13" s="1790" t="b">
        <x:f t="shared" si="10">IF(ISNUMBER(K13),OR(K13=13,K13=14,K13=24),FALSE)</x:f>
        <x:v>0</x:v>
      </x:c>
      <x:c r="R13" s="1790" t="b">
        <x:f t="shared" si="11">IF(ISNUMBER(K13),K13=0,FALSE)</x:f>
        <x:v>0</x:v>
      </x:c>
      <x:c r="S13" s="1790" t="str">
        <x:f t="shared" si="1">IF(ISNUMBER(T13),INDEX($L$5:$R$5,1,7-T13),"")</x:f>
      </x:c>
      <x:c r="T13" s="1790" t="str">
        <x:f t="shared" si="2">IF(ISNUMBER(K13),IF(L13,6,IF(M13,5,IF(N13,4,IF(O13,3,IF(P13,2,IF(Q13,1,0)))))),"")</x:f>
      </x:c>
      <x:c r="U13" s="1794" t="str">
        <x:f t="shared" si="3">IF(AND(ISNUMBER(T13),ISNUMBER(H13)),IF(AND(H13&gt;=1,H13&lt;=4,MOD(H13,1)=0),T13*10+H13,""),"")</x:f>
      </x:c>
      <x:c r="V13" s="1802"/>
      <x:c r="W13" s="1112"/>
      <x:c r="X13" s="1109"/>
    </x:row>
    <x:row r="14" s="954" customFormat="1" ht="76" customHeight="1">
      <x:c r="A14" s="953"/>
      <x:c r="B14" s="1808" t="inlineStr">
        <x:is>
          <x:t xml:space="preserve">3.8</x:t>
        </x:is>
      </x:c>
      <x:c r="C14" s="1800" t="inlineStr">
        <x:is>
          <x:t xml:space="preserve">Indiquer quand une intelligence artificielle répond et expliquer comment elle prend ses décisions. Garder un contrôle humain sur les sujets sensibles.</x:t>
        </x:is>
      </x:c>
      <x:c r="D14" s="1802"/>
      <x:c r="E14" s="1806"/>
      <x:c r="F14" s="1806"/>
      <x:c r="G14" s="1802"/>
      <x:c r="H14" s="1806"/>
      <x:c r="I14" s="1802"/>
      <x:c r="J14" s="1810" t="n">
        <x:f>S14</x:f>
        <x:v>0</x:v>
      </x:c>
      <x:c r="K14" s="1790" t="str">
        <x:f>IF(IF(ISNUMBER(E14),AND(E14&gt;=0,E14&lt;=3,MOD(E14,1)=0),FALSE),IF(E14=0,0,IF(IF(ISNUMBER(F14),AND(F14&gt;=1,F14&lt;=4,MOD(F14,1)=0),FALSE),E14*10+F14,"")),"")</x:f>
      </x:c>
      <x:c r="L14" s="1790" t="b">
        <x:f>IF(ISNUMBER(K14),K14=31,FALSE)</x:f>
        <x:v>0</x:v>
      </x:c>
      <x:c r="M14" s="1790" t="b">
        <x:f>IF(ISNUMBER(K14),OR(K14=21,K14=32),FALSE)</x:f>
        <x:v>0</x:v>
      </x:c>
      <x:c r="N14" s="1790" t="b">
        <x:f>IF(ISNUMBER(K14),OR(K14=22,K14=33),FALSE)</x:f>
        <x:v>0</x:v>
      </x:c>
      <x:c r="O14" s="1790" t="b">
        <x:f>IF(ISNUMBER(K14),OR(K14=11,K14=12),FALSE)</x:f>
        <x:v>0</x:v>
      </x:c>
      <x:c r="P14" s="1790" t="b">
        <x:f>IF(ISNUMBER(K14),OR(K14=23,K14=34),FALSE)</x:f>
        <x:v>0</x:v>
      </x:c>
      <x:c r="Q14" s="1790" t="b">
        <x:f>IF(ISNUMBER(K14),OR(K14=13,K14=14,K14=24),FALSE)</x:f>
        <x:v>0</x:v>
      </x:c>
      <x:c r="R14" s="1790" t="b">
        <x:f>IF(ISNUMBER(K14),K14=0,FALSE)</x:f>
        <x:v>0</x:v>
      </x:c>
      <x:c r="S14" s="1790" t="str">
        <x:f>IF(ISNUMBER(T14),INDEX($L$5:$R$5,1,7-T14),"")</x:f>
      </x:c>
      <x:c r="T14" s="1790" t="str">
        <x:f>IF(ISNUMBER(K14),IF(L14,6,IF(M14,5,IF(N14,4,IF(O14,3,IF(P14,2,IF(Q14,1,0)))))),"")</x:f>
      </x:c>
      <x:c r="U14" s="1794" t="str">
        <x:f>IF(AND(ISNUMBER(T14),ISNUMBER(H14)),IF(AND(H14&gt;=1,H14&lt;=4,MOD(H14,1)=0),T14*10+H14,""),"")</x:f>
      </x:c>
      <x:c r="V14" s="1802"/>
      <x:c r="W14" s="1112"/>
      <x:c r="X14" s="1109"/>
    </x:row>
  </x:sheetData>
  <x:mergeCells>
    <x:mergeCell ref="B6:W6"/>
    <x:mergeCell ref="B4:C5"/>
    <x:mergeCell ref="D4:E4"/>
    <x:mergeCell ref="F4:G4"/>
    <x:mergeCell ref="H4:I4"/>
    <x:mergeCell ref="V4:X4"/>
    <x:mergeCell ref="B2:J3"/>
  </x:mergeCells>
  <x:conditionalFormatting sqref="J7:J14">
    <x:cfRule type="expression" dxfId="1640" priority="5595">
      <x:formula>AND(ISNUMBER($T7),$T7=6)</x:formula>
    </x:cfRule>
    <x:cfRule type="expression" dxfId="1641" priority="5596">
      <x:formula>AND(ISNUMBER($T7),$T7=5)</x:formula>
    </x:cfRule>
    <x:cfRule type="expression" dxfId="1642" priority="5597">
      <x:formula>AND(ISNUMBER($T7),$T7=4)</x:formula>
    </x:cfRule>
    <x:cfRule type="expression" dxfId="1643" priority="5598">
      <x:formula>AND(ISNUMBER($T7),$T7=3)</x:formula>
    </x:cfRule>
    <x:cfRule type="expression" dxfId="1644" priority="5599">
      <x:formula>AND(ISNUMBER($T7),$T7=2)</x:formula>
    </x:cfRule>
    <x:cfRule type="expression" dxfId="1645" priority="5600">
      <x:formula>AND(ISNUMBER($T7),$T7=1)</x:formula>
    </x:cfRule>
    <x:cfRule type="expression" dxfId="1646" priority="5601">
      <x:formula>AND(ISNUMBER($T7),$T7=0)</x:formula>
    </x:cfRule>
  </x:conditionalFormatting>
  <x:dataValidations count="3">
    <x:dataValidation type="list" allowBlank="1" showInputMessage="1" showErrorMessage="1" errorStyle="stop" showDropDown="0" sqref="E7:E14"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4"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4"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7.xml><?xml version="1.0" encoding="utf-8"?>
<x:worksheet xmlns:x="http://schemas.openxmlformats.org/spreadsheetml/2006/main">
  <x:sheetPr>
    <x:tabColor rgb="FF00B0F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8" hidden="0" customWidth="1"/>
    <x:col min="2" max="2" width="7" style="871" hidden="0" customWidth="1"/>
    <x:col min="3" max="3" width="44" style="872" hidden="0" customWidth="1"/>
    <x:col min="4" max="4" width="34" style="873" hidden="0" customWidth="1"/>
    <x:col min="5" max="5" width="9" style="868" hidden="0" customWidth="1"/>
    <x:col min="6" max="6" width="9" style="874" hidden="0" customWidth="1"/>
    <x:col min="7" max="7" width="34" style="873" hidden="0" customWidth="1"/>
    <x:col min="8" max="8" width="12" style="873" hidden="0" customWidth="1"/>
    <x:col min="9" max="9" width="32" style="873" hidden="0" customWidth="1"/>
    <x:col min="10" max="10" width="23" style="873" hidden="0" customWidth="1"/>
    <x:col min="11" max="11" width="5.6640625" style="868" hidden="1" customWidth="1"/>
    <x:col min="12" max="12" width="5.6640625" style="868" hidden="1" customWidth="1"/>
    <x:col min="13" max="13" width="5.6640625" style="868" hidden="1" customWidth="1"/>
    <x:col min="14" max="14" width="5.6640625" style="868" hidden="1" customWidth="1"/>
    <x:col min="15" max="15" width="5.6640625" style="868" hidden="1" customWidth="1"/>
    <x:col min="16" max="16" width="5.6640625" style="868" hidden="1" customWidth="1"/>
    <x:col min="17" max="17" width="5.6640625" style="868" hidden="1" customWidth="1"/>
    <x:col min="18" max="18" width="5.6640625" style="868" hidden="1" customWidth="1"/>
    <x:col min="19" max="19" width="5.6640625" style="868" hidden="1" customWidth="1"/>
    <x:col min="20" max="20" width="5.6640625" style="868" hidden="1" customWidth="1"/>
    <x:col min="21" max="21" width="5.6640625" style="868" hidden="1" customWidth="1"/>
    <x:col min="22" max="22" width="46" style="873" hidden="0" customWidth="1"/>
    <x:col min="23" max="23" width="54.33203125" style="873" hidden="1" customWidth="1"/>
    <x:col min="24" max="24" width="48.33203125" style="868" hidden="1" customWidth="1"/>
    <x:col min="25" max="25" width="10.6640625" style="868" customWidth="0" hidden="0"/>
    <x:col min="26" max="26" width="10.6640625" style="868" customWidth="0" hidden="0"/>
    <x:col min="27" max="27" width="10.6640625" style="868" customWidth="0" hidden="0"/>
    <x:col min="28" max="28" width="10.6640625" style="868" customWidth="0" hidden="0"/>
    <x:col min="29" max="29" width="10.6640625" style="868" customWidth="0" hidden="0"/>
    <x:col min="30" max="30" width="10.6640625" style="868" customWidth="0" hidden="0"/>
    <x:col min="31" max="31" width="10.6640625" style="868" customWidth="0" hidden="0"/>
    <x:col min="32" max="32" width="10.6640625" style="868" customWidth="0" hidden="0"/>
    <x:col min="33" max="33" width="10.6640625" style="868" customWidth="0" hidden="0"/>
    <x:col min="34" max="34" width="10.6640625" style="868" customWidth="0" hidden="0"/>
    <x:col min="35" max="35" width="10.6640625" style="868" customWidth="0" hidden="0"/>
    <x:col min="36" max="36" width="10.6640625" style="868" customWidth="0" hidden="0"/>
    <x:col min="37" max="37" width="10.6640625" style="868" customWidth="0" hidden="0"/>
    <x:col min="38" max="38" width="10.6640625" style="868" customWidth="0" hidden="0"/>
    <x:col min="39" max="39" width="10.6640625" style="868" customWidth="0" hidden="0"/>
    <x:col min="40" max="40" width="10.6640625" style="868" customWidth="0" hidden="0"/>
    <x:col min="41" max="41" width="10.6640625" style="868" customWidth="0" hidden="0"/>
    <x:col min="42" max="42" width="10.6640625" style="868" customWidth="0" hidden="0"/>
    <x:col min="43" max="43" width="10.6640625" style="868" customWidth="0" hidden="0"/>
    <x:col min="44" max="44" width="10.6640625" style="868" customWidth="0" hidden="0"/>
    <x:col min="45" max="45" width="10.6640625" style="868" customWidth="0" hidden="0"/>
  </x:cols>
  <x:sheetData>
    <x:row r="1" s="863" customFormat="1" ht="8" customHeight="1">
      <x:c r="B1" s="864"/>
      <x:c r="C1" s="865"/>
      <x:c r="D1" s="866"/>
      <x:c r="F1" s="867"/>
      <x:c r="G1" s="866"/>
      <x:c r="H1" s="866"/>
      <x:c r="I1" s="866"/>
      <x:c r="J1" s="866"/>
      <x:c r="L1" s="863">
        <x:v>0</x:v>
      </x:c>
      <x:c r="M1" s="863">
        <x:v>1</x:v>
      </x:c>
      <x:c r="N1" s="863">
        <x:v>2</x:v>
      </x:c>
      <x:c r="O1" s="863">
        <x:v>3</x:v>
      </x:c>
      <x:c r="P1" s="863">
        <x:v>4</x:v>
      </x:c>
      <x:c r="Q1" s="863">
        <x:v>5</x:v>
      </x:c>
      <x:c r="V1" s="866"/>
      <x:c r="W1" s="866"/>
    </x:row>
    <x:row r="2" s="863" customFormat="1" ht="30" customHeight="1">
      <x:c r="B2" s="1719" t="str">
        <x:v>ONR 4 : Résilience et stratégie · Utiliser le numérique responsable pour aider l’organisation à faire face aux difficultés et à s’adapter</x:v>
      </x:c>
      <x:c r="C2" s="1720"/>
      <x:c r="D2" s="1720"/>
      <x:c r="E2" s="1720"/>
      <x:c r="F2" s="1720"/>
      <x:c r="G2" s="1721"/>
      <x:c r="H2" s="1726"/>
      <x:c r="I2" s="1726"/>
      <x:c r="J2" s="1726"/>
      <x:c r="V2" s="866"/>
      <x:c r="W2" s="866"/>
    </x:row>
    <x:row r="3" s="863" customFormat="1" ht="24" customHeight="1">
      <x:c r="B3" s="1850"/>
      <x:c r="C3" s="1851"/>
      <x:c r="D3" s="1851"/>
      <x:c r="E3" s="1851"/>
      <x:c r="F3" s="1851"/>
      <x:c r="G3" s="1851"/>
      <x:c r="H3" s="1851"/>
      <x:c r="I3" s="1851"/>
      <x:c r="J3" s="1852"/>
      <x:c r="K3" s="1168"/>
      <x:c r="L3" s="1168"/>
      <x:c r="M3" s="1168"/>
      <x:c r="N3" s="1168"/>
      <x:c r="O3" s="1168"/>
      <x:c r="P3" s="1168"/>
      <x:c r="Q3" s="1168"/>
      <x:c r="R3" s="1168"/>
      <x:c r="S3" s="1168"/>
      <x:c r="T3" s="1168"/>
      <x:c r="U3" s="1168"/>
      <x:c r="V3" s="1167"/>
      <x:c r="W3" s="1174"/>
    </x:row>
    <x:row r="4" ht="27" customHeight="1">
      <x:c r="A4" s="863"/>
      <x:c r="B4" s="1888" t="str">
        <x:v>Cibles à évaluer</x:v>
      </x:c>
      <x:c r="C4" s="1889"/>
      <x:c r="D4" s="1739" t="inlineStr">
        <x:is>
          <x:t xml:space="preserve">Importance de la cible</x:t>
        </x:is>
      </x:c>
      <x:c r="E4" s="1740"/>
      <x:c r="F4" s="1743" t="inlineStr">
        <x:is>
          <x:t xml:space="preserve">Performance actuelle</x:t>
        </x:is>
      </x:c>
      <x:c r="G4" s="1744"/>
      <x:c r="H4" s="1747" t="str">
        <x:v>Compétences internes et externes</x:v>
      </x:c>
      <x:c r="I4" s="1748"/>
      <x:c r="J4" s="1751" t="inlineStr">
        <x:is>
          <x:t xml:space="preserve">Priorité</x:t>
        </x:is>
      </x:c>
      <x:c r="K4" s="1643"/>
      <x:c r="L4" s="1643"/>
      <x:c r="M4" s="1643"/>
      <x:c r="N4" s="1643"/>
      <x:c r="O4" s="1643"/>
      <x:c r="P4" s="1643"/>
      <x:c r="Q4" s="1643"/>
      <x:c r="R4" s="1643"/>
      <x:c r="S4" s="1643"/>
      <x:c r="T4" s="1643"/>
      <x:c r="U4" s="1643"/>
      <x:c r="V4" s="1753" t="inlineStr">
        <x:is>
          <x:t xml:space="preserve">Mise en œuvre</x:t>
        </x:is>
      </x:c>
      <x:c r="W4" s="1754"/>
      <x:c r="X4" s="1754"/>
    </x:row>
    <x:row r="5" s="870" customFormat="1" ht="56" customHeight="1">
      <x:c r="A5" s="869"/>
      <x:c r="B5" s="1890"/>
      <x:c r="C5" s="1891"/>
      <x:c r="D5" s="1741" t="inlineStr">
        <x:is>
          <x:t xml:space="preserve">Avantages possibles et risques</x:t>
        </x:is>
      </x:c>
      <x:c r="E5" s="1892" t="inlineStr">
        <x:is>
          <x:t xml:space="preserve">Importance</x:t>
        </x:is>
      </x:c>
      <x:c r="F5" s="1893" t="inlineStr">
        <x:is>
          <x:t xml:space="preserve">Niveau actuel</x:t>
        </x:is>
      </x:c>
      <x:c r="G5" s="1894" t="inlineStr">
        <x:is>
          <x:t xml:space="preserve">Ce qui est déjà fait et ce qui justifie la note</x:t>
        </x:is>
      </x:c>
      <x:c r="H5" s="1895" t="inlineStr">
        <x:is>
          <x:t xml:space="preserve">Compétences nécessaires</x:t>
        </x:is>
      </x:c>
      <x:c r="I5" s="1896" t="inlineStr">
        <x:is>
          <x:t xml:space="preserve">Points forts et points faibles</x:t>
        </x:is>
      </x:c>
      <x:c r="J5" s="1752" t="inlineStr">
        <x:is>
          <x:t xml:space="preserve">Niveau de priorité</x:t>
        </x:is>
      </x:c>
      <x:c r="K5" s="1762" t="inlineStr">
        <x:is>
          <x:t xml:space="preserve">Clé de priorisation</x:t>
        </x:is>
      </x:c>
      <x:c r="L5" s="1655" t="inlineStr">
        <x:is>
          <x:t xml:space="preserve">Intervention urgente</x:t>
        </x:is>
      </x:c>
      <x:c r="M5" s="1656" t="inlineStr">
        <x:is>
          <x:t xml:space="preserve">Intervention prioritaire</x:t>
        </x:is>
      </x:c>
      <x:c r="N5" s="1657" t="inlineStr">
        <x:is>
          <x:t xml:space="preserve">Intervention à moyen terme</x:t>
        </x:is>
      </x:c>
      <x:c r="O5" s="1658" t="inlineStr">
        <x:is>
          <x:t xml:space="preserve">Intervention à long terme</x:t>
        </x:is>
      </x:c>
      <x:c r="P5" s="1659" t="inlineStr">
        <x:is>
          <x:t xml:space="preserve">Intervention de consolidation</x:t>
        </x:is>
      </x:c>
      <x:c r="Q5" s="1660" t="inlineStr">
        <x:is>
          <x:t xml:space="preserve">Intervention non prioritaire</x:t>
        </x:is>
      </x:c>
      <x:c r="R5" s="1661" t="inlineStr">
        <x:is>
          <x:t xml:space="preserve">Intervention non pertinente</x:t>
        </x:is>
      </x:c>
      <x:c r="S5" s="1763" t="inlineStr">
        <x:is>
          <x:t xml:space="preserve">Libellé de priorité</x:t>
        </x:is>
      </x:c>
      <x:c r="T5" s="1763" t="inlineStr">
        <x:is>
          <x:t xml:space="preserve">Score de priorité</x:t>
        </x:is>
      </x:c>
      <x:c r="U5" s="1763" t="inlineStr">
        <x:is>
          <x:t xml:space="preserve">Code priorité et compétences</x:t>
        </x:is>
      </x:c>
      <x:c r="V5" s="1755" t="inlineStr">
        <x:is>
          <x:t xml:space="preserve">Actions proposées pour atteindre la cible</x:t>
        </x:is>
      </x:c>
      <x:c r="W5" s="1897"/>
      <x:c r="X5" s="1757"/>
    </x:row>
    <x:row r="6" s="877" customFormat="1" ht="34" customHeight="1">
      <x:c r="A6" s="876"/>
      <x:c r="B6" s="1901" t="str">
        <x:v>Renseigner les cellules jaunes pour les notes, puis les textes utiles. La priorité se calcule automatiquement. Faire défiler vers la droite pour proposer des actions.</x:v>
      </x:c>
      <x:c r="C6" s="1902"/>
      <x:c r="D6" s="1867"/>
      <x:c r="E6" s="1867"/>
      <x:c r="F6" s="1867"/>
      <x:c r="G6" s="1867"/>
      <x:c r="H6" s="1867"/>
      <x:c r="I6" s="1867"/>
      <x:c r="J6" s="1867"/>
      <x:c r="K6" s="1867"/>
      <x:c r="L6" s="1867"/>
      <x:c r="M6" s="1867"/>
      <x:c r="N6" s="1867"/>
      <x:c r="O6" s="1867"/>
      <x:c r="P6" s="1867"/>
      <x:c r="Q6" s="1867"/>
      <x:c r="R6" s="1867"/>
      <x:c r="S6" s="1867"/>
      <x:c r="T6" s="1867"/>
      <x:c r="U6" s="1867"/>
      <x:c r="V6" s="1867"/>
      <x:c r="W6" s="1903"/>
    </x:row>
    <x:row r="7" s="954" customFormat="1" ht="76" customHeight="1">
      <x:c r="A7" s="953"/>
      <x:c r="B7" s="1808" t="inlineStr">
        <x:is>
          <x:t xml:space="preserve">4.1</x:t>
        </x:is>
      </x:c>
      <x:c r="C7" s="1800" t="inlineStr">
        <x:is>
          <x:t xml:space="preserve">Suivre des normes communes pour recueillir, regrouper, analyser et partager les données sur les effets des technologies de l’information et de la communication (TIC).</x:t>
        </x:is>
      </x:c>
      <x:c r="D7" s="1802"/>
      <x:c r="E7" s="1806"/>
      <x:c r="F7" s="1806"/>
      <x:c r="G7" s="1802"/>
      <x:c r="H7" s="1806"/>
      <x:c r="I7" s="1802"/>
      <x:c r="J7" s="1810" t="str">
        <x:f t="shared" ref="J7:J9" si="0">S7</x:f>
      </x:c>
      <x:c r="K7" s="1787" t="str">
        <x:f>IF(IF(ISNUMBER(E7),AND(E7&gt;=0,E7&lt;=3,MOD(E7,1)=0),FALSE),IF(E7=0,0,IF(IF(ISNUMBER(F7),AND(F7&gt;=1,F7&lt;=4,MOD(F7,1)=0),FALSE),E7*10+F7,"")),"")</x:f>
      </x:c>
      <x:c r="L7" s="1787" t="b">
        <x:f>IF(ISNUMBER(K7),K7=31,FALSE)</x:f>
        <x:v>0</x:v>
      </x:c>
      <x:c r="M7" s="1787" t="b">
        <x:f>IF(ISNUMBER(K7),OR(K7=21,K7=32),FALSE)</x:f>
        <x:v>0</x:v>
      </x:c>
      <x:c r="N7" s="1787" t="b">
        <x:f>IF(ISNUMBER(K7),OR(K7=22,K7=33),FALSE)</x:f>
        <x:v>0</x:v>
      </x:c>
      <x:c r="O7" s="1787" t="b">
        <x:f>IF(ISNUMBER(K7),OR(K7=11,K7=12),FALSE)</x:f>
        <x:v>0</x:v>
      </x:c>
      <x:c r="P7" s="1787" t="b">
        <x:f>IF(ISNUMBER(K7),OR(K7=23,K7=34),FALSE)</x:f>
        <x:v>0</x:v>
      </x:c>
      <x:c r="Q7" s="1787" t="b">
        <x:f>IF(ISNUMBER(K7),OR(K7=13,K7=14,K7=24),FALSE)</x:f>
        <x:v>0</x:v>
      </x:c>
      <x:c r="R7" s="1787" t="b">
        <x:f>IF(ISNUMBER(K7),K7=0,FALSE)</x:f>
        <x:v>0</x:v>
      </x:c>
      <x:c r="S7" s="1787" t="str">
        <x:f t="shared" ref="S7:S9" si="1">IF(ISNUMBER(T7),INDEX($L$5:$R$5,1,7-T7),"")</x:f>
      </x:c>
      <x:c r="T7" s="1787" t="str">
        <x:f t="shared" ref="T7:T9" si="2">IF(ISNUMBER(K7),IF(L7,6,IF(M7,5,IF(N7,4,IF(O7,3,IF(P7,2,IF(Q7,1,0)))))),"")</x:f>
      </x:c>
      <x:c r="U7" s="1787" t="str">
        <x:f t="shared" ref="U7:U9" si="3">IF(AND(ISNUMBER(T7),ISNUMBER(H7)),IF(AND(H7&gt;=1,H7&lt;=4,MOD(H7,1)=0),T7*10+H7,""),"")</x:f>
      </x:c>
      <x:c r="V7" s="1802"/>
      <x:c r="W7" s="1111"/>
      <x:c r="X7" s="1109"/>
    </x:row>
    <x:row r="8" s="954" customFormat="1" ht="70" customHeight="1">
      <x:c r="A8" s="953"/>
      <x:c r="B8" s="1808" t="inlineStr">
        <x:is>
          <x:t xml:space="preserve">4.2</x:t>
        </x:is>
      </x:c>
      <x:c r="C8" s="1800" t="inlineStr">
        <x:is>
          <x:t xml:space="preserve">Évaluer les services numériques au fil du temps et partager les résultats.</x:t>
        </x:is>
      </x:c>
      <x:c r="D8" s="1802"/>
      <x:c r="E8" s="1806"/>
      <x:c r="F8" s="1806"/>
      <x:c r="G8" s="1802"/>
      <x:c r="H8" s="1806"/>
      <x:c r="I8" s="1802"/>
      <x:c r="J8" s="1810" t="str">
        <x:f t="shared" si="0">S8</x:f>
      </x:c>
      <x:c r="K8" s="1781" t="str">
        <x:f t="shared" ref="K8:K9" si="4">IF(IF(ISNUMBER(E8),AND(E8&gt;=0,E8&lt;=3,MOD(E8,1)=0),FALSE),IF(E8=0,0,IF(IF(ISNUMBER(F8),AND(F8&gt;=1,F8&lt;=4,MOD(F8,1)=0),FALSE),E8*10+F8,"")),"")</x:f>
      </x:c>
      <x:c r="L8" s="1781" t="b">
        <x:f t="shared" ref="L8:L9" si="5">IF(ISNUMBER(K8),K8=31,FALSE)</x:f>
        <x:v>0</x:v>
      </x:c>
      <x:c r="M8" s="1781" t="b">
        <x:f t="shared" ref="M8:M9" si="6">IF(ISNUMBER(K8),OR(K8=21,K8=32),FALSE)</x:f>
        <x:v>0</x:v>
      </x:c>
      <x:c r="N8" s="1781" t="b">
        <x:f t="shared" ref="N8:N9" si="7">IF(ISNUMBER(K8),OR(K8=22,K8=33),FALSE)</x:f>
        <x:v>0</x:v>
      </x:c>
      <x:c r="O8" s="1781" t="b">
        <x:f t="shared" ref="O8:O9" si="8">IF(ISNUMBER(K8),OR(K8=11,K8=12),FALSE)</x:f>
        <x:v>0</x:v>
      </x:c>
      <x:c r="P8" s="1781" t="b">
        <x:f t="shared" ref="P8:P9" si="9">IF(ISNUMBER(K8),OR(K8=23,K8=34),FALSE)</x:f>
        <x:v>0</x:v>
      </x:c>
      <x:c r="Q8" s="1781" t="b">
        <x:f t="shared" ref="Q8:Q9" si="10">IF(ISNUMBER(K8),OR(K8=13,K8=14,K8=24),FALSE)</x:f>
        <x:v>0</x:v>
      </x:c>
      <x:c r="R8" s="1781" t="b">
        <x:f t="shared" ref="R8:R9" si="11">IF(ISNUMBER(K8),K8=0,FALSE)</x:f>
        <x:v>0</x:v>
      </x:c>
      <x:c r="S8" s="1781" t="str">
        <x:f t="shared" si="1">IF(ISNUMBER(T8),INDEX($L$5:$R$5,1,7-T8),"")</x:f>
      </x:c>
      <x:c r="T8" s="1781" t="str">
        <x:f t="shared" si="2">IF(ISNUMBER(K8),IF(L8,6,IF(M8,5,IF(N8,4,IF(O8,3,IF(P8,2,IF(Q8,1,0)))))),"")</x:f>
      </x:c>
      <x:c r="U8" s="1794" t="str">
        <x:f t="shared" si="3">IF(AND(ISNUMBER(T8),ISNUMBER(H8)),IF(AND(H8&gt;=1,H8&lt;=4,MOD(H8,1)=0),T8*10+H8,""),"")</x:f>
      </x:c>
      <x:c r="V8" s="1802"/>
      <x:c r="W8" s="1110"/>
      <x:c r="X8" s="1109"/>
    </x:row>
    <x:row r="9" s="954" customFormat="1" ht="70" customHeight="1">
      <x:c r="A9" s="953"/>
      <x:c r="B9" s="1808" t="inlineStr">
        <x:is>
          <x:t xml:space="preserve">4.3</x:t>
        </x:is>
      </x:c>
      <x:c r="C9" s="1800" t="inlineStr">
        <x:is>
          <x:t xml:space="preserve">Innover en utilisant de nouveaux outils numériques. Évaluer leurs effets et expliquer les résultats aux personnes qui les utilisent.</x:t>
        </x:is>
      </x:c>
      <x:c r="D9" s="1802"/>
      <x:c r="E9" s="1806"/>
      <x:c r="F9" s="1806"/>
      <x:c r="G9" s="1802"/>
      <x:c r="H9" s="1806"/>
      <x:c r="I9" s="1802"/>
      <x:c r="J9" s="1810" t="str">
        <x:f t="shared" si="0">S9</x:f>
      </x:c>
      <x:c r="K9" s="1787" t="str">
        <x:f t="shared" si="4">IF(IF(ISNUMBER(E9),AND(E9&gt;=0,E9&lt;=3,MOD(E9,1)=0),FALSE),IF(E9=0,0,IF(IF(ISNUMBER(F9),AND(F9&gt;=1,F9&lt;=4,MOD(F9,1)=0),FALSE),E9*10+F9,"")),"")</x:f>
      </x:c>
      <x:c r="L9" s="1787" t="b">
        <x:f t="shared" si="5">IF(ISNUMBER(K9),K9=31,FALSE)</x:f>
        <x:v>0</x:v>
      </x:c>
      <x:c r="M9" s="1787" t="b">
        <x:f t="shared" si="6">IF(ISNUMBER(K9),OR(K9=21,K9=32),FALSE)</x:f>
        <x:v>0</x:v>
      </x:c>
      <x:c r="N9" s="1787" t="b">
        <x:f t="shared" si="7">IF(ISNUMBER(K9),OR(K9=22,K9=33),FALSE)</x:f>
        <x:v>0</x:v>
      </x:c>
      <x:c r="O9" s="1787" t="b">
        <x:f t="shared" si="8">IF(ISNUMBER(K9),OR(K9=11,K9=12),FALSE)</x:f>
        <x:v>0</x:v>
      </x:c>
      <x:c r="P9" s="1787" t="b">
        <x:f t="shared" si="9">IF(ISNUMBER(K9),OR(K9=23,K9=34),FALSE)</x:f>
        <x:v>0</x:v>
      </x:c>
      <x:c r="Q9" s="1787" t="b">
        <x:f t="shared" si="10">IF(ISNUMBER(K9),OR(K9=13,K9=14,K9=24),FALSE)</x:f>
        <x:v>0</x:v>
      </x:c>
      <x:c r="R9" s="1787" t="b">
        <x:f t="shared" si="11">IF(ISNUMBER(K9),K9=0,FALSE)</x:f>
        <x:v>0</x:v>
      </x:c>
      <x:c r="S9" s="1787" t="str">
        <x:f t="shared" si="1">IF(ISNUMBER(T9),INDEX($L$5:$R$5,1,7-T9),"")</x:f>
      </x:c>
      <x:c r="T9" s="1787" t="str">
        <x:f t="shared" si="2">IF(ISNUMBER(K9),IF(L9,6,IF(M9,5,IF(N9,4,IF(O9,3,IF(P9,2,IF(Q9,1,0)))))),"")</x:f>
      </x:c>
      <x:c r="U9" s="1787" t="str">
        <x:f t="shared" si="3">IF(AND(ISNUMBER(T9),ISNUMBER(H9)),IF(AND(H9&gt;=1,H9&lt;=4,MOD(H9,1)=0),T9*10+H9,""),"")</x:f>
      </x:c>
      <x:c r="V9" s="1802"/>
      <x:c r="W9" s="1123"/>
      <x:c r="X9" s="1115"/>
    </x:row>
    <x:row r="10" ht="70" customHeight="1">
      <x:c r="B10" s="1808" t="inlineStr">
        <x:is>
          <x:t xml:space="preserve">4.4</x:t>
        </x:is>
      </x:c>
      <x:c r="C10" s="1800" t="inlineStr">
        <x:is>
          <x:t xml:space="preserve">Renforcer la souveraineté numérique : garder la maîtrise de nos choix, de nos outils et de nos données.</x:t>
        </x:is>
      </x:c>
      <x:c r="D10" s="1802"/>
      <x:c r="E10" s="1806"/>
      <x:c r="F10" s="1806"/>
      <x:c r="G10" s="1802"/>
      <x:c r="H10" s="1806"/>
      <x:c r="I10" s="1802"/>
      <x:c r="J10" s="1810" t="n">
        <x:f t="shared" ref="J10" si="12">S10</x:f>
        <x:v>0</x:v>
      </x:c>
      <x:c r="K10" s="1787" t="str">
        <x:f t="shared" ref="K10" si="13">IF(IF(ISNUMBER(E10),AND(E10&gt;=0,E10&lt;=3,MOD(E10,1)=0),FALSE),IF(E10=0,0,IF(IF(ISNUMBER(F10),AND(F10&gt;=1,F10&lt;=4,MOD(F10,1)=0),FALSE),E10*10+F10,"")),"")</x:f>
      </x:c>
      <x:c r="L10" s="1787" t="b">
        <x:f t="shared" ref="L10" si="14">IF(ISNUMBER(K10),K10=31,FALSE)</x:f>
        <x:v>0</x:v>
      </x:c>
      <x:c r="M10" s="1787" t="b">
        <x:f t="shared" ref="M10" si="15">IF(ISNUMBER(K10),OR(K10=21,K10=32),FALSE)</x:f>
        <x:v>0</x:v>
      </x:c>
      <x:c r="N10" s="1787" t="b">
        <x:f t="shared" ref="N10" si="16">IF(ISNUMBER(K10),OR(K10=22,K10=33),FALSE)</x:f>
        <x:v>0</x:v>
      </x:c>
      <x:c r="O10" s="1787" t="b">
        <x:f t="shared" ref="O10" si="17">IF(ISNUMBER(K10),OR(K10=11,K10=12),FALSE)</x:f>
        <x:v>0</x:v>
      </x:c>
      <x:c r="P10" s="1787" t="b">
        <x:f t="shared" ref="P10" si="18">IF(ISNUMBER(K10),OR(K10=23,K10=34),FALSE)</x:f>
        <x:v>0</x:v>
      </x:c>
      <x:c r="Q10" s="1787" t="b">
        <x:f t="shared" ref="Q10" si="19">IF(ISNUMBER(K10),OR(K10=13,K10=14,K10=24),FALSE)</x:f>
        <x:v>0</x:v>
      </x:c>
      <x:c r="R10" s="1787" t="b">
        <x:f t="shared" ref="R10" si="20">IF(ISNUMBER(K10),K10=0,FALSE)</x:f>
        <x:v>0</x:v>
      </x:c>
      <x:c r="S10" s="1787" t="str">
        <x:f t="shared" ref="S10" si="21">IF(ISNUMBER(T10),INDEX($L$5:$R$5,1,7-T10),"")</x:f>
      </x:c>
      <x:c r="T10" s="1787" t="str">
        <x:f t="shared" ref="T10" si="22">IF(ISNUMBER(K10),IF(L10,6,IF(M10,5,IF(N10,4,IF(O10,3,IF(P10,2,IF(Q10,1,0)))))),"")</x:f>
      </x:c>
      <x:c r="U10" s="1787" t="str">
        <x:f t="shared" ref="U10" si="23">IF(AND(ISNUMBER(T10),ISNUMBER(H10)),IF(AND(H10&gt;=1,H10&lt;=4,MOD(H10,1)=0),T10*10+H10,""),"")</x:f>
      </x:c>
      <x:c r="V10" s="1802"/>
      <x:c r="W10" s="1123"/>
      <x:c r="X10" s="1115"/>
    </x:row>
  </x:sheetData>
  <x:mergeCells>
    <x:mergeCell ref="B6:W6"/>
    <x:mergeCell ref="B4:C5"/>
    <x:mergeCell ref="D4:E4"/>
    <x:mergeCell ref="F4:G4"/>
    <x:mergeCell ref="H4:I4"/>
    <x:mergeCell ref="V4:X4"/>
    <x:mergeCell ref="B2:J3"/>
  </x:mergeCells>
  <x:conditionalFormatting sqref="J7:J10">
    <x:cfRule type="expression" dxfId="1647" priority="407">
      <x:formula>AND(ISNUMBER($T7),$T7=6)</x:formula>
    </x:cfRule>
    <x:cfRule type="expression" dxfId="1648" priority="408">
      <x:formula>AND(ISNUMBER($T7),$T7=5)</x:formula>
    </x:cfRule>
    <x:cfRule type="expression" dxfId="1649" priority="409">
      <x:formula>AND(ISNUMBER($T7),$T7=4)</x:formula>
    </x:cfRule>
    <x:cfRule type="expression" dxfId="1650" priority="410">
      <x:formula>AND(ISNUMBER($T7),$T7=3)</x:formula>
    </x:cfRule>
    <x:cfRule type="expression" dxfId="1651" priority="411">
      <x:formula>AND(ISNUMBER($T7),$T7=2)</x:formula>
    </x:cfRule>
    <x:cfRule type="expression" dxfId="1652" priority="412">
      <x:formula>AND(ISNUMBER($T7),$T7=1)</x:formula>
    </x:cfRule>
    <x:cfRule type="expression" dxfId="1653" priority="413">
      <x:formula>AND(ISNUMBER($T7),$T7=0)</x:formula>
    </x:cfRule>
  </x:conditionalFormatting>
  <x:dataValidations count="3">
    <x:dataValidation type="list" allowBlank="1" showInputMessage="1" showErrorMessage="1" errorStyle="stop" showDropDown="0" sqref="E7:E10"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0"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0"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8.xml><?xml version="1.0" encoding="utf-8"?>
<x:worksheet xmlns:x="http://schemas.openxmlformats.org/spreadsheetml/2006/main">
  <x:sheetPr>
    <x:tabColor rgb="FF7030A0"/>
    <x:pageSetUpPr fitToPage="1"/>
  </x:sheetPr>
  <x:sheetViews>
    <x:sheetView showGridLines="0" workbookViewId="0" zoomScale="85" topLeftCell="A1">
      <x:pane xSplit="3" ySplit="6" topLeftCell="D7" activePane="bottomRight" state="frozen"/>
    </x:sheetView>
  </x:sheetViews>
  <x:sheetFormatPr baseColWidth="10" defaultColWidth="10.6640625" defaultRowHeight="12"/>
  <x:cols>
    <x:col min="1" max="1" width="2" style="868" hidden="0" customWidth="1"/>
    <x:col min="2" max="2" width="7" style="871" hidden="0" customWidth="1"/>
    <x:col min="3" max="3" width="44" style="872" hidden="0" customWidth="1"/>
    <x:col min="4" max="4" width="34" style="873" hidden="0" customWidth="1"/>
    <x:col min="5" max="5" width="9" style="868" hidden="0" customWidth="1"/>
    <x:col min="6" max="6" width="9" style="874" hidden="0" customWidth="1"/>
    <x:col min="7" max="7" width="34" style="873" hidden="0" customWidth="1"/>
    <x:col min="8" max="8" width="12" style="873" hidden="0" customWidth="1"/>
    <x:col min="9" max="9" width="32" style="873" hidden="0" customWidth="1"/>
    <x:col min="10" max="10" width="23" style="873" hidden="0" customWidth="1"/>
    <x:col min="11" max="11" width="5.6640625" style="868" hidden="1" customWidth="1"/>
    <x:col min="12" max="12" width="5.6640625" style="868" hidden="1" customWidth="1"/>
    <x:col min="13" max="13" width="5.6640625" style="868" hidden="1" customWidth="1"/>
    <x:col min="14" max="14" width="5.6640625" style="868" hidden="1" customWidth="1"/>
    <x:col min="15" max="15" width="5.6640625" style="868" hidden="1" customWidth="1"/>
    <x:col min="16" max="16" width="5.6640625" style="868" hidden="1" customWidth="1"/>
    <x:col min="17" max="17" width="5.6640625" style="868" hidden="1" customWidth="1"/>
    <x:col min="18" max="18" width="5.6640625" style="868" hidden="1" customWidth="1"/>
    <x:col min="19" max="19" width="5.6640625" style="868" hidden="1" customWidth="1"/>
    <x:col min="20" max="20" width="5.6640625" style="868" hidden="1" customWidth="1"/>
    <x:col min="21" max="21" width="5.6640625" style="868" hidden="1" customWidth="1"/>
    <x:col min="22" max="22" width="46" style="873" hidden="0" customWidth="1"/>
    <x:col min="23" max="23" width="62.33203125" style="873" hidden="1" customWidth="1"/>
    <x:col min="24" max="24" width="64.83203125" style="868" hidden="1" customWidth="1"/>
    <x:col min="25" max="25" width="10.6640625" style="868" customWidth="0" hidden="0"/>
    <x:col min="26" max="26" width="10.6640625" style="868" customWidth="0" hidden="0"/>
    <x:col min="27" max="27" width="10.6640625" style="868" customWidth="0" hidden="0"/>
    <x:col min="28" max="28" width="10.6640625" style="868" customWidth="0" hidden="0"/>
    <x:col min="29" max="29" width="10.6640625" style="868" customWidth="0" hidden="0"/>
    <x:col min="30" max="30" width="10.6640625" style="868" customWidth="0" hidden="0"/>
    <x:col min="31" max="31" width="10.6640625" style="868" customWidth="0" hidden="0"/>
    <x:col min="32" max="32" width="10.6640625" style="868" customWidth="0" hidden="0"/>
    <x:col min="33" max="33" width="10.6640625" style="868" customWidth="0" hidden="0"/>
    <x:col min="34" max="34" width="10.6640625" style="868" customWidth="0" hidden="0"/>
    <x:col min="35" max="35" width="10.6640625" style="868" customWidth="0" hidden="0"/>
    <x:col min="36" max="36" width="10.6640625" style="868" customWidth="0" hidden="0"/>
    <x:col min="37" max="37" width="10.6640625" style="868" customWidth="0" hidden="0"/>
    <x:col min="38" max="38" width="10.6640625" style="868" customWidth="0" hidden="0"/>
    <x:col min="39" max="39" width="10.6640625" style="868" customWidth="0" hidden="0"/>
    <x:col min="40" max="40" width="10.6640625" style="868" customWidth="0" hidden="0"/>
    <x:col min="41" max="41" width="10.6640625" style="868" customWidth="0" hidden="0"/>
    <x:col min="42" max="42" width="10.6640625" style="868" customWidth="0" hidden="0"/>
    <x:col min="43" max="43" width="10.6640625" style="868" customWidth="0" hidden="0"/>
    <x:col min="44" max="44" width="10.6640625" style="868" customWidth="0" hidden="0"/>
    <x:col min="45" max="45" width="10.6640625" style="868" customWidth="0" hidden="0"/>
  </x:cols>
  <x:sheetData>
    <x:row r="1" s="863" customFormat="1" ht="8" customHeight="1">
      <x:c r="B1" s="864"/>
      <x:c r="C1" s="865"/>
      <x:c r="D1" s="866"/>
      <x:c r="F1" s="867"/>
      <x:c r="G1" s="866"/>
      <x:c r="H1" s="866"/>
      <x:c r="I1" s="866"/>
      <x:c r="J1" s="866"/>
      <x:c r="L1" s="863">
        <x:v>0</x:v>
      </x:c>
      <x:c r="M1" s="863">
        <x:v>1</x:v>
      </x:c>
      <x:c r="N1" s="863">
        <x:v>2</x:v>
      </x:c>
      <x:c r="O1" s="863">
        <x:v>3</x:v>
      </x:c>
      <x:c r="P1" s="863">
        <x:v>4</x:v>
      </x:c>
      <x:c r="Q1" s="863">
        <x:v>5</x:v>
      </x:c>
      <x:c r="V1" s="866"/>
      <x:c r="W1" s="866"/>
    </x:row>
    <x:row r="2" s="863" customFormat="1" ht="30" customHeight="1">
      <x:c r="B2" s="1719" t="str">
        <x:v>ONR 5 : Management · Donner du sens au travail et préserver les personnes et les ressources nécessaires à nos activités</x:v>
      </x:c>
      <x:c r="C2" s="1720"/>
      <x:c r="D2" s="1720"/>
      <x:c r="E2" s="1720"/>
      <x:c r="F2" s="1720"/>
      <x:c r="G2" s="1721"/>
      <x:c r="H2" s="1726"/>
      <x:c r="I2" s="1726"/>
      <x:c r="J2" s="1726"/>
      <x:c r="V2" s="866"/>
      <x:c r="W2" s="866"/>
    </x:row>
    <x:row r="3" s="863" customFormat="1" ht="24" customHeight="1">
      <x:c r="B3" s="1723"/>
      <x:c r="C3" s="1724"/>
      <x:c r="D3" s="1724"/>
      <x:c r="E3" s="1724"/>
      <x:c r="F3" s="1724"/>
      <x:c r="G3" s="1724"/>
      <x:c r="H3" s="1724"/>
      <x:c r="I3" s="1724"/>
      <x:c r="J3" s="1724"/>
      <x:c r="K3" s="1161"/>
      <x:c r="L3" s="1161"/>
      <x:c r="M3" s="1161"/>
      <x:c r="N3" s="1161"/>
      <x:c r="O3" s="1161"/>
      <x:c r="P3" s="1161"/>
      <x:c r="Q3" s="1161"/>
      <x:c r="R3" s="1161"/>
      <x:c r="S3" s="1161"/>
      <x:c r="T3" s="1161"/>
      <x:c r="U3" s="1161"/>
      <x:c r="V3" s="1161"/>
      <x:c r="W3" s="1161"/>
      <x:c r="X3" s="1161"/>
    </x:row>
    <x:row r="4" ht="27" customHeight="1">
      <x:c r="A4" s="863"/>
      <x:c r="B4" s="1916" t="str">
        <x:v>Cibles à évaluer</x:v>
      </x:c>
      <x:c r="C4" s="1917"/>
      <x:c r="D4" s="1739" t="inlineStr">
        <x:is>
          <x:t xml:space="preserve">Importance de la cible</x:t>
        </x:is>
      </x:c>
      <x:c r="E4" s="1740"/>
      <x:c r="F4" s="1743" t="inlineStr">
        <x:is>
          <x:t xml:space="preserve">Performance actuelle</x:t>
        </x:is>
      </x:c>
      <x:c r="G4" s="1744"/>
      <x:c r="H4" s="1747" t="str">
        <x:v>Compétences internes et externes</x:v>
      </x:c>
      <x:c r="I4" s="1748"/>
      <x:c r="J4" s="1751" t="inlineStr">
        <x:is>
          <x:t xml:space="preserve">Priorité</x:t>
        </x:is>
      </x:c>
      <x:c r="K4" s="1643"/>
      <x:c r="L4" s="1643"/>
      <x:c r="M4" s="1643"/>
      <x:c r="N4" s="1643"/>
      <x:c r="O4" s="1643"/>
      <x:c r="P4" s="1643"/>
      <x:c r="Q4" s="1643"/>
      <x:c r="R4" s="1643"/>
      <x:c r="S4" s="1643"/>
      <x:c r="T4" s="1643"/>
      <x:c r="U4" s="1643"/>
      <x:c r="V4" s="1753" t="inlineStr">
        <x:is>
          <x:t xml:space="preserve">Mise en œuvre</x:t>
        </x:is>
      </x:c>
      <x:c r="W4" s="1754"/>
      <x:c r="X4" s="1754"/>
    </x:row>
    <x:row r="5" s="870" customFormat="1" ht="56" customHeight="1">
      <x:c r="A5" s="869"/>
      <x:c r="B5" s="1918"/>
      <x:c r="C5" s="1919"/>
      <x:c r="D5" s="1741" t="inlineStr">
        <x:is>
          <x:t xml:space="preserve">Avantages possibles et risques</x:t>
        </x:is>
      </x:c>
      <x:c r="E5" s="1892" t="inlineStr">
        <x:is>
          <x:t xml:space="preserve">Importance</x:t>
        </x:is>
      </x:c>
      <x:c r="F5" s="1893" t="inlineStr">
        <x:is>
          <x:t xml:space="preserve">Niveau actuel</x:t>
        </x:is>
      </x:c>
      <x:c r="G5" s="1894" t="inlineStr">
        <x:is>
          <x:t xml:space="preserve">Ce qui est déjà fait et ce qui justifie la note</x:t>
        </x:is>
      </x:c>
      <x:c r="H5" s="1895" t="inlineStr">
        <x:is>
          <x:t xml:space="preserve">Compétences nécessaires</x:t>
        </x:is>
      </x:c>
      <x:c r="I5" s="1896" t="inlineStr">
        <x:is>
          <x:t xml:space="preserve">Points forts et points faibles</x:t>
        </x:is>
      </x:c>
      <x:c r="J5" s="1752" t="inlineStr">
        <x:is>
          <x:t xml:space="preserve">Niveau de priorité</x:t>
        </x:is>
      </x:c>
      <x:c r="K5" s="1762" t="inlineStr">
        <x:is>
          <x:t xml:space="preserve">Clé de priorisation</x:t>
        </x:is>
      </x:c>
      <x:c r="L5" s="1655" t="inlineStr">
        <x:is>
          <x:t xml:space="preserve">Intervention urgente</x:t>
        </x:is>
      </x:c>
      <x:c r="M5" s="1656" t="inlineStr">
        <x:is>
          <x:t xml:space="preserve">Intervention prioritaire</x:t>
        </x:is>
      </x:c>
      <x:c r="N5" s="1657" t="inlineStr">
        <x:is>
          <x:t xml:space="preserve">Intervention à moyen terme</x:t>
        </x:is>
      </x:c>
      <x:c r="O5" s="1658" t="inlineStr">
        <x:is>
          <x:t xml:space="preserve">Intervention à long terme</x:t>
        </x:is>
      </x:c>
      <x:c r="P5" s="1659" t="inlineStr">
        <x:is>
          <x:t xml:space="preserve">Intervention de consolidation</x:t>
        </x:is>
      </x:c>
      <x:c r="Q5" s="1660" t="inlineStr">
        <x:is>
          <x:t xml:space="preserve">Intervention non prioritaire</x:t>
        </x:is>
      </x:c>
      <x:c r="R5" s="1661" t="inlineStr">
        <x:is>
          <x:t xml:space="preserve">Intervention non pertinente</x:t>
        </x:is>
      </x:c>
      <x:c r="S5" s="1763" t="inlineStr">
        <x:is>
          <x:t xml:space="preserve">Libellé de priorité</x:t>
        </x:is>
      </x:c>
      <x:c r="T5" s="1763" t="inlineStr">
        <x:is>
          <x:t xml:space="preserve">Score de priorité</x:t>
        </x:is>
      </x:c>
      <x:c r="U5" s="1763" t="inlineStr">
        <x:is>
          <x:t xml:space="preserve">Code priorité et compétences</x:t>
        </x:is>
      </x:c>
      <x:c r="V5" s="1755" t="inlineStr">
        <x:is>
          <x:t xml:space="preserve">Actions proposées pour atteindre la cible</x:t>
        </x:is>
      </x:c>
      <x:c r="W5" s="1897"/>
      <x:c r="X5" s="1757"/>
    </x:row>
    <x:row r="6" s="877" customFormat="1" ht="34" customHeight="1">
      <x:c r="A6" s="876"/>
      <x:c r="B6" s="1901" t="str">
        <x:v>Renseigner les cellules jaunes pour les notes, puis les textes utiles. La priorité se calcule automatiquement. Faire défiler vers la droite pour proposer des actions.</x:v>
      </x:c>
      <x:c r="C6" s="1902"/>
      <x:c r="D6" s="1867"/>
      <x:c r="E6" s="1867"/>
      <x:c r="F6" s="1867"/>
      <x:c r="G6" s="1867"/>
      <x:c r="H6" s="1867"/>
      <x:c r="I6" s="1867"/>
      <x:c r="J6" s="1867"/>
      <x:c r="K6" s="1867"/>
      <x:c r="L6" s="1867"/>
      <x:c r="M6" s="1867"/>
      <x:c r="N6" s="1867"/>
      <x:c r="O6" s="1867"/>
      <x:c r="P6" s="1867"/>
      <x:c r="Q6" s="1867"/>
      <x:c r="R6" s="1867"/>
      <x:c r="S6" s="1867"/>
      <x:c r="T6" s="1867"/>
      <x:c r="U6" s="1867"/>
      <x:c r="V6" s="1867"/>
      <x:c r="W6" s="1903"/>
    </x:row>
    <x:row r="7" s="954" customFormat="1" ht="70" customHeight="1">
      <x:c r="A7" s="953"/>
      <x:c r="B7" s="1808" t="inlineStr">
        <x:is>
          <x:t xml:space="preserve">5.1</x:t>
        </x:is>
      </x:c>
      <x:c r="C7" s="1800" t="inlineStr">
        <x:is>
          <x:t xml:space="preserve">Concevoir les systèmes et les services numériques en intégrant de nouvelles façons de répondre aux besoins sociaux.</x:t>
        </x:is>
      </x:c>
      <x:c r="D7" s="1803"/>
      <x:c r="E7" s="1806"/>
      <x:c r="F7" s="1806"/>
      <x:c r="G7" s="1802"/>
      <x:c r="H7" s="1925"/>
      <x:c r="I7" s="1802"/>
      <x:c r="J7" s="1810" t="str">
        <x:f t="shared" ref="J7" si="0">S7</x:f>
      </x:c>
      <x:c r="K7" s="1781" t="str">
        <x:f t="shared" ref="K7" si="1">IF(IF(ISNUMBER(E7),AND(E7&gt;=0,E7&lt;=3,MOD(E7,1)=0),FALSE),IF(E7=0,0,IF(IF(ISNUMBER(F7),AND(F7&gt;=1,F7&lt;=4,MOD(F7,1)=0),FALSE),E7*10+F7,"")),"")</x:f>
      </x:c>
      <x:c r="L7" s="1781" t="b">
        <x:f t="shared" ref="L7" si="2">IF(ISNUMBER(K7),K7=31,FALSE)</x:f>
        <x:v>0</x:v>
      </x:c>
      <x:c r="M7" s="1781" t="b">
        <x:f t="shared" ref="M7" si="3">IF(ISNUMBER(K7),OR(K7=21,K7=32),FALSE)</x:f>
        <x:v>0</x:v>
      </x:c>
      <x:c r="N7" s="1781" t="b">
        <x:f t="shared" ref="N7" si="4">IF(ISNUMBER(K7),OR(K7=22,K7=33),FALSE)</x:f>
        <x:v>0</x:v>
      </x:c>
      <x:c r="O7" s="1781" t="b">
        <x:f t="shared" ref="O7" si="5">IF(ISNUMBER(K7),OR(K7=11,K7=12),FALSE)</x:f>
        <x:v>0</x:v>
      </x:c>
      <x:c r="P7" s="1781" t="b">
        <x:f t="shared" ref="P7" si="6">IF(ISNUMBER(K7),OR(K7=23,K7=34),FALSE)</x:f>
        <x:v>0</x:v>
      </x:c>
      <x:c r="Q7" s="1781" t="b">
        <x:f t="shared" ref="Q7" si="7">IF(ISNUMBER(K7),OR(K7=13,K7=14,K7=24),FALSE)</x:f>
        <x:v>0</x:v>
      </x:c>
      <x:c r="R7" s="1781" t="b">
        <x:f t="shared" ref="R7" si="8">IF(ISNUMBER(K7),K7=0,FALSE)</x:f>
        <x:v>0</x:v>
      </x:c>
      <x:c r="S7" s="1781" t="str">
        <x:f t="shared" ref="S7" si="9">IF(ISNUMBER(T7),INDEX($L$5:$R$5,1,7-T7),"")</x:f>
      </x:c>
      <x:c r="T7" s="1781" t="str">
        <x:f t="shared" ref="T7" si="10">IF(ISNUMBER(K7),IF(L7,6,IF(M7,5,IF(N7,4,IF(O7,3,IF(P7,2,IF(Q7,1,0)))))),"")</x:f>
      </x:c>
      <x:c r="U7" s="1794" t="str">
        <x:f t="shared" ref="U7" si="11">IF(AND(ISNUMBER(T7),ISNUMBER(H7)),IF(AND(H7&gt;=1,H7&lt;=4,MOD(H7,1)=0),T7*10+H7,""),"")</x:f>
      </x:c>
      <x:c r="V7" s="1802"/>
      <x:c r="W7" s="1052"/>
      <x:c r="X7" s="1115"/>
    </x:row>
    <x:row r="8" s="954" customFormat="1" ht="70" customHeight="1">
      <x:c r="A8" s="953"/>
      <x:c r="B8" s="1808" t="inlineStr">
        <x:is>
          <x:t xml:space="preserve">5.2</x:t>
        </x:is>
      </x:c>
      <x:c r="C8" s="1800" t="inlineStr">
        <x:is>
          <x:t xml:space="preserve">Faire connaître et soutenir les initiatives des équipes qui encouragent l’engagement, la coopération entre services et le bien-être au travail.</x:t>
        </x:is>
      </x:c>
      <x:c r="D8" s="1803"/>
      <x:c r="E8" s="1806"/>
      <x:c r="F8" s="1806"/>
      <x:c r="G8" s="1802"/>
      <x:c r="H8" s="1925"/>
      <x:c r="I8" s="1802"/>
      <x:c r="J8" s="1810" t="str">
        <x:f t="shared" ref="J8:J10" si="12">S8</x:f>
      </x:c>
      <x:c r="K8" s="1781" t="str">
        <x:f t="shared" ref="K8:K10" si="13">IF(IF(ISNUMBER(E8),AND(E8&gt;=0,E8&lt;=3,MOD(E8,1)=0),FALSE),IF(E8=0,0,IF(IF(ISNUMBER(F8),AND(F8&gt;=1,F8&lt;=4,MOD(F8,1)=0),FALSE),E8*10+F8,"")),"")</x:f>
      </x:c>
      <x:c r="L8" s="1781" t="b">
        <x:f t="shared" ref="L8:L10" si="14">IF(ISNUMBER(K8),K8=31,FALSE)</x:f>
        <x:v>0</x:v>
      </x:c>
      <x:c r="M8" s="1781" t="b">
        <x:f t="shared" ref="M8:M10" si="15">IF(ISNUMBER(K8),OR(K8=21,K8=32),FALSE)</x:f>
        <x:v>0</x:v>
      </x:c>
      <x:c r="N8" s="1781" t="b">
        <x:f t="shared" ref="N8:N10" si="16">IF(ISNUMBER(K8),OR(K8=22,K8=33),FALSE)</x:f>
        <x:v>0</x:v>
      </x:c>
      <x:c r="O8" s="1781" t="b">
        <x:f t="shared" ref="O8:O10" si="17">IF(ISNUMBER(K8),OR(K8=11,K8=12),FALSE)</x:f>
        <x:v>0</x:v>
      </x:c>
      <x:c r="P8" s="1781" t="b">
        <x:f t="shared" ref="P8:P10" si="18">IF(ISNUMBER(K8),OR(K8=23,K8=34),FALSE)</x:f>
        <x:v>0</x:v>
      </x:c>
      <x:c r="Q8" s="1781" t="b">
        <x:f t="shared" ref="Q8:Q10" si="19">IF(ISNUMBER(K8),OR(K8=13,K8=14,K8=24),FALSE)</x:f>
        <x:v>0</x:v>
      </x:c>
      <x:c r="R8" s="1781" t="b">
        <x:f t="shared" ref="R8:R10" si="20">IF(ISNUMBER(K8),K8=0,FALSE)</x:f>
        <x:v>0</x:v>
      </x:c>
      <x:c r="S8" s="1781" t="str">
        <x:f t="shared" ref="S8:S10" si="21">IF(ISNUMBER(T8),INDEX($L$5:$R$5,1,7-T8),"")</x:f>
      </x:c>
      <x:c r="T8" s="1781" t="str">
        <x:f t="shared" ref="T8:T10" si="22">IF(ISNUMBER(K8),IF(L8,6,IF(M8,5,IF(N8,4,IF(O8,3,IF(P8,2,IF(Q8,1,0)))))),"")</x:f>
      </x:c>
      <x:c r="U8" s="1794" t="str">
        <x:f t="shared" ref="U8:U10" si="23">IF(AND(ISNUMBER(T8),ISNUMBER(H8)),IF(AND(H8&gt;=1,H8&lt;=4,MOD(H8,1)=0),T8*10+H8,""),"")</x:f>
      </x:c>
      <x:c r="V8" s="1802"/>
      <x:c r="W8" s="1052"/>
      <x:c r="X8" s="1115"/>
    </x:row>
    <x:row r="9" s="954" customFormat="1" ht="76" customHeight="1">
      <x:c r="A9" s="953"/>
      <x:c r="B9" s="1808" t="inlineStr">
        <x:is>
          <x:t xml:space="preserve">5.3</x:t>
        </x:is>
      </x:c>
      <x:c r="C9" s="1800" t="inlineStr">
        <x:is>
          <x:t xml:space="preserve">Faire participer les personnes et les organisations concernées. S’appuyer sur leurs connaissances des questions d’environnement, de conditions de vie et de société.</x:t>
        </x:is>
      </x:c>
      <x:c r="D9" s="1803"/>
      <x:c r="E9" s="1806"/>
      <x:c r="F9" s="1806"/>
      <x:c r="G9" s="1802"/>
      <x:c r="H9" s="1925"/>
      <x:c r="I9" s="1802"/>
      <x:c r="J9" s="1810" t="str">
        <x:f t="shared" si="12">S9</x:f>
      </x:c>
      <x:c r="K9" s="1781" t="str">
        <x:f t="shared" si="13">IF(IF(ISNUMBER(E9),AND(E9&gt;=0,E9&lt;=3,MOD(E9,1)=0),FALSE),IF(E9=0,0,IF(IF(ISNUMBER(F9),AND(F9&gt;=1,F9&lt;=4,MOD(F9,1)=0),FALSE),E9*10+F9,"")),"")</x:f>
      </x:c>
      <x:c r="L9" s="1781" t="b">
        <x:f t="shared" si="14">IF(ISNUMBER(K9),K9=31,FALSE)</x:f>
        <x:v>0</x:v>
      </x:c>
      <x:c r="M9" s="1781" t="b">
        <x:f t="shared" si="15">IF(ISNUMBER(K9),OR(K9=21,K9=32),FALSE)</x:f>
        <x:v>0</x:v>
      </x:c>
      <x:c r="N9" s="1781" t="b">
        <x:f t="shared" si="16">IF(ISNUMBER(K9),OR(K9=22,K9=33),FALSE)</x:f>
        <x:v>0</x:v>
      </x:c>
      <x:c r="O9" s="1781" t="b">
        <x:f t="shared" si="17">IF(ISNUMBER(K9),OR(K9=11,K9=12),FALSE)</x:f>
        <x:v>0</x:v>
      </x:c>
      <x:c r="P9" s="1781" t="b">
        <x:f t="shared" si="18">IF(ISNUMBER(K9),OR(K9=23,K9=34),FALSE)</x:f>
        <x:v>0</x:v>
      </x:c>
      <x:c r="Q9" s="1781" t="b">
        <x:f t="shared" si="19">IF(ISNUMBER(K9),OR(K9=13,K9=14,K9=24),FALSE)</x:f>
        <x:v>0</x:v>
      </x:c>
      <x:c r="R9" s="1781" t="b">
        <x:f t="shared" si="20">IF(ISNUMBER(K9),K9=0,FALSE)</x:f>
        <x:v>0</x:v>
      </x:c>
      <x:c r="S9" s="1781" t="str">
        <x:f t="shared" si="21">IF(ISNUMBER(T9),INDEX($L$5:$R$5,1,7-T9),"")</x:f>
      </x:c>
      <x:c r="T9" s="1781" t="str">
        <x:f t="shared" si="22">IF(ISNUMBER(K9),IF(L9,6,IF(M9,5,IF(N9,4,IF(O9,3,IF(P9,2,IF(Q9,1,0)))))),"")</x:f>
      </x:c>
      <x:c r="U9" s="1794" t="str">
        <x:f t="shared" si="23">IF(AND(ISNUMBER(T9),ISNUMBER(H9)),IF(AND(H9&gt;=1,H9&lt;=4,MOD(H9,1)=0),T9*10+H9,""),"")</x:f>
      </x:c>
      <x:c r="V9" s="1802"/>
      <x:c r="W9" s="1052"/>
      <x:c r="X9" s="1115"/>
    </x:row>
    <x:row r="10" s="954" customFormat="1" ht="70" customHeight="1">
      <x:c r="A10" s="953"/>
      <x:c r="B10" s="1808" t="inlineStr">
        <x:is>
          <x:t xml:space="preserve">5.4</x:t>
        </x:is>
      </x:c>
      <x:c r="C10" s="1800" t="inlineStr">
        <x:is>
          <x:t xml:space="preserve">Permettre aux générations futures d’innover pour mieux vivre ensemble, s’ouvrir aux autres et préserver l’équilibre de la nature.</x:t>
        </x:is>
      </x:c>
      <x:c r="D10" s="1803"/>
      <x:c r="E10" s="1806"/>
      <x:c r="F10" s="1806"/>
      <x:c r="G10" s="1802"/>
      <x:c r="H10" s="1925"/>
      <x:c r="I10" s="1802"/>
      <x:c r="J10" s="1810" t="str">
        <x:f t="shared" si="12">S10</x:f>
      </x:c>
      <x:c r="K10" s="1781" t="str">
        <x:f t="shared" si="13">IF(IF(ISNUMBER(E10),AND(E10&gt;=0,E10&lt;=3,MOD(E10,1)=0),FALSE),IF(E10=0,0,IF(IF(ISNUMBER(F10),AND(F10&gt;=1,F10&lt;=4,MOD(F10,1)=0),FALSE),E10*10+F10,"")),"")</x:f>
      </x:c>
      <x:c r="L10" s="1781" t="b">
        <x:f t="shared" si="14">IF(ISNUMBER(K10),K10=31,FALSE)</x:f>
        <x:v>0</x:v>
      </x:c>
      <x:c r="M10" s="1781" t="b">
        <x:f t="shared" si="15">IF(ISNUMBER(K10),OR(K10=21,K10=32),FALSE)</x:f>
        <x:v>0</x:v>
      </x:c>
      <x:c r="N10" s="1781" t="b">
        <x:f t="shared" si="16">IF(ISNUMBER(K10),OR(K10=22,K10=33),FALSE)</x:f>
        <x:v>0</x:v>
      </x:c>
      <x:c r="O10" s="1781" t="b">
        <x:f t="shared" si="17">IF(ISNUMBER(K10),OR(K10=11,K10=12),FALSE)</x:f>
        <x:v>0</x:v>
      </x:c>
      <x:c r="P10" s="1781" t="b">
        <x:f t="shared" si="18">IF(ISNUMBER(K10),OR(K10=23,K10=34),FALSE)</x:f>
        <x:v>0</x:v>
      </x:c>
      <x:c r="Q10" s="1781" t="b">
        <x:f t="shared" si="19">IF(ISNUMBER(K10),OR(K10=13,K10=14,K10=24),FALSE)</x:f>
        <x:v>0</x:v>
      </x:c>
      <x:c r="R10" s="1781" t="b">
        <x:f t="shared" si="20">IF(ISNUMBER(K10),K10=0,FALSE)</x:f>
        <x:v>0</x:v>
      </x:c>
      <x:c r="S10" s="1781" t="str">
        <x:f t="shared" si="21">IF(ISNUMBER(T10),INDEX($L$5:$R$5,1,7-T10),"")</x:f>
      </x:c>
      <x:c r="T10" s="1781" t="str">
        <x:f t="shared" si="22">IF(ISNUMBER(K10),IF(L10,6,IF(M10,5,IF(N10,4,IF(O10,3,IF(P10,2,IF(Q10,1,0)))))),"")</x:f>
      </x:c>
      <x:c r="U10" s="1794" t="str">
        <x:f t="shared" si="23">IF(AND(ISNUMBER(T10),ISNUMBER(H10)),IF(AND(H10&gt;=1,H10&lt;=4,MOD(H10,1)=0),T10*10+H10,""),"")</x:f>
      </x:c>
      <x:c r="V10" s="1802"/>
      <x:c r="W10" s="1052"/>
      <x:c r="X10" s="1115"/>
    </x:row>
    <x:row r="11" s="954" customFormat="1" ht="70" customHeight="1">
      <x:c r="A11" s="953"/>
      <x:c r="B11" s="1808" t="inlineStr">
        <x:is>
          <x:t xml:space="preserve">5.5</x:t>
        </x:is>
      </x:c>
      <x:c r="C11" s="1800" t="inlineStr">
        <x:is>
          <x:t xml:space="preserve">Suivre les résultats obtenus et le respect des règles à l’aide d’indicateurs.</x:t>
        </x:is>
      </x:c>
      <x:c r="D11" s="1803"/>
      <x:c r="E11" s="1806"/>
      <x:c r="F11" s="1806"/>
      <x:c r="G11" s="1802"/>
      <x:c r="H11" s="1925"/>
      <x:c r="I11" s="1802"/>
      <x:c r="J11" s="1810" t="str">
        <x:f t="shared" ref="J11:J12" si="24">S11</x:f>
      </x:c>
      <x:c r="K11" s="1781" t="str">
        <x:f t="shared" ref="K11:K12" si="25">IF(IF(ISNUMBER(E11),AND(E11&gt;=0,E11&lt;=3,MOD(E11,1)=0),FALSE),IF(E11=0,0,IF(IF(ISNUMBER(F11),AND(F11&gt;=1,F11&lt;=4,MOD(F11,1)=0),FALSE),E11*10+F11,"")),"")</x:f>
      </x:c>
      <x:c r="L11" s="1781" t="b">
        <x:f t="shared" ref="L11:L12" si="26">IF(ISNUMBER(K11),K11=31,FALSE)</x:f>
        <x:v>0</x:v>
      </x:c>
      <x:c r="M11" s="1781" t="b">
        <x:f t="shared" ref="M11:M12" si="27">IF(ISNUMBER(K11),OR(K11=21,K11=32),FALSE)</x:f>
        <x:v>0</x:v>
      </x:c>
      <x:c r="N11" s="1781" t="b">
        <x:f t="shared" ref="N11:N12" si="28">IF(ISNUMBER(K11),OR(K11=22,K11=33),FALSE)</x:f>
        <x:v>0</x:v>
      </x:c>
      <x:c r="O11" s="1781" t="b">
        <x:f t="shared" ref="O11:O12" si="29">IF(ISNUMBER(K11),OR(K11=11,K11=12),FALSE)</x:f>
        <x:v>0</x:v>
      </x:c>
      <x:c r="P11" s="1781" t="b">
        <x:f t="shared" ref="P11:P12" si="30">IF(ISNUMBER(K11),OR(K11=23,K11=34),FALSE)</x:f>
        <x:v>0</x:v>
      </x:c>
      <x:c r="Q11" s="1781" t="b">
        <x:f t="shared" ref="Q11:Q12" si="31">IF(ISNUMBER(K11),OR(K11=13,K11=14,K11=24),FALSE)</x:f>
        <x:v>0</x:v>
      </x:c>
      <x:c r="R11" s="1781" t="b">
        <x:f t="shared" ref="R11:R12" si="32">IF(ISNUMBER(K11),K11=0,FALSE)</x:f>
        <x:v>0</x:v>
      </x:c>
      <x:c r="S11" s="1781" t="str">
        <x:f t="shared" ref="S11:S12" si="33">IF(ISNUMBER(T11),INDEX($L$5:$R$5,1,7-T11),"")</x:f>
      </x:c>
      <x:c r="T11" s="1781" t="str">
        <x:f t="shared" ref="T11:T12" si="34">IF(ISNUMBER(K11),IF(L11,6,IF(M11,5,IF(N11,4,IF(O11,3,IF(P11,2,IF(Q11,1,0)))))),"")</x:f>
      </x:c>
      <x:c r="U11" s="1794" t="str">
        <x:f t="shared" ref="U11:U12" si="35">IF(AND(ISNUMBER(T11),ISNUMBER(H11)),IF(AND(H11&gt;=1,H11&lt;=4,MOD(H11,1)=0),T11*10+H11,""),"")</x:f>
      </x:c>
      <x:c r="V11" s="1802"/>
      <x:c r="W11" s="1052"/>
      <x:c r="X11" s="1115"/>
    </x:row>
    <x:row r="12" s="955" customFormat="1" ht="70" customHeight="1">
      <x:c r="A12" s="953"/>
      <x:c r="B12" s="1808" t="inlineStr">
        <x:is>
          <x:t xml:space="preserve">5.6</x:t>
        </x:is>
      </x:c>
      <x:c r="C12" s="1800" t="inlineStr">
        <x:is>
          <x:t xml:space="preserve">Proposer des améliorations et de nouvelles idées pour un numérique responsable, y compris des solutions sans outils numériques.</x:t>
        </x:is>
      </x:c>
      <x:c r="D12" s="1803"/>
      <x:c r="E12" s="1806"/>
      <x:c r="F12" s="1806"/>
      <x:c r="G12" s="1802"/>
      <x:c r="H12" s="1925"/>
      <x:c r="I12" s="1802"/>
      <x:c r="J12" s="1810" t="str">
        <x:f t="shared" si="24">S12</x:f>
      </x:c>
      <x:c r="K12" s="1781" t="str">
        <x:f t="shared" si="25">IF(IF(ISNUMBER(E12),AND(E12&gt;=0,E12&lt;=3,MOD(E12,1)=0),FALSE),IF(E12=0,0,IF(IF(ISNUMBER(F12),AND(F12&gt;=1,F12&lt;=4,MOD(F12,1)=0),FALSE),E12*10+F12,"")),"")</x:f>
      </x:c>
      <x:c r="L12" s="1781" t="b">
        <x:f t="shared" si="26">IF(ISNUMBER(K12),K12=31,FALSE)</x:f>
        <x:v>0</x:v>
      </x:c>
      <x:c r="M12" s="1781" t="b">
        <x:f t="shared" si="27">IF(ISNUMBER(K12),OR(K12=21,K12=32),FALSE)</x:f>
        <x:v>0</x:v>
      </x:c>
      <x:c r="N12" s="1781" t="b">
        <x:f t="shared" si="28">IF(ISNUMBER(K12),OR(K12=22,K12=33),FALSE)</x:f>
        <x:v>0</x:v>
      </x:c>
      <x:c r="O12" s="1781" t="b">
        <x:f t="shared" si="29">IF(ISNUMBER(K12),OR(K12=11,K12=12),FALSE)</x:f>
        <x:v>0</x:v>
      </x:c>
      <x:c r="P12" s="1781" t="b">
        <x:f t="shared" si="30">IF(ISNUMBER(K12),OR(K12=23,K12=34),FALSE)</x:f>
        <x:v>0</x:v>
      </x:c>
      <x:c r="Q12" s="1781" t="b">
        <x:f t="shared" si="31">IF(ISNUMBER(K12),OR(K12=13,K12=14,K12=24),FALSE)</x:f>
        <x:v>0</x:v>
      </x:c>
      <x:c r="R12" s="1781" t="b">
        <x:f t="shared" si="32">IF(ISNUMBER(K12),K12=0,FALSE)</x:f>
        <x:v>0</x:v>
      </x:c>
      <x:c r="S12" s="1781" t="str">
        <x:f t="shared" si="33">IF(ISNUMBER(T12),INDEX($L$5:$R$5,1,7-T12),"")</x:f>
      </x:c>
      <x:c r="T12" s="1781" t="str">
        <x:f t="shared" si="34">IF(ISNUMBER(K12),IF(L12,6,IF(M12,5,IF(N12,4,IF(O12,3,IF(P12,2,IF(Q12,1,0)))))),"")</x:f>
      </x:c>
      <x:c r="U12" s="1794" t="str">
        <x:f t="shared" si="35">IF(AND(ISNUMBER(T12),ISNUMBER(H12)),IF(AND(H12&gt;=1,H12&lt;=4,MOD(H12,1)=0),T12*10+H12,""),"")</x:f>
      </x:c>
      <x:c r="V12" s="1802"/>
      <x:c r="W12" s="1069"/>
      <x:c r="X12" s="1116"/>
    </x:row>
    <x:row r="13" s="955" customFormat="1" ht="70" customHeight="1">
      <x:c r="A13" s="953"/>
      <x:c r="B13" s="1808" t="inlineStr">
        <x:is>
          <x:t xml:space="preserve">5.7</x:t>
        </x:is>
      </x:c>
      <x:c r="C13" s="1800" t="inlineStr">
        <x:is>
          <x:t xml:space="preserve">Décider avec les équipes comment utiliser l’intelligence artificielle. Les former à ses limites et préserver le sens de leur travail.</x:t>
        </x:is>
      </x:c>
      <x:c r="D13" s="1803"/>
      <x:c r="E13" s="1806"/>
      <x:c r="F13" s="1806"/>
      <x:c r="G13" s="1802"/>
      <x:c r="H13" s="1925"/>
      <x:c r="I13" s="1802"/>
      <x:c r="J13" s="1810" t="n">
        <x:f>S13</x:f>
        <x:v>0</x:v>
      </x:c>
      <x:c r="K13" s="1781" t="str">
        <x:f>IF(IF(ISNUMBER(E13),AND(E13&gt;=0,E13&lt;=3,MOD(E13,1)=0),FALSE),IF(E13=0,0,IF(IF(ISNUMBER(F13),AND(F13&gt;=1,F13&lt;=4,MOD(F13,1)=0),FALSE),E13*10+F13,"")),"")</x:f>
      </x:c>
      <x:c r="L13" s="1781" t="b">
        <x:f>IF(ISNUMBER(K13),K13=31,FALSE)</x:f>
        <x:v>0</x:v>
      </x:c>
      <x:c r="M13" s="1781" t="b">
        <x:f>IF(ISNUMBER(K13),OR(K13=21,K13=32),FALSE)</x:f>
        <x:v>0</x:v>
      </x:c>
      <x:c r="N13" s="1781" t="b">
        <x:f>IF(ISNUMBER(K13),OR(K13=22,K13=33),FALSE)</x:f>
        <x:v>0</x:v>
      </x:c>
      <x:c r="O13" s="1781" t="b">
        <x:f>IF(ISNUMBER(K13),OR(K13=11,K13=12),FALSE)</x:f>
        <x:v>0</x:v>
      </x:c>
      <x:c r="P13" s="1781" t="b">
        <x:f>IF(ISNUMBER(K13),OR(K13=23,K13=34),FALSE)</x:f>
        <x:v>0</x:v>
      </x:c>
      <x:c r="Q13" s="1781" t="b">
        <x:f>IF(ISNUMBER(K13),OR(K13=13,K13=14,K13=24),FALSE)</x:f>
        <x:v>0</x:v>
      </x:c>
      <x:c r="R13" s="1781" t="b">
        <x:f>IF(ISNUMBER(K13),K13=0,FALSE)</x:f>
        <x:v>0</x:v>
      </x:c>
      <x:c r="S13" s="1781" t="str">
        <x:f>IF(ISNUMBER(T13),INDEX($L$5:$R$5,1,7-T13),"")</x:f>
      </x:c>
      <x:c r="T13" s="1781" t="str">
        <x:f>IF(ISNUMBER(K13),IF(L13,6,IF(M13,5,IF(N13,4,IF(O13,3,IF(P13,2,IF(Q13,1,0)))))),"")</x:f>
      </x:c>
      <x:c r="U13" s="1794" t="str">
        <x:f>IF(AND(ISNUMBER(T13),ISNUMBER(H13)),IF(AND(H13&gt;=1,H13&lt;=4,MOD(H13,1)=0),T13*10+H13,""),"")</x:f>
      </x:c>
      <x:c r="V13" s="1802"/>
      <x:c r="W13" s="1069"/>
      <x:c r="X13" s="1116"/>
    </x:row>
  </x:sheetData>
  <x:mergeCells>
    <x:mergeCell ref="B6:W6"/>
    <x:mergeCell ref="B4:C5"/>
    <x:mergeCell ref="D4:E4"/>
    <x:mergeCell ref="F4:G4"/>
    <x:mergeCell ref="H4:I4"/>
    <x:mergeCell ref="V4:X4"/>
    <x:mergeCell ref="B2:J3"/>
  </x:mergeCells>
  <x:conditionalFormatting sqref="J7:J13">
    <x:cfRule type="expression" dxfId="1654" priority="314">
      <x:formula>AND(ISNUMBER($T7),$T7=6)</x:formula>
    </x:cfRule>
    <x:cfRule type="expression" dxfId="1655" priority="315">
      <x:formula>AND(ISNUMBER($T7),$T7=5)</x:formula>
    </x:cfRule>
    <x:cfRule type="expression" dxfId="1656" priority="316">
      <x:formula>AND(ISNUMBER($T7),$T7=4)</x:formula>
    </x:cfRule>
    <x:cfRule type="expression" dxfId="1657" priority="317">
      <x:formula>AND(ISNUMBER($T7),$T7=3)</x:formula>
    </x:cfRule>
    <x:cfRule type="expression" dxfId="1658" priority="318">
      <x:formula>AND(ISNUMBER($T7),$T7=2)</x:formula>
    </x:cfRule>
    <x:cfRule type="expression" dxfId="1659" priority="319">
      <x:formula>AND(ISNUMBER($T7),$T7=1)</x:formula>
    </x:cfRule>
    <x:cfRule type="expression" dxfId="1660" priority="320">
      <x:formula>AND(ISNUMBER($T7),$T7=0)</x:formula>
    </x:cfRule>
  </x:conditionalFormatting>
  <x:dataValidations count="3">
    <x:dataValidation type="list" allowBlank="1" showInputMessage="1" showErrorMessage="1" errorStyle="stop" showDropDown="0" sqref="E7:E13" promptTitle="Importance de la cible" prompt="0 : non applicable&#10;1 : peu importante&#10;2 : importante&#10;3 : très importante&#10;Si 0, la performance peut rester vide." errorTitle="Note invalide" error="Choisir une note dans la liste ou laisser la cellule vide.">
      <x:formula1>"0,1,2,3"</x:formula1>
    </x:dataValidation>
    <x:dataValidation type="list" allowBlank="1" showInputMessage="1" showErrorMessage="1" errorStyle="stop" showDropDown="0" sqref="F7:F13" promptTitle="Performance actuelle" prompt="1 : pas du tout atteinte&#10;2 : atteinte en partie&#10;3 : en voie d’être atteinte&#10;4 : atteinte&#10;Laisser vide si non évaluée ou non applicable." errorTitle="Note invalide" error="Choisir une note dans la liste ou laisser la cellule vide.">
      <x:formula1>"1,2,3,4"</x:formula1>
    </x:dataValidation>
    <x:dataValidation type="list" allowBlank="1" showInputMessage="1" showErrorMessage="1" errorStyle="stop" showDropDown="0" sqref="H7:H13" promptTitle="Compétences mobilisées" prompt="1 : équipe NR / RSE&#10;2 : NR / RSE et DSI&#10;3 : NR / RSE et équipe hors DSI&#10;4 : intervention extérieure" errorTitle="Note invalide" error="Choisir une note dans la liste ou laisser la cellule vide.">
      <x:formula1>"1,2,3,4"</x:formula1>
    </x:dataValidation>
  </x:dataValidations>
  <x:pageMargins left="0.25" right="0.25" top="0.35" bottom="0.35" header="0.15" footer="0.15"/>
  <x:pageSetup orientation="landscape" paperSize="9" fitToWidth="2" fitToHeight="0"/>
  <x:drawing xmlns:r="http://schemas.openxmlformats.org/officeDocument/2006/relationships" r:id="logoINR20261007"/>
  <x:legacyDrawing xmlns:r="http://schemas.openxmlformats.org/officeDocument/2006/relationships" r:id="rId2"/>
</x: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K14"/>
  <sheetViews>
    <sheetView workbookViewId="0">
      <selection activeCell="D5" sqref="D5"/>
    </sheetView>
  </sheetViews>
  <sheetFormatPr baseColWidth="10" defaultColWidth="11.5" defaultRowHeight="21"/>
  <cols>
    <col min="1" max="1" width="6.5" customWidth="1"/>
    <col min="2" max="2" width="12.33203125" style="23" customWidth="1"/>
    <col min="3" max="6" width="12.33203125" customWidth="1"/>
    <col min="7" max="7" width="5.33203125" customWidth="1"/>
    <col min="8" max="9" width="17.5" customWidth="1"/>
  </cols>
  <sheetData>
    <row r="1" spans="1:11">
      <c r="A1" s="1"/>
      <c r="B1" s="2"/>
      <c r="C1" s="1"/>
      <c r="D1" s="1"/>
      <c r="E1" s="1"/>
      <c r="F1" s="1"/>
      <c r="G1" s="1"/>
      <c r="H1" s="1"/>
      <c r="I1" s="1"/>
      <c r="J1" s="1"/>
      <c r="K1" s="1"/>
    </row>
    <row r="2" spans="1:11" ht="26">
      <c r="A2" s="1"/>
      <c r="B2" s="358" t="s">
        <v>95</v>
      </c>
      <c r="C2" s="358"/>
      <c r="D2" s="358"/>
      <c r="E2" s="358"/>
      <c r="F2" s="358"/>
      <c r="G2" s="1"/>
      <c r="H2" s="1"/>
      <c r="I2" s="1"/>
      <c r="J2" s="1"/>
      <c r="K2" s="1"/>
    </row>
    <row r="3" spans="1:11" ht="22" thickBot="1">
      <c r="A3" s="1"/>
      <c r="B3" s="2"/>
      <c r="C3" s="1"/>
      <c r="D3" s="1"/>
      <c r="E3" s="1"/>
      <c r="F3" s="1"/>
      <c r="G3" s="1"/>
      <c r="H3" s="1"/>
      <c r="I3" s="1"/>
      <c r="J3" s="1"/>
      <c r="K3" s="1"/>
    </row>
    <row r="4" spans="1:11" ht="59.25" customHeight="1">
      <c r="A4" s="359" t="s">
        <v>11</v>
      </c>
      <c r="B4" s="3">
        <v>3</v>
      </c>
      <c r="C4" s="4"/>
      <c r="D4" s="26"/>
      <c r="E4" s="5"/>
      <c r="F4" s="6"/>
      <c r="G4" s="7"/>
      <c r="H4" s="8" t="s">
        <v>23</v>
      </c>
      <c r="I4" s="9" t="s">
        <v>27</v>
      </c>
      <c r="J4" s="1"/>
      <c r="K4" s="1"/>
    </row>
    <row r="5" spans="1:11" ht="59.25" customHeight="1">
      <c r="A5" s="359"/>
      <c r="B5" s="10">
        <v>2</v>
      </c>
      <c r="C5" s="28"/>
      <c r="D5" s="11"/>
      <c r="E5" s="30"/>
      <c r="F5" s="13"/>
      <c r="G5" s="7"/>
      <c r="H5" s="27" t="s">
        <v>24</v>
      </c>
      <c r="I5" s="15" t="s">
        <v>28</v>
      </c>
      <c r="J5" s="1"/>
      <c r="K5" s="1"/>
    </row>
    <row r="6" spans="1:11" ht="59.25" customHeight="1">
      <c r="A6" s="359"/>
      <c r="B6" s="10">
        <v>1</v>
      </c>
      <c r="C6" s="29"/>
      <c r="D6" s="12"/>
      <c r="E6" s="16"/>
      <c r="F6" s="13"/>
      <c r="G6" s="7"/>
      <c r="H6" s="14" t="s">
        <v>25</v>
      </c>
      <c r="I6" s="18" t="s">
        <v>29</v>
      </c>
      <c r="J6" s="1"/>
      <c r="K6" s="1"/>
    </row>
    <row r="7" spans="1:11" ht="59.25" customHeight="1">
      <c r="A7" s="359"/>
      <c r="B7" s="19">
        <v>0</v>
      </c>
      <c r="C7" s="20"/>
      <c r="D7" s="21"/>
      <c r="E7" s="21"/>
      <c r="F7" s="22"/>
      <c r="G7" s="7"/>
      <c r="H7" s="17" t="s">
        <v>26</v>
      </c>
      <c r="J7" s="1"/>
      <c r="K7" s="1"/>
    </row>
    <row r="8" spans="1:11" ht="25.5" customHeight="1" thickBot="1">
      <c r="A8" s="1"/>
      <c r="C8" s="24">
        <v>1</v>
      </c>
      <c r="D8" s="24">
        <v>2</v>
      </c>
      <c r="E8" s="24">
        <v>3</v>
      </c>
      <c r="F8" s="25">
        <v>4</v>
      </c>
      <c r="G8" s="1"/>
      <c r="H8" s="1"/>
      <c r="I8" s="1"/>
      <c r="J8" s="1"/>
      <c r="K8" s="1"/>
    </row>
    <row r="9" spans="1:11" ht="25.5" customHeight="1">
      <c r="A9" s="1"/>
      <c r="B9" s="2"/>
      <c r="C9" s="360" t="s">
        <v>96</v>
      </c>
      <c r="D9" s="360"/>
      <c r="E9" s="360"/>
      <c r="F9" s="360"/>
      <c r="G9" s="1"/>
      <c r="H9" s="1"/>
      <c r="I9" s="1"/>
      <c r="J9" s="1"/>
      <c r="K9" s="1"/>
    </row>
    <row r="10" spans="1:11">
      <c r="A10" s="1"/>
      <c r="B10" s="2"/>
      <c r="C10" s="1"/>
      <c r="D10" s="1"/>
      <c r="E10" s="1"/>
      <c r="F10" s="1"/>
      <c r="G10" s="1"/>
      <c r="H10" s="1"/>
      <c r="I10" s="1"/>
      <c r="J10" s="1"/>
    </row>
    <row r="11" spans="1:11">
      <c r="A11" s="1"/>
      <c r="B11" s="2"/>
      <c r="F11" s="1"/>
      <c r="G11" s="1"/>
      <c r="H11" s="1"/>
      <c r="I11" s="1"/>
      <c r="J11" s="1"/>
    </row>
    <row r="12" spans="1:11">
      <c r="A12" s="1"/>
      <c r="B12" s="2"/>
      <c r="C12" s="1"/>
      <c r="D12" s="1"/>
      <c r="E12" s="1"/>
      <c r="F12" s="1"/>
      <c r="G12" s="1"/>
      <c r="H12" s="1"/>
      <c r="I12" s="1"/>
      <c r="J12" s="1"/>
    </row>
    <row r="13" spans="1:11">
      <c r="A13" s="1"/>
      <c r="B13" s="2"/>
      <c r="C13" s="1"/>
      <c r="D13" s="1"/>
      <c r="E13" s="1"/>
      <c r="F13" s="1"/>
      <c r="G13" s="1"/>
      <c r="H13" s="1"/>
      <c r="I13" s="1"/>
      <c r="J13" s="1"/>
    </row>
    <row r="14" spans="1:11">
      <c r="A14" s="1"/>
      <c r="B14" s="2"/>
      <c r="C14" s="1"/>
      <c r="D14" s="1"/>
      <c r="E14" s="1"/>
      <c r="G14" s="1"/>
      <c r="I14" s="1"/>
      <c r="J14" s="1"/>
    </row>
  </sheetData>
  <mergeCells count="3">
    <mergeCell ref="B2:F2"/>
    <mergeCell ref="A4:A7"/>
    <mergeCell ref="C9:F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0">
    <pageSetUpPr fitToPage="1"/>
  </sheetPr>
  <dimension ref="A1:AM40"/>
  <sheetViews>
    <sheetView zoomScale="50" zoomScaleNormal="50" workbookViewId="0">
      <selection activeCell="W61" sqref="W61"/>
    </sheetView>
  </sheetViews>
  <sheetFormatPr baseColWidth="10" defaultColWidth="10.6640625" defaultRowHeight="12"/>
  <cols>
    <col min="1" max="1" width="1.5" style="57" customWidth="1"/>
    <col min="2" max="2" width="8.5" style="54" customWidth="1"/>
    <col min="3" max="3" width="83" style="222" customWidth="1"/>
    <col min="4" max="4" width="99.1640625" style="57" bestFit="1" customWidth="1"/>
    <col min="5" max="6" width="9.83203125" style="57" customWidth="1"/>
    <col min="7" max="7" width="46" style="57" hidden="1" customWidth="1"/>
    <col min="8" max="8" width="8.83203125" style="57" customWidth="1"/>
    <col min="9" max="9" width="45.6640625" style="57" bestFit="1" customWidth="1"/>
    <col min="10" max="10" width="20.6640625" style="57" customWidth="1"/>
    <col min="11" max="11" width="5.6640625" style="57" customWidth="1"/>
    <col min="12" max="15" width="7.6640625" style="57" bestFit="1" customWidth="1"/>
    <col min="16" max="16" width="7.83203125" style="57" bestFit="1" customWidth="1"/>
    <col min="17" max="18" width="7.6640625" style="57" bestFit="1" customWidth="1"/>
    <col min="19" max="21" width="5.6640625" style="57" customWidth="1"/>
    <col min="22" max="22" width="69.83203125" style="57" customWidth="1"/>
    <col min="23" max="24" width="45.6640625" style="57" customWidth="1"/>
    <col min="25" max="25" width="58.1640625" style="57" customWidth="1"/>
    <col min="26" max="26" width="99.1640625" style="57" bestFit="1" customWidth="1"/>
    <col min="27" max="27" width="10.6640625" style="57"/>
    <col min="28" max="39" width="10.6640625" style="57" customWidth="1"/>
    <col min="40" max="16384" width="10.6640625" style="57"/>
    <col min="39" max="39" width="12" hidden="1" customWidth="1"/>
  </cols>
  <sheetData>
    <row r="1" spans="1:38" s="50" customFormat="1" ht="13" thickBot="1">
      <c r="B1" s="47"/>
      <c r="C1" s="217"/>
      <c r="L1" s="50">
        <v>0</v>
      </c>
      <c r="M1" s="50">
        <v>1</v>
      </c>
      <c r="N1" s="50">
        <v>2</v>
      </c>
      <c r="O1" s="50">
        <v>3</v>
      </c>
      <c r="P1" s="50">
        <v>4</v>
      </c>
      <c r="Q1" s="50">
        <v>5</v>
      </c>
    </row>
    <row r="2" spans="1:38" ht="16">
      <c r="A2" s="50"/>
      <c r="B2" s="366" t="s">
        <v>97</v>
      </c>
      <c r="C2" s="367"/>
      <c r="D2" s="370"/>
      <c r="E2" s="371"/>
      <c r="F2" s="372"/>
      <c r="G2" s="373"/>
      <c r="H2" s="374"/>
      <c r="I2" s="375"/>
      <c r="J2" s="111"/>
      <c r="K2" s="112"/>
      <c r="L2" s="112"/>
      <c r="M2" s="112"/>
      <c r="N2" s="112"/>
      <c r="O2" s="112"/>
      <c r="P2" s="112"/>
      <c r="Q2" s="112"/>
      <c r="R2" s="112"/>
      <c r="S2" s="112"/>
      <c r="T2" s="112"/>
      <c r="U2" s="112"/>
      <c r="V2" s="376" t="s">
        <v>98</v>
      </c>
      <c r="W2" s="377"/>
      <c r="X2" s="378"/>
      <c r="Y2" s="364" t="s">
        <v>99</v>
      </c>
      <c r="Z2" s="365"/>
    </row>
    <row r="3" spans="1:38" s="114" customFormat="1" ht="218" thickBot="1">
      <c r="A3" s="113"/>
      <c r="B3" s="368"/>
      <c r="C3" s="369"/>
      <c r="D3" s="265" t="s">
        <v>100</v>
      </c>
      <c r="E3" s="266" t="str">
        <f>'ONR 1'!E5</f>
        <v>Importance</v>
      </c>
      <c r="F3" s="273" t="str">
        <f>'ONR 1'!F5</f>
        <v>Niveau actuel</v>
      </c>
      <c r="G3" s="120" t="str">
        <f>'ONR 1'!G5</f>
        <v>Ce qui est déjà fait et ce qui justifie la note</v>
      </c>
      <c r="H3" s="121" t="str">
        <f>'ONR 1'!H5</f>
        <v>Compétences nécessaires</v>
      </c>
      <c r="I3" s="122" t="str">
        <f>'ONR 1'!I5</f>
        <v>Points forts et points faibles</v>
      </c>
      <c r="J3" s="123" t="str">
        <f>'ONR 1'!J5</f>
        <v>Niveau de priorité</v>
      </c>
      <c r="K3" s="118" t="s">
        <v>22</v>
      </c>
      <c r="L3" s="185" t="s">
        <v>23</v>
      </c>
      <c r="M3" s="186" t="s">
        <v>24</v>
      </c>
      <c r="N3" s="187" t="s">
        <v>25</v>
      </c>
      <c r="O3" s="188" t="s">
        <v>26</v>
      </c>
      <c r="P3" s="189" t="s">
        <v>27</v>
      </c>
      <c r="Q3" s="190" t="s">
        <v>28</v>
      </c>
      <c r="R3" s="191" t="s">
        <v>29</v>
      </c>
      <c r="S3" s="119" t="s">
        <v>30</v>
      </c>
      <c r="T3" s="119" t="s">
        <v>31</v>
      </c>
      <c r="U3" s="119" t="s">
        <v>32</v>
      </c>
      <c r="V3" s="124" t="s">
        <v>101</v>
      </c>
      <c r="W3" s="125" t="s">
        <v>102</v>
      </c>
      <c r="X3" s="126" t="s">
        <v>34</v>
      </c>
      <c r="Y3" s="127" t="s">
        <v>103</v>
      </c>
      <c r="Z3" s="128" t="s">
        <v>104</v>
      </c>
      <c r="AB3" s="114" t="str">
        <v>ONR</v>
      </c>
      <c r="AC3" s="192" t="s">
        <v>106</v>
      </c>
      <c r="AD3" s="192" t="s">
        <v>107</v>
      </c>
      <c r="AE3" s="192" t="str">
        <v>Cibles à évaluer</v>
      </c>
      <c r="AF3" s="193" t="s">
        <v>109</v>
      </c>
      <c r="AG3" s="194" t="s">
        <v>110</v>
      </c>
      <c r="AH3" s="195" t="s">
        <v>111</v>
      </c>
      <c r="AI3" s="196" t="s">
        <v>112</v>
      </c>
      <c r="AJ3" s="197" t="s">
        <v>113</v>
      </c>
      <c r="AK3" s="198" t="s">
        <v>114</v>
      </c>
      <c r="AL3" s="192" t="str">
        <v>Cibles non applicables</v>
      </c>
      <c r="AM3" t="str">
        <v>Piste d’action renseignée</v>
      </c>
    </row>
    <row r="4" spans="1:38" s="116" customFormat="1" ht="23" thickBot="1">
      <c r="A4" s="115"/>
      <c r="B4" s="381" t="str">
        <f>'ONR 1'!B2</f>
        <v>ONR 1 : Sobriété · Utiliser les outils numériques pour consommer moins de ressources et réduire leurs effets sur l’environnement</v>
      </c>
      <c r="C4" s="382"/>
      <c r="D4" s="382"/>
      <c r="E4" s="382"/>
      <c r="F4" s="382"/>
      <c r="G4" s="382"/>
      <c r="H4" s="382"/>
      <c r="I4" s="382"/>
      <c r="J4" s="382"/>
      <c r="K4" s="382"/>
      <c r="L4" s="382"/>
      <c r="M4" s="382"/>
      <c r="N4" s="382"/>
      <c r="O4" s="382"/>
      <c r="P4" s="382"/>
      <c r="Q4" s="382"/>
      <c r="R4" s="382"/>
      <c r="S4" s="382"/>
      <c r="T4" s="382"/>
      <c r="U4" s="382"/>
      <c r="V4" s="382"/>
      <c r="W4" s="382"/>
      <c r="X4" s="382"/>
      <c r="Y4" s="382"/>
      <c r="Z4" s="383"/>
      <c r="AB4" s="116" t="str">
        <f>B4</f>
        <v>ONR 1 : Sobriété · Utiliser les outils numériques pour consommer moins de ressources et réduire leurs effets sur l’environnement</v>
      </c>
      <c r="AC4" s="116" t="n">
        <f>COUNTA('ONR 1'!B7:B14)</f>
        <v>8</v>
      </c>
      <c r="AD4" s="116" t="n">
        <f>COUNT(T5:T12)</f>
        <v>5</v>
      </c>
      <c r="AE4" s="117" t="n">
        <f>SUM(AE5:AE12)</f>
        <v>3</v>
      </c>
      <c r="AF4" s="117" t="n">
        <f>SUM(AF5:AF12)</f>
        <v>3</v>
      </c>
      <c r="AG4" s="117" t="n">
        <f>SUM(AG5:AG12)</f>
        <v>1</v>
      </c>
      <c r="AH4" s="117" t="n">
        <f>SUM(AH5:AH12)</f>
        <v>1</v>
      </c>
      <c r="AI4" s="117" t="n">
        <f>SUM(AI5:AI12)</f>
        <v>0</v>
      </c>
      <c r="AJ4" s="117" t="n">
        <f>SUM(AJ5:AJ12)</f>
        <v>0</v>
      </c>
      <c r="AK4" s="117" t="n">
        <f>SUM(AK5:AK12)</f>
        <v>0</v>
      </c>
      <c r="AL4" s="117" t="n">
        <f>SUM(AL5:AL12)</f>
        <v>0</v>
      </c>
    </row>
    <row r="5" spans="1:38" s="205" customFormat="1" ht="38">
      <c r="A5" s="199"/>
      <c r="B5" s="218" t="str">
        <f>IF(ISBLANK('ONR 1'!B7),"",'ONR 1'!B7)</f>
        <v>1.1</v>
      </c>
      <c r="C5" s="218" t="str">
        <f>IF(ISBLANK('ONR 1'!C7),"",'ONR 1'!C7)</f>
        <v>Prendre en compte toutes les étapes de la vie des équipements et des logiciels, de leur création à leur fin de vie, pour contribuer à la transition énergétique.</v>
      </c>
      <c r="D5" s="223" t="str">
        <f>IF(ISBLANK('ONR 1'!D7),"",'ONR 1'!D7)</f>
        <v>Avantages possibles : réduire les émissions de gaz à effet de serre de l’organisation et se préparer aux futures règles environnementales.
Risque : payer plus cher à l’achat certains équipements conçus pour limiter leurs effets sur l’environnement.</v>
      </c>
      <c r="E5" s="267" t="n">
        <f>IF(ISBLANK('ONR 1'!E7),"",'ONR 1'!E7)</f>
        <v>3</v>
      </c>
      <c r="F5" s="274" t="n">
        <f>IF(ISBLANK('ONR 1'!F7),"",'ONR 1'!F7)</f>
        <v>1</v>
      </c>
      <c r="G5" s="200" t="str">
        <f>IF(ISBLANK('ONR 1'!G7),"",'ONR 1'!G7)</f>
        <v>L’équipe Achats retient le prix d’achat comme seul critère de choix. Elle ne demande pas d’analyse du cycle de vie (ACV) aux fournisseurs dans les appels d’offres.</v>
      </c>
      <c r="H5" s="201" t="n">
        <f>IF(ISBLANK('ONR 1'!H7),"",'ONR 1'!H7)</f>
        <v>3</v>
      </c>
      <c r="I5" s="225" t="str">
        <f>IF(ISBLANK('ONR 1'!I7),"",'ONR 1'!I7)</f>
        <v>Point fort : la direction des achats souhaite adopter des pratiques plus durables.
Point faible : l’équipe connaît peu les labels environnementaux des équipements informatiques.</v>
      </c>
      <c r="J5" s="226" t="str">
        <f>IF(ISBLANK('ONR 1'!J7),"",'ONR 1'!J7)</f>
        <v>Intervention urgente</v>
      </c>
      <c r="K5" s="227" t="n">
        <f t="shared" ref="K5:K9" si="1">IF(ISBLANK('ONR 1'!K7),"",'ONR 1'!K7)</f>
        <v>31</v>
      </c>
      <c r="L5" s="227" t="b">
        <f>IF(ISBLANK('ONR 1'!L7),"",'ONR 1'!L7)</f>
        <v>1</v>
      </c>
      <c r="M5" s="227" t="b">
        <f>IF(ISBLANK('ONR 1'!M7),"",'ONR 1'!M7)</f>
        <v>0</v>
      </c>
      <c r="N5" s="227" t="b">
        <f>IF(ISBLANK('ONR 1'!N7),"",'ONR 1'!N7)</f>
        <v>0</v>
      </c>
      <c r="O5" s="227" t="b">
        <f>IF(ISBLANK('ONR 1'!O7),"",'ONR 1'!O7)</f>
        <v>0</v>
      </c>
      <c r="P5" s="227" t="b">
        <f>IF(ISBLANK('ONR 1'!P7),"",'ONR 1'!P7)</f>
        <v>0</v>
      </c>
      <c r="Q5" s="227" t="b">
        <f>IF(ISBLANK('ONR 1'!Q7),"",'ONR 1'!Q7)</f>
        <v>0</v>
      </c>
      <c r="R5" s="227" t="b">
        <f>IF(ISBLANK('ONR 1'!R7),"",'ONR 1'!R7)</f>
        <v>0</v>
      </c>
      <c r="S5" s="228" t="str">
        <f t="shared" ref="S5:S9" si="2">IF(ISBLANK('ONR 1'!S7),"",'ONR 1'!S7)</f>
        <v>Intervention urgente</v>
      </c>
      <c r="T5" s="226" t="n">
        <f t="shared" ref="T5:T9" si="3">IF(ISBLANK('ONR 1'!T7),"",'ONR 1'!T7)</f>
        <v>6</v>
      </c>
      <c r="U5" s="227" t="n">
        <f t="shared" ref="U5:U9" si="4">IF(ISBLANK('ONR 1'!U7),"",'ONR 1'!U7)</f>
        <v>63</v>
      </c>
      <c r="V5" s="229" t="str">
        <f t="shared" ref="V5:V11" si="5">IF(ISBLANK('ONR 1'!G7),"",'ONR 1'!G7)</f>
        <v>L’équipe Achats retient le prix d’achat comme seul critère de choix. Elle ne demande pas d’analyse du cycle de vie (ACV) aux fournisseurs dans les appels d’offres.</v>
      </c>
      <c r="W5" s="203" t="str">
        <f>IF(ISBLANK('ONR 1'!V7),"",'ONR 1'!V7)</f>
        <v>Former l’équipe Achats aux critères du numérique responsable et aux labels TCO et EPEAT. Dans les prochains appels d’offres pour remplacer les serveurs, faire compter les critères environnementaux pour 15 % de la note.</v>
      </c>
      <c r="X5" s="204" t="str">
        <f>IF(ISBLANK('ONR 1'!W7),"",'ONR 1'!W7)</f>
      </c>
      <c r="Y5" s="230" t="str">
        <f t="shared" ref="Y5:Y11" si="6">IF(ISBLANK('ONR 1'!I7),"",'ONR 1'!I7)</f>
        <v>Point fort : la direction des achats souhaite adopter des pratiques plus durables.
Point faible : l’équipe connaît peu les labels environnementaux des équipements informatiques.</v>
      </c>
      <c r="Z5" s="230" t="str">
        <f t="shared" ref="Z5:Z11" si="7">IF(ISBLANK('ONR 1'!D7),"",'ONR 1'!D7)</f>
        <v>Avantages possibles : réduire les émissions de gaz à effet de serre de l’organisation et se préparer aux futures règles environnementales.
Risque : payer plus cher à l’achat certains équipements conçus pour limiter leurs effets sur l’environnement.</v>
      </c>
      <c r="AE5" s="206" t="n">
        <f t="shared" ref="AE5:AE11" si="8">IF(ISNUMBER(T5),0,1)</f>
        <v>0</v>
      </c>
      <c r="AF5" s="206" t="n">
        <f t="shared" ref="AF5:AL11" si="9">IF(L5=TRUE,1,0)</f>
        <v>1</v>
      </c>
      <c r="AG5" s="206" t="n">
        <f t="shared" si="9">IF(M5=TRUE,1,0)</f>
        <v>0</v>
      </c>
      <c r="AH5" s="206" t="n">
        <f t="shared" si="9">IF(N5=TRUE,1,0)</f>
        <v>0</v>
      </c>
      <c r="AI5" s="206" t="n">
        <f t="shared" si="9">IF(O5=TRUE,1,0)</f>
        <v>0</v>
      </c>
      <c r="AJ5" s="206" t="n">
        <f t="shared" si="9">IF(P5=TRUE,1,0)</f>
        <v>0</v>
      </c>
      <c r="AK5" s="206" t="n">
        <f t="shared" si="9">IF(Q5=TRUE,1,0)</f>
        <v>0</v>
      </c>
      <c r="AL5" s="206" t="n">
        <f t="shared" si="9">IF(R5=TRUE,1,0)</f>
        <v>0</v>
      </c>
      <c r="AM5" t="n">
        <f>IF(LEN(TRIM(W5))&gt;0,1,0)</f>
        <v>1</v>
      </c>
    </row>
    <row r="6" spans="1:38" s="205" customFormat="1" ht="57">
      <c r="A6" s="199"/>
      <c r="B6" s="219" t="str">
        <f>IF(ISBLANK('ONR 1'!B8),"",'ONR 1'!B8)</f>
        <v>1.2</v>
      </c>
      <c r="C6" s="219" t="str">
        <f>IF(ISBLANK('ONR 1'!C8),"",'ONR 1'!C8)</f>
        <v>Utiliser les équipements plus longtemps, même après la fin de leur amortissement, c’est-à-dire la période sur laquelle leur coût est réparti dans les comptes.</v>
      </c>
      <c r="D6" s="231" t="str">
        <f>IF(ISBLANK('ONR 1'!D8),"",'ONR 1'!D8)</f>
        <v>Avantages possibles : réduire les dépenses d’achat de matériel et les déchets d’équipements électriques et électroniques (DEEE).</v>
      </c>
      <c r="E6" s="268" t="n">
        <f>IF(ISBLANK('ONR 1'!E8),"",'ONR 1'!E8)</f>
        <v>3</v>
      </c>
      <c r="F6" s="275" t="n">
        <f>IF(ISBLANK('ONR 1'!F8),"",'ONR 1'!F8)</f>
        <v>3</v>
      </c>
      <c r="G6" s="207" t="str">
        <f>IF(ISBLANK('ONR 1'!G8),"",'ONR 1'!G8)</f>
        <v>L’organisation a porté la durée de renouvellement des ordinateurs portables de trois à quatre ans l’année dernière. Elle dispose d’un contrat de maintenance.</v>
      </c>
      <c r="H6" s="201" t="n">
        <f>IF(ISBLANK('ONR 1'!H8),"",'ONR 1'!H8)</f>
        <v>2</v>
      </c>
      <c r="I6" s="225" t="str">
        <f>IF(ISBLANK('ONR 1'!I8),"",'ONR 1'!I8)</f>
        <v>Point fort : l’équipe technique peut réparer les équipements en interne.
Point faible : certains utilisateurs demandent du matériel neuf pour son apparence.</v>
      </c>
      <c r="J6" s="232" t="str">
        <f t="shared" ref="J6:J9" si="10">IF(ISBLANK('ONR 1'!J8),"",'ONR 1'!J8)</f>
        <v>Intervention à moyen terme</v>
      </c>
      <c r="K6" s="233" t="n">
        <f t="shared" si="1">IF(ISBLANK('ONR 1'!K8),"",'ONR 1'!K8)</f>
        <v>33</v>
      </c>
      <c r="L6" s="233" t="b">
        <f t="shared" ref="L6:L9" si="11">IF(ISBLANK('ONR 1'!L8),"",'ONR 1'!L8)</f>
        <v>0</v>
      </c>
      <c r="M6" s="233" t="b">
        <f t="shared" ref="M6:M9" si="12">IF(ISBLANK('ONR 1'!M8),"",'ONR 1'!M8)</f>
        <v>0</v>
      </c>
      <c r="N6" s="233" t="b">
        <f t="shared" ref="N6:N9" si="13">IF(ISBLANK('ONR 1'!N8),"",'ONR 1'!N8)</f>
        <v>1</v>
      </c>
      <c r="O6" s="233" t="b">
        <f t="shared" ref="O6:O9" si="14">IF(ISBLANK('ONR 1'!O8),"",'ONR 1'!O8)</f>
        <v>0</v>
      </c>
      <c r="P6" s="233" t="b">
        <f t="shared" ref="P6:P9" si="15">IF(ISBLANK('ONR 1'!P8),"",'ONR 1'!P8)</f>
        <v>0</v>
      </c>
      <c r="Q6" s="233" t="b">
        <f t="shared" ref="Q6:Q9" si="16">IF(ISBLANK('ONR 1'!Q8),"",'ONR 1'!Q8)</f>
        <v>0</v>
      </c>
      <c r="R6" s="233" t="b">
        <f t="shared" ref="R6:R9" si="17">IF(ISBLANK('ONR 1'!R8),"",'ONR 1'!R8)</f>
        <v>0</v>
      </c>
      <c r="S6" s="234" t="str">
        <f t="shared" si="2">IF(ISBLANK('ONR 1'!S8),"",'ONR 1'!S8)</f>
        <v>Intervention à moyen terme</v>
      </c>
      <c r="T6" s="232" t="n">
        <f t="shared" si="3">IF(ISBLANK('ONR 1'!T8),"",'ONR 1'!T8)</f>
        <v>4</v>
      </c>
      <c r="U6" s="233" t="n">
        <f t="shared" si="4">IF(ISBLANK('ONR 1'!U8),"",'ONR 1'!U8)</f>
        <v>42</v>
      </c>
      <c r="V6" s="235" t="str">
        <f t="shared" si="5">IF(ISBLANK('ONR 1'!G8),"",'ONR 1'!G8)</f>
        <v>L’organisation a porté la durée de renouvellement des ordinateurs portables de trois à quatre ans l’année dernière. Elle dispose d’un contrat de maintenance.</v>
      </c>
      <c r="W6" s="235" t="str">
        <f>IF(ISBLANK('ONR 1'!V8),"",'ONR 1'!V8)</f>
        <v>Répartir le coût des équipements dans les comptes sur cinq ans au minimum : c’est la durée d’amortissement. Prévoir un stock de pièces détachées pour faciliter les réparations. Expliquer aux équipes comment garder leur ordinateur plus longtemps permet d’éviter des émissions de gaz à effet de serre.</v>
      </c>
      <c r="X6" s="204" t="str">
        <f>IF(ISBLANK('ONR 1'!W8),"",'ONR 1'!W8)</f>
      </c>
      <c r="Y6" s="236" t="str">
        <f t="shared" si="6">IF(ISBLANK('ONR 1'!I8),"",'ONR 1'!I8)</f>
        <v>Point fort : l’équipe technique peut réparer les équipements en interne.
Point faible : certains utilisateurs demandent du matériel neuf pour son apparence.</v>
      </c>
      <c r="Z6" s="236" t="str">
        <f t="shared" si="7">IF(ISBLANK('ONR 1'!D8),"",'ONR 1'!D8)</f>
        <v>Avantages possibles : réduire les dépenses d’achat de matériel et les déchets d’équipements électriques et électroniques (DEEE).</v>
      </c>
      <c r="AE6" s="206" t="n">
        <f t="shared" si="8">IF(ISNUMBER(T6),0,1)</f>
        <v>0</v>
      </c>
      <c r="AF6" s="206" t="n">
        <f t="shared" si="9">IF(L6=TRUE,1,0)</f>
        <v>0</v>
      </c>
      <c r="AG6" s="206" t="n">
        <f t="shared" si="9">IF(M6=TRUE,1,0)</f>
        <v>0</v>
      </c>
      <c r="AH6" s="206" t="n">
        <f t="shared" si="9">IF(N6=TRUE,1,0)</f>
        <v>1</v>
      </c>
      <c r="AI6" s="206" t="n">
        <f t="shared" si="9">IF(O6=TRUE,1,0)</f>
        <v>0</v>
      </c>
      <c r="AJ6" s="206" t="n">
        <f t="shared" si="9">IF(P6=TRUE,1,0)</f>
        <v>0</v>
      </c>
      <c r="AK6" s="206" t="n">
        <f t="shared" si="9">IF(Q6=TRUE,1,0)</f>
        <v>0</v>
      </c>
      <c r="AL6" s="206" t="n">
        <f t="shared" si="9">IF(R6=TRUE,1,0)</f>
        <v>0</v>
      </c>
      <c r="AM6" t="n">
        <f>IF(LEN(TRIM(W6))&gt;0,1,0)</f>
        <v>1</v>
      </c>
    </row>
    <row r="7" spans="1:38" s="205" customFormat="1" ht="57">
      <c r="A7" s="199"/>
      <c r="B7" s="219" t="str">
        <f>IF(ISBLANK('ONR 1'!B9),"",'ONR 1'!B9)</f>
        <v>1.3</v>
      </c>
      <c r="C7" s="219" t="str">
        <f>IF(ISBLANK('ONR 1'!C9),"",'ONR 1'!C9)</f>
        <v>Concevoir des services numériques qui limitent leurs effets sur l’environnement. Choisir des technologies qui contribuent aux Objectifs de développement durable (ODD).</v>
      </c>
      <c r="D7" s="231" t="str">
        <f>IF(ISBLANK('ONR 1'!D9),"",'ONR 1'!D9)</f>
        <v>Avantages possibles : réduire les effets des services sur l’environnement dès leur conception, faciliter leur utilisation et contribuer aux Objectifs de développement durable (ODD).
Risques : accumuler des problèmes techniques non résolus ou créer des logiciels trop gourmands en ressources, qui obligent à remplacer le matériel plus tôt.</v>
      </c>
      <c r="E7" s="268" t="n">
        <f>IF(ISBLANK('ONR 1'!E9),"",'ONR 1'!E9)</f>
        <v>3</v>
      </c>
      <c r="F7" s="275" t="n">
        <f>IF(ISBLANK('ONR 1'!F9),"",'ONR 1'!F9)</f>
        <v>2</v>
      </c>
      <c r="G7" s="207" t="str">
        <f>IF(ISBLANK('ONR 1'!G9),"",'ONR 1'!G9)</f>
        <v>Les équipes valident les nouveaux services et sites web selon des critères fonctionnels, graphiques et financiers. Elles ne mesurent ni le poids des pages ni l’impact environnemental du code.</v>
      </c>
      <c r="H7" s="201" t="n">
        <f>IF(ISBLANK('ONR 1'!H9),"",'ONR 1'!H9)</f>
        <v>2</v>
      </c>
      <c r="I7" s="225" t="str">
        <f>IF(ISBLANK('ONR 1'!I9),"",'ONR 1'!I9)</f>
        <v>Point fort : les développeurs et les chefs de produit s’intéressent aux effets de leurs activités sur la société et l’environnement.
Points faibles : ils connaissent peu les guides pour concevoir des services numériques moins polluants, comme le RGESN. Ils savent peu comment relier leurs projets aux ODD.</v>
      </c>
      <c r="J7" s="232" t="str">
        <f t="shared" si="10">IF(ISBLANK('ONR 1'!J9),"",'ONR 1'!J9)</f>
        <v>Intervention prioritaire</v>
      </c>
      <c r="K7" s="233" t="n">
        <f t="shared" si="1">IF(ISBLANK('ONR 1'!K9),"",'ONR 1'!K9)</f>
        <v>32</v>
      </c>
      <c r="L7" s="233" t="b">
        <f t="shared" si="11">IF(ISBLANK('ONR 1'!L9),"",'ONR 1'!L9)</f>
        <v>0</v>
      </c>
      <c r="M7" s="233" t="b">
        <f t="shared" si="12">IF(ISBLANK('ONR 1'!M9),"",'ONR 1'!M9)</f>
        <v>1</v>
      </c>
      <c r="N7" s="233" t="b">
        <f t="shared" si="13">IF(ISBLANK('ONR 1'!N9),"",'ONR 1'!N9)</f>
        <v>0</v>
      </c>
      <c r="O7" s="233" t="b">
        <f t="shared" si="14">IF(ISBLANK('ONR 1'!O9),"",'ONR 1'!O9)</f>
        <v>0</v>
      </c>
      <c r="P7" s="233" t="b">
        <f t="shared" si="15">IF(ISBLANK('ONR 1'!P9),"",'ONR 1'!P9)</f>
        <v>0</v>
      </c>
      <c r="Q7" s="233" t="b">
        <f t="shared" si="16">IF(ISBLANK('ONR 1'!Q9),"",'ONR 1'!Q9)</f>
        <v>0</v>
      </c>
      <c r="R7" s="233" t="b">
        <f t="shared" si="17">IF(ISBLANK('ONR 1'!R9),"",'ONR 1'!R9)</f>
        <v>0</v>
      </c>
      <c r="S7" s="234" t="str">
        <f t="shared" si="2">IF(ISBLANK('ONR 1'!S9),"",'ONR 1'!S9)</f>
        <v>Intervention prioritaire</v>
      </c>
      <c r="T7" s="232" t="n">
        <f t="shared" si="3">IF(ISBLANK('ONR 1'!T9),"",'ONR 1'!T9)</f>
        <v>5</v>
      </c>
      <c r="U7" s="233" t="n">
        <f t="shared" si="4">IF(ISBLANK('ONR 1'!U9),"",'ONR 1'!U9)</f>
        <v>52</v>
      </c>
      <c r="V7" s="235" t="str">
        <f t="shared" si="5">IF(ISBLANK('ONR 1'!G9),"",'ONR 1'!G9)</f>
        <v>Les équipes valident les nouveaux services et sites web selon des critères fonctionnels, graphiques et financiers. Elles ne mesurent ni le poids des pages ni l’impact environnemental du code.</v>
      </c>
      <c r="W7" s="142" t="str">
        <f>IF(ISBLANK('ONR 1'!V9),"",'ONR 1'!V9)</f>
        <v>1. Former les équipes de conception, de développement et de gestion de projet à créer des services numériques qui limitent leurs effets sur l’environnement.
2. Ajouter des exigences environnementales aux cahiers des charges, comme limiter le poids des images et réduire les demandes envoyées aux serveurs.
3. Pour chaque nouveau projet, préciser à quels Objectifs de développement durable il contribue.</v>
      </c>
      <c r="X7" s="204" t="str">
        <f>IF(ISBLANK('ONR 1'!W9),"",'ONR 1'!W9)</f>
      </c>
      <c r="Y7" s="236" t="str">
        <f t="shared" si="6">IF(ISBLANK('ONR 1'!I9),"",'ONR 1'!I9)</f>
        <v>Point fort : les développeurs et les chefs de produit s’intéressent aux effets de leurs activités sur la société et l’environnement.
Points faibles : ils connaissent peu les guides pour concevoir des services numériques moins polluants, comme le RGESN. Ils savent peu comment relier leurs projets aux ODD.</v>
      </c>
      <c r="Z7" s="236" t="str">
        <f t="shared" si="7">IF(ISBLANK('ONR 1'!D9),"",'ONR 1'!D9)</f>
        <v>Avantages possibles : réduire les effets des services sur l’environnement dès leur conception, faciliter leur utilisation et contribuer aux Objectifs de développement durable (ODD).
Risques : accumuler des problèmes techniques non résolus ou créer des logiciels trop gourmands en ressources, qui obligent à remplacer le matériel plus tôt.</v>
      </c>
      <c r="AE7" s="206" t="n">
        <f t="shared" si="8">IF(ISNUMBER(T7),0,1)</f>
        <v>0</v>
      </c>
      <c r="AF7" s="206" t="n">
        <f t="shared" si="9">IF(L7=TRUE,1,0)</f>
        <v>0</v>
      </c>
      <c r="AG7" s="206" t="n">
        <f t="shared" si="9">IF(M7=TRUE,1,0)</f>
        <v>1</v>
      </c>
      <c r="AH7" s="206" t="n">
        <f t="shared" si="9">IF(N7=TRUE,1,0)</f>
        <v>0</v>
      </c>
      <c r="AI7" s="206" t="n">
        <f t="shared" si="9">IF(O7=TRUE,1,0)</f>
        <v>0</v>
      </c>
      <c r="AJ7" s="206" t="n">
        <f t="shared" si="9">IF(P7=TRUE,1,0)</f>
        <v>0</v>
      </c>
      <c r="AK7" s="206" t="n">
        <f t="shared" si="9">IF(Q7=TRUE,1,0)</f>
        <v>0</v>
      </c>
      <c r="AL7" s="206" t="n">
        <f t="shared" si="9">IF(R7=TRUE,1,0)</f>
        <v>0</v>
      </c>
      <c r="AM7" t="n">
        <f>IF(LEN(TRIM(W7))&gt;0,1,0)</f>
        <v>1</v>
      </c>
    </row>
    <row r="8" spans="1:38" s="205" customFormat="1" ht="38">
      <c r="A8" s="199"/>
      <c r="B8" s="219" t="str">
        <f>IF(ISBLANK('ONR 1'!B10),"",'ONR 1'!B10)</f>
        <v>1.4</v>
      </c>
      <c r="C8" s="219" t="str">
        <f>IF(ISBLANK('ONR 1'!C10),"",'ONR 1'!C10)</f>
        <v>Adopter des pratiques qui consomment moins de matériel, de ressources, d’énergie et de consommables, comme le papier ou l’encre.</v>
      </c>
      <c r="D8" s="237" t="str">
        <f>IF(ISBLANK('ONR 1'!D10),"",'ONR 1'!D10)</f>
      </c>
      <c r="E8" s="269" t="str">
        <f>IF(ISBLANK('ONR 1'!E10),"",'ONR 1'!E10)</f>
      </c>
      <c r="F8" s="276" t="str">
        <f>IF(ISBLANK('ONR 1'!F10),"",'ONR 1'!F10)</f>
      </c>
      <c r="G8" s="208" t="str">
        <f>IF(ISBLANK('ONR 1'!G10),"",'ONR 1'!G10)</f>
      </c>
      <c r="H8" s="209" t="str">
        <f>IF(ISBLANK('ONR 1'!H10),"",'ONR 1'!H10)</f>
      </c>
      <c r="I8" s="225" t="str">
        <f>IF(ISBLANK('ONR 1'!I10),"",'ONR 1'!I10)</f>
      </c>
      <c r="J8" s="232" t="str">
        <f t="shared" si="10">IF(ISBLANK('ONR 1'!J10),"",'ONR 1'!J10)</f>
      </c>
      <c r="K8" s="233" t="str">
        <f t="shared" si="1">IF(ISBLANK('ONR 1'!K10),"",'ONR 1'!K10)</f>
      </c>
      <c r="L8" s="233" t="b">
        <f t="shared" si="11">IF(ISBLANK('ONR 1'!L10),"",'ONR 1'!L10)</f>
        <v>0</v>
      </c>
      <c r="M8" s="233" t="b">
        <f t="shared" si="12">IF(ISBLANK('ONR 1'!M10),"",'ONR 1'!M10)</f>
        <v>0</v>
      </c>
      <c r="N8" s="233" t="b">
        <f t="shared" si="13">IF(ISBLANK('ONR 1'!N10),"",'ONR 1'!N10)</f>
        <v>0</v>
      </c>
      <c r="O8" s="233" t="b">
        <f t="shared" si="14">IF(ISBLANK('ONR 1'!O10),"",'ONR 1'!O10)</f>
        <v>0</v>
      </c>
      <c r="P8" s="233" t="b">
        <f t="shared" si="15">IF(ISBLANK('ONR 1'!P10),"",'ONR 1'!P10)</f>
        <v>0</v>
      </c>
      <c r="Q8" s="233" t="b">
        <f t="shared" si="16">IF(ISBLANK('ONR 1'!Q10),"",'ONR 1'!Q10)</f>
        <v>0</v>
      </c>
      <c r="R8" s="233" t="b">
        <f t="shared" si="17">IF(ISBLANK('ONR 1'!R10),"",'ONR 1'!R10)</f>
        <v>0</v>
      </c>
      <c r="S8" s="234" t="str">
        <f t="shared" si="2">IF(ISBLANK('ONR 1'!S10),"",'ONR 1'!S10)</f>
      </c>
      <c r="T8" s="232" t="str">
        <f t="shared" si="3">IF(ISBLANK('ONR 1'!T10),"",'ONR 1'!T10)</f>
      </c>
      <c r="U8" s="233" t="str">
        <f t="shared" si="4">IF(ISBLANK('ONR 1'!U10),"",'ONR 1'!U10)</f>
      </c>
      <c r="V8" s="239" t="str">
        <f t="shared" si="5">IF(ISBLANK('ONR 1'!G10),"",'ONR 1'!G10)</f>
      </c>
      <c r="W8" s="210" t="str">
        <f>IF(ISBLANK('ONR 1'!V10),"",'ONR 1'!V10)</f>
      </c>
      <c r="X8" s="204" t="str">
        <f>IF(ISBLANK('ONR 1'!W10),"",'ONR 1'!W10)</f>
      </c>
      <c r="Y8" s="236" t="str">
        <f t="shared" si="6">IF(ISBLANK('ONR 1'!I10),"",'ONR 1'!I10)</f>
      </c>
      <c r="Z8" s="236" t="str">
        <f t="shared" si="7">IF(ISBLANK('ONR 1'!D10),"",'ONR 1'!D10)</f>
      </c>
      <c r="AE8" s="206" t="n">
        <f t="shared" si="8">IF(ISNUMBER(T8),0,1)</f>
        <v>1</v>
      </c>
      <c r="AF8" s="206" t="n">
        <f t="shared" si="9">IF(L8=TRUE,1,0)</f>
        <v>0</v>
      </c>
      <c r="AG8" s="206" t="n">
        <f t="shared" si="9">IF(M8=TRUE,1,0)</f>
        <v>0</v>
      </c>
      <c r="AH8" s="206" t="n">
        <f t="shared" si="9">IF(N8=TRUE,1,0)</f>
        <v>0</v>
      </c>
      <c r="AI8" s="206" t="n">
        <f t="shared" si="9">IF(O8=TRUE,1,0)</f>
        <v>0</v>
      </c>
      <c r="AJ8" s="206" t="n">
        <f t="shared" si="9">IF(P8=TRUE,1,0)</f>
        <v>0</v>
      </c>
      <c r="AK8" s="206" t="n">
        <f t="shared" si="9">IF(Q8=TRUE,1,0)</f>
        <v>0</v>
      </c>
      <c r="AL8" s="206" t="n">
        <f t="shared" si="9">IF(R8=TRUE,1,0)</f>
        <v>0</v>
      </c>
      <c r="AM8" t="n">
        <f>IF(LEN(TRIM(W8))&gt;0,1,0)</f>
        <v>0</v>
      </c>
    </row>
    <row r="9" spans="1:38" s="205" customFormat="1" ht="57">
      <c r="A9" s="199"/>
      <c r="B9" s="219" t="str">
        <f>IF(ISBLANK('ONR 1'!B11),"",'ONR 1'!B11)</f>
        <v>1.5</v>
      </c>
      <c r="C9" s="219" t="str">
        <f>IF(ISBLANK('ONR 1'!C11),"",'ONR 1'!C11)</f>
        <v>Réutiliser ou recycler les déchets pour en faire de nouvelles ressources. Soutenir les emplois liés à leur traitement et à l’économie circulaire.</v>
      </c>
      <c r="D9" s="240" t="str">
        <f>IF(ISBLANK('ONR 1'!D11),"",'ONR 1'!D11)</f>
      </c>
      <c r="E9" s="270" t="str">
        <f>IF(ISBLANK('ONR 1'!E11),"",'ONR 1'!E11)</f>
      </c>
      <c r="F9" s="277" t="str">
        <f>IF(ISBLANK('ONR 1'!F11),"",'ONR 1'!F11)</f>
      </c>
      <c r="G9" s="211" t="str">
        <f>IF(ISBLANK('ONR 1'!G11),"",'ONR 1'!G11)</f>
      </c>
      <c r="H9" s="212" t="str">
        <f>IF(ISBLANK('ONR 1'!H11),"",'ONR 1'!H11)</f>
      </c>
      <c r="I9" s="225" t="str">
        <f>IF(ISBLANK('ONR 1'!I11),"",'ONR 1'!I11)</f>
      </c>
      <c r="J9" s="232" t="str">
        <f t="shared" si="10">IF(ISBLANK('ONR 1'!J11),"",'ONR 1'!J11)</f>
      </c>
      <c r="K9" s="233" t="str">
        <f t="shared" si="1">IF(ISBLANK('ONR 1'!K11),"",'ONR 1'!K11)</f>
      </c>
      <c r="L9" s="233" t="b">
        <f t="shared" si="11">IF(ISBLANK('ONR 1'!L11),"",'ONR 1'!L11)</f>
        <v>0</v>
      </c>
      <c r="M9" s="233" t="b">
        <f t="shared" si="12">IF(ISBLANK('ONR 1'!M11),"",'ONR 1'!M11)</f>
        <v>0</v>
      </c>
      <c r="N9" s="233" t="b">
        <f t="shared" si="13">IF(ISBLANK('ONR 1'!N11),"",'ONR 1'!N11)</f>
        <v>0</v>
      </c>
      <c r="O9" s="233" t="b">
        <f t="shared" si="14">IF(ISBLANK('ONR 1'!O11),"",'ONR 1'!O11)</f>
        <v>0</v>
      </c>
      <c r="P9" s="233" t="b">
        <f t="shared" si="15">IF(ISBLANK('ONR 1'!P11),"",'ONR 1'!P11)</f>
        <v>0</v>
      </c>
      <c r="Q9" s="233" t="b">
        <f t="shared" si="16">IF(ISBLANK('ONR 1'!Q11),"",'ONR 1'!Q11)</f>
        <v>0</v>
      </c>
      <c r="R9" s="233" t="b">
        <f t="shared" si="17">IF(ISBLANK('ONR 1'!R11),"",'ONR 1'!R11)</f>
        <v>0</v>
      </c>
      <c r="S9" s="234" t="str">
        <f t="shared" si="2">IF(ISBLANK('ONR 1'!S11),"",'ONR 1'!S11)</f>
      </c>
      <c r="T9" s="232" t="str">
        <f t="shared" si="3">IF(ISBLANK('ONR 1'!T11),"",'ONR 1'!T11)</f>
      </c>
      <c r="U9" s="233" t="str">
        <f t="shared" si="4">IF(ISBLANK('ONR 1'!U11),"",'ONR 1'!U11)</f>
      </c>
      <c r="V9" s="241" t="str">
        <f t="shared" si="5">IF(ISBLANK('ONR 1'!G11),"",'ONR 1'!G11)</f>
      </c>
      <c r="W9" s="241" t="str">
        <f>IF(ISBLANK('ONR 1'!V11),"",'ONR 1'!V11)</f>
      </c>
      <c r="X9" s="204" t="str">
        <f>IF(ISBLANK('ONR 1'!W11),"",'ONR 1'!W11)</f>
      </c>
      <c r="Y9" s="236" t="str">
        <f t="shared" si="6">IF(ISBLANK('ONR 1'!I11),"",'ONR 1'!I11)</f>
      </c>
      <c r="Z9" s="236" t="str">
        <f t="shared" si="7">IF(ISBLANK('ONR 1'!D11),"",'ONR 1'!D11)</f>
      </c>
      <c r="AE9" s="206" t="n">
        <f t="shared" si="8">IF(ISNUMBER(T9),0,1)</f>
        <v>1</v>
      </c>
      <c r="AF9" s="206" t="n">
        <f t="shared" si="9">IF(L9=TRUE,1,0)</f>
        <v>0</v>
      </c>
      <c r="AG9" s="206" t="n">
        <f t="shared" si="9">IF(M9=TRUE,1,0)</f>
        <v>0</v>
      </c>
      <c r="AH9" s="206" t="n">
        <f t="shared" si="9">IF(N9=TRUE,1,0)</f>
        <v>0</v>
      </c>
      <c r="AI9" s="206" t="n">
        <f t="shared" si="9">IF(O9=TRUE,1,0)</f>
        <v>0</v>
      </c>
      <c r="AJ9" s="206" t="n">
        <f t="shared" si="9">IF(P9=TRUE,1,0)</f>
        <v>0</v>
      </c>
      <c r="AK9" s="206" t="n">
        <f t="shared" si="9">IF(Q9=TRUE,1,0)</f>
        <v>0</v>
      </c>
      <c r="AL9" s="206" t="n">
        <f t="shared" si="9">IF(R9=TRUE,1,0)</f>
        <v>0</v>
      </c>
      <c r="AM9" t="n">
        <f>IF(LEN(TRIM(W9))&gt;0,1,0)</f>
        <v>0</v>
      </c>
    </row>
    <row r="10" spans="1:38" s="205" customFormat="1" ht="38">
      <c r="A10" s="199"/>
      <c r="B10" s="219" t="str">
        <f>IF(ISBLANK('ONR 1'!B12),"",'ONR 1'!B12)</f>
        <v>1.6</v>
      </c>
      <c r="C10" s="219" t="str">
        <f>IF(ISBLANK('ONR 1'!C12),"",'ONR 1'!C12)</f>
        <v>Choisir des énergies renouvelables et encourager leur utilisation.</v>
      </c>
      <c r="D10" s="240" t="str">
        <f>IF(ISBLANK('ONR 1'!D12),"",'ONR 1'!D12)</f>
      </c>
      <c r="E10" s="270" t="str">
        <f>IF(ISBLANK('ONR 1'!E12),"",'ONR 1'!E12)</f>
      </c>
      <c r="F10" s="277" t="str">
        <f>IF(ISBLANK('ONR 1'!F12),"",'ONR 1'!F12)</f>
      </c>
      <c r="G10" s="211" t="str">
        <f>IF(ISBLANK('ONR 1'!G12),"",'ONR 1'!G12)</f>
      </c>
      <c r="H10" s="212" t="str">
        <f>IF(ISBLANK('ONR 1'!H12),"",'ONR 1'!H12)</f>
      </c>
      <c r="I10" s="225" t="str">
        <f>IF(ISBLANK('ONR 1'!I12),"",'ONR 1'!I12)</f>
      </c>
      <c r="J10" s="232" t="str">
        <f t="shared" ref="J10:J11" si="18">IF(ISBLANK('ONR 1'!J12),"",'ONR 1'!J12)</f>
      </c>
      <c r="K10" s="233" t="str">
        <f t="shared" ref="K10:K11" si="19">IF(ISBLANK('ONR 1'!K12),"",'ONR 1'!K12)</f>
      </c>
      <c r="L10" s="233" t="b">
        <f t="shared" ref="L10:L11" si="20">IF(ISBLANK('ONR 1'!L12),"",'ONR 1'!L12)</f>
        <v>0</v>
      </c>
      <c r="M10" s="233" t="b">
        <f t="shared" ref="M10:M11" si="21">IF(ISBLANK('ONR 1'!M12),"",'ONR 1'!M12)</f>
        <v>0</v>
      </c>
      <c r="N10" s="233" t="b">
        <f t="shared" ref="N10:N11" si="22">IF(ISBLANK('ONR 1'!N12),"",'ONR 1'!N12)</f>
        <v>0</v>
      </c>
      <c r="O10" s="233" t="b">
        <f t="shared" ref="O10:O11" si="23">IF(ISBLANK('ONR 1'!O12),"",'ONR 1'!O12)</f>
        <v>0</v>
      </c>
      <c r="P10" s="233" t="b">
        <f t="shared" ref="P10:P11" si="24">IF(ISBLANK('ONR 1'!P12),"",'ONR 1'!P12)</f>
        <v>0</v>
      </c>
      <c r="Q10" s="233" t="b">
        <f t="shared" ref="Q10:Q11" si="25">IF(ISBLANK('ONR 1'!Q12),"",'ONR 1'!Q12)</f>
        <v>0</v>
      </c>
      <c r="R10" s="233" t="b">
        <f t="shared" ref="R10:R11" si="26">IF(ISBLANK('ONR 1'!R12),"",'ONR 1'!R12)</f>
        <v>0</v>
      </c>
      <c r="S10" s="234" t="str">
        <f t="shared" ref="S10:S11" si="27">IF(ISBLANK('ONR 1'!S12),"",'ONR 1'!S12)</f>
      </c>
      <c r="T10" s="232" t="str">
        <f t="shared" ref="T10:T11" si="28">IF(ISBLANK('ONR 1'!T12),"",'ONR 1'!T12)</f>
      </c>
      <c r="U10" s="233" t="str">
        <f t="shared" ref="U10:U11" si="29">IF(ISBLANK('ONR 1'!U12),"",'ONR 1'!U12)</f>
      </c>
      <c r="V10" s="241" t="str">
        <f t="shared" si="5">IF(ISBLANK('ONR 1'!G12),"",'ONR 1'!G12)</f>
      </c>
      <c r="W10" s="241" t="str">
        <f>IF(ISBLANK('ONR 1'!V12),"",'ONR 1'!V12)</f>
      </c>
      <c r="X10" s="204" t="str">
        <f>IF(ISBLANK('ONR 1'!W12),"",'ONR 1'!W12)</f>
      </c>
      <c r="Y10" s="236" t="str">
        <f t="shared" si="6">IF(ISBLANK('ONR 1'!I12),"",'ONR 1'!I12)</f>
      </c>
      <c r="Z10" s="236" t="str">
        <f t="shared" si="7">IF(ISBLANK('ONR 1'!D12),"",'ONR 1'!D12)</f>
      </c>
      <c r="AE10" s="206" t="n">
        <f t="shared" si="8">IF(ISNUMBER(T10),0,1)</f>
        <v>1</v>
      </c>
      <c r="AF10" s="206" t="n">
        <f t="shared" si="9">IF(L10=TRUE,1,0)</f>
        <v>0</v>
      </c>
      <c r="AG10" s="206" t="n">
        <f t="shared" si="9">IF(M10=TRUE,1,0)</f>
        <v>0</v>
      </c>
      <c r="AH10" s="206" t="n">
        <f t="shared" si="9">IF(N10=TRUE,1,0)</f>
        <v>0</v>
      </c>
      <c r="AI10" s="206" t="n">
        <f t="shared" si="9">IF(O10=TRUE,1,0)</f>
        <v>0</v>
      </c>
      <c r="AJ10" s="206" t="n">
        <f t="shared" si="9">IF(P10=TRUE,1,0)</f>
        <v>0</v>
      </c>
      <c r="AK10" s="206" t="n">
        <f t="shared" si="9">IF(Q10=TRUE,1,0)</f>
        <v>0</v>
      </c>
      <c r="AL10" s="206" t="n">
        <f t="shared" si="9">IF(R10=TRUE,1,0)</f>
        <v>0</v>
      </c>
      <c r="AM10" t="n">
        <f>IF(LEN(TRIM(W10))&gt;0,1,0)</f>
        <v>0</v>
      </c>
    </row>
    <row r="11" spans="1:38" s="205" customFormat="1" ht="39" thickBot="1">
      <c r="A11" s="199"/>
      <c r="B11" s="219" t="str">
        <f>IF(ISBLANK('ONR 1'!B13),"",'ONR 1'!B13)</f>
        <v>1.7</v>
      </c>
      <c r="C11" s="219" t="str">
        <f>IF(ISBLANK('ONR 1'!C13),"",'ONR 1'!C13)</f>
        <v>Réserver l’intelligence artificielle aux besoins qui la justifient et privilégier des solutions sobres en ressources.</v>
      </c>
      <c r="D11" s="240" t="str">
        <f>IF(ISBLANK('ONR 1'!D13),"",'ONR 1'!D13)</f>
        <v>Avantages possibles : maîtriser les coûts du matériel et des services d’IA, et réduire les émissions de gaz à effet de serre liées à leur entraînement et à leur utilisation.
Risque : utiliser l’IA par effet de mode, sans besoin réel, et consommer davantage de ressources.</v>
      </c>
      <c r="E11" s="270" t="n">
        <f>IF(ISBLANK('ONR 1'!E13),"",'ONR 1'!E13)</f>
        <v>3</v>
      </c>
      <c r="F11" s="277" t="n">
        <f>IF(ISBLANK('ONR 1'!F13),"",'ONR 1'!F13)</f>
        <v>1</v>
      </c>
      <c r="G11" s="211" t="str">
        <f>IF(ISBLANK('ONR 1'!G13),"",'ONR 1'!G13)</f>
        <v>Les équipes métiers expérimentent plusieurs projets d’IA générative, dont des usages de ChatGPT. Elles ne mesurent pas leur impact énergétique et ne disposent pas de charte pour encadrer les besoins et les usages.</v>
      </c>
      <c r="H11" s="212" t="n">
        <f>IF(ISBLANK('ONR 1'!H13),"",'ONR 1'!H13)</f>
        <v>2</v>
      </c>
      <c r="I11" s="225" t="str">
        <f>IF(ISBLANK('ONR 1'!I13),"",'ONR 1'!I13)</f>
        <v>Point fort : l’équipe chargée des données et de l’informatique dispose de compétences techniques et souhaite explorer ces outils.
Points faibles : elle connaît peu les méthodes pour mesurer et réduire la consommation de l’IA. Elle manque aussi de recul pour savoir quand l’IA est utile.</v>
      </c>
      <c r="J11" s="232" t="str">
        <f t="shared" si="18">IF(ISBLANK('ONR 1'!J13),"",'ONR 1'!J13)</f>
        <v>Intervention urgente</v>
      </c>
      <c r="K11" s="233" t="n">
        <f t="shared" si="19">IF(ISBLANK('ONR 1'!K13),"",'ONR 1'!K13)</f>
        <v>31</v>
      </c>
      <c r="L11" s="233" t="b">
        <f t="shared" si="20">IF(ISBLANK('ONR 1'!L13),"",'ONR 1'!L13)</f>
        <v>1</v>
      </c>
      <c r="M11" s="233" t="b">
        <f t="shared" si="21">IF(ISBLANK('ONR 1'!M13),"",'ONR 1'!M13)</f>
        <v>0</v>
      </c>
      <c r="N11" s="233" t="b">
        <f t="shared" si="22">IF(ISBLANK('ONR 1'!N13),"",'ONR 1'!N13)</f>
        <v>0</v>
      </c>
      <c r="O11" s="233" t="b">
        <f t="shared" si="23">IF(ISBLANK('ONR 1'!O13),"",'ONR 1'!O13)</f>
        <v>0</v>
      </c>
      <c r="P11" s="233" t="b">
        <f t="shared" si="24">IF(ISBLANK('ONR 1'!P13),"",'ONR 1'!P13)</f>
        <v>0</v>
      </c>
      <c r="Q11" s="233" t="b">
        <f t="shared" si="25">IF(ISBLANK('ONR 1'!Q13),"",'ONR 1'!Q13)</f>
        <v>0</v>
      </c>
      <c r="R11" s="233" t="b">
        <f t="shared" si="26">IF(ISBLANK('ONR 1'!R13),"",'ONR 1'!R13)</f>
        <v>0</v>
      </c>
      <c r="S11" s="234" t="str">
        <f t="shared" si="27">IF(ISBLANK('ONR 1'!S13),"",'ONR 1'!S13)</f>
        <v>Intervention urgente</v>
      </c>
      <c r="T11" s="232" t="n">
        <f t="shared" si="28">IF(ISBLANK('ONR 1'!T13),"",'ONR 1'!T13)</f>
        <v>6</v>
      </c>
      <c r="U11" s="233" t="n">
        <f t="shared" si="29">IF(ISBLANK('ONR 1'!U13),"",'ONR 1'!U13)</f>
        <v>62</v>
      </c>
      <c r="V11" s="241" t="str">
        <f t="shared" si="5">IF(ISBLANK('ONR 1'!G13),"",'ONR 1'!G13)</f>
        <v>Les équipes métiers expérimentent plusieurs projets d’IA générative, dont des usages de ChatGPT. Elles ne mesurent pas leur impact énergétique et ne disposent pas de charte pour encadrer les besoins et les usages.</v>
      </c>
      <c r="W11" s="241" t="str">
        <f>IF(ISBLANK('ONR 1'!V13),"",'ONR 1'!V13)</f>
        <v>1. Vérifier le besoin avant chaque projet : faut-il de l’IA ou un outil informatique classique suffit-il ?
2. Choisir de petits modèles spécialisés quand ils répondent au besoin.
3. Former les développeurs et les spécialistes des données à réduire la consommation de l’IA, en améliorant le code et en évitant les calculs répétés.</v>
      </c>
      <c r="X11" s="204" t="str">
        <f>IF(ISBLANK('ONR 1'!W13),"",'ONR 1'!W13)</f>
      </c>
      <c r="Y11" s="236" t="str">
        <f t="shared" si="6">IF(ISBLANK('ONR 1'!I13),"",'ONR 1'!I13)</f>
        <v>Point fort : l’équipe chargée des données et de l’informatique dispose de compétences techniques et souhaite explorer ces outils.
Points faibles : elle connaît peu les méthodes pour mesurer et réduire la consommation de l’IA. Elle manque aussi de recul pour savoir quand l’IA est utile.</v>
      </c>
      <c r="Z11" s="236" t="str">
        <f t="shared" si="7">IF(ISBLANK('ONR 1'!D13),"",'ONR 1'!D13)</f>
        <v>Avantages possibles : maîtriser les coûts du matériel et des services d’IA, et réduire les émissions de gaz à effet de serre liées à leur entraînement et à leur utilisation.
Risque : utiliser l’IA par effet de mode, sans besoin réel, et consommer davantage de ressources.</v>
      </c>
      <c r="AE11" s="206" t="n">
        <f t="shared" si="8">IF(ISNUMBER(T11),0,1)</f>
        <v>0</v>
      </c>
      <c r="AF11" s="206" t="n">
        <f t="shared" si="9">IF(L11=TRUE,1,0)</f>
        <v>1</v>
      </c>
      <c r="AG11" s="206" t="n">
        <f t="shared" si="9">IF(M11=TRUE,1,0)</f>
        <v>0</v>
      </c>
      <c r="AH11" s="206" t="n">
        <f t="shared" si="9">IF(N11=TRUE,1,0)</f>
        <v>0</v>
      </c>
      <c r="AI11" s="206" t="n">
        <f t="shared" si="9">IF(O11=TRUE,1,0)</f>
        <v>0</v>
      </c>
      <c r="AJ11" s="206" t="n">
        <f t="shared" si="9">IF(P11=TRUE,1,0)</f>
        <v>0</v>
      </c>
      <c r="AK11" s="206" t="n">
        <f t="shared" si="9">IF(Q11=TRUE,1,0)</f>
        <v>0</v>
      </c>
      <c r="AL11" s="206" t="n">
        <f t="shared" si="9">IF(R11=TRUE,1,0)</f>
        <v>0</v>
      </c>
      <c r="AM11" t="n">
        <f>IF(LEN(TRIM(W11))&gt;0,1,0)</f>
        <v>1</v>
      </c>
    </row>
    <row r="12" spans="1:38" s="205" customFormat="1" ht="39" thickBot="1">
      <c r="A12" s="199"/>
      <c r="B12" s="219" t="str">
        <f>IF(ISBLANK('ONR 1'!B14),"",'ONR 1'!B14)</f>
        <v>1.8</v>
      </c>
      <c r="C12" s="219" t="str">
        <f>IF(ISBLANK('ONR 1'!C14),"",'ONR 1'!C14)</f>
        <v>Mesurer et réduire ce que consomme l’intelligence artificielle, pendant son entraînement comme pendant son utilisation.</v>
      </c>
      <c r="D12" s="240" t="str">
        <f>IF(ISBLANK('ONR 1'!D14),"",'ONR 1'!D14)</f>
        <v>Avantages possibles : maîtriser les coûts du matériel et des services d’IA, et réduire les émissions de gaz à effet de serre liées à leur entraînement et à leur utilisation.
Risque : utiliser l’IA par effet de mode, sans besoin réel, et consommer davantage de ressources.</v>
      </c>
      <c r="E12" s="270" t="n">
        <f>IF(ISBLANK('ONR 1'!E14),"",'ONR 1'!E14)</f>
        <v>3</v>
      </c>
      <c r="F12" s="277" t="n">
        <f>IF(ISBLANK('ONR 1'!F14),"",'ONR 1'!F14)</f>
        <v>1</v>
      </c>
      <c r="G12" s="211" t="str">
        <f>IF(ISBLANK('ONR 1'!G14),"",'ONR 1'!G14)</f>
        <v>Les équipes métiers expérimentent plusieurs projets d’IA générative, dont des usages de ChatGPT. Elles ne mesurent pas leur impact énergétique et ne disposent pas de charte pour encadrer les besoins et les usages.</v>
      </c>
      <c r="H12" s="212" t="n">
        <f>IF(ISBLANK('ONR 1'!H14),"",'ONR 1'!H14)</f>
        <v>2</v>
      </c>
      <c r="I12" s="225" t="str">
        <f>IF(ISBLANK('ONR 1'!I14),"",'ONR 1'!I14)</f>
        <v>Point fort : l’équipe chargée des données et de l’informatique dispose de compétences techniques et souhaite explorer ces outils.
Points faibles : elle connaît peu les méthodes pour mesurer et réduire la consommation de l’IA. Elle manque aussi de recul pour savoir quand l’IA est utile.</v>
      </c>
      <c r="J12" s="232" t="str">
        <f>IF(ISBLANK('ONR 1'!J14),"",'ONR 1'!J14)</f>
        <v>Intervention urgente</v>
      </c>
      <c r="K12" s="233" t="n">
        <f>IF(ISBLANK('ONR 1'!K14),"",'ONR 1'!K14)</f>
        <v>31</v>
      </c>
      <c r="L12" s="233" t="b">
        <f>IF(ISBLANK('ONR 1'!L14),"",'ONR 1'!L14)</f>
        <v>1</v>
      </c>
      <c r="M12" s="233" t="b">
        <f>IF(ISBLANK('ONR 1'!M14),"",'ONR 1'!M14)</f>
        <v>0</v>
      </c>
      <c r="N12" s="233" t="b">
        <f>IF(ISBLANK('ONR 1'!N14),"",'ONR 1'!N14)</f>
        <v>0</v>
      </c>
      <c r="O12" s="233" t="b">
        <f>IF(ISBLANK('ONR 1'!O14),"",'ONR 1'!O14)</f>
        <v>0</v>
      </c>
      <c r="P12" s="233" t="b">
        <f>IF(ISBLANK('ONR 1'!P14),"",'ONR 1'!P14)</f>
        <v>0</v>
      </c>
      <c r="Q12" s="233" t="b">
        <f>IF(ISBLANK('ONR 1'!Q14),"",'ONR 1'!Q14)</f>
        <v>0</v>
      </c>
      <c r="R12" s="233" t="b">
        <f>IF(ISBLANK('ONR 1'!R14),"",'ONR 1'!R14)</f>
        <v>0</v>
      </c>
      <c r="S12" s="234" t="str">
        <f>IF(ISBLANK('ONR 1'!S14),"",'ONR 1'!S14)</f>
        <v>Intervention urgente</v>
      </c>
      <c r="T12" s="232" t="n">
        <f>IF(ISBLANK('ONR 1'!T14),"",'ONR 1'!T14)</f>
        <v>6</v>
      </c>
      <c r="U12" s="233" t="n">
        <f>IF(ISBLANK('ONR 1'!U14),"",'ONR 1'!U14)</f>
        <v>62</v>
      </c>
      <c r="V12" s="241" t="str">
        <f>IF(ISBLANK('ONR 1'!G14),"",'ONR 1'!G14)</f>
        <v>Les équipes métiers expérimentent plusieurs projets d’IA générative, dont des usages de ChatGPT. Elles ne mesurent pas leur impact énergétique et ne disposent pas de charte pour encadrer les besoins et les usages.</v>
      </c>
      <c r="W12" s="241" t="str">
        <f>IF(ISBLANK('ONR 1'!V14),"",'ONR 1'!V14)</f>
        <v>1. Vérifier le besoin avant chaque projet : faut-il de l’IA ou un outil informatique classique suffit-il ?
2. Choisir de petits modèles spécialisés quand ils répondent au besoin.
3. Former les développeurs et les spécialistes des données à réduire la consommation de l’IA, en améliorant le code et en évitant les calculs répétés.</v>
      </c>
      <c r="X12" s="204" t="str">
        <f>IF(ISBLANK('ONR 1'!W14),"",'ONR 1'!W14)</f>
      </c>
      <c r="Y12" s="236" t="str">
        <f>IF(ISBLANK('ONR 1'!I14),"",'ONR 1'!I14)</f>
        <v>Point fort : l’équipe chargée des données et de l’informatique dispose de compétences techniques et souhaite explorer ces outils.
Points faibles : elle connaît peu les méthodes pour mesurer et réduire la consommation de l’IA. Elle manque aussi de recul pour savoir quand l’IA est utile.</v>
      </c>
      <c r="Z12" s="236" t="str">
        <f>IF(ISBLANK('ONR 1'!D14),"",'ONR 1'!D14)</f>
        <v>Avantages possibles : maîtriser les coûts du matériel et des services d’IA, et réduire les émissions de gaz à effet de serre liées à leur entraînement et à leur utilisation.
Risque : utiliser l’IA par effet de mode, sans besoin réel, et consommer davantage de ressources.</v>
      </c>
      <c r="AE12" s="206" t="n">
        <f>IF(ISNUMBER(T12),0,1)</f>
        <v>0</v>
      </c>
      <c r="AF12" s="206" t="n">
        <f>IF(L12=TRUE,1,0)</f>
        <v>1</v>
      </c>
      <c r="AG12" s="206" t="n">
        <f>IF(M12=TRUE,1,0)</f>
        <v>0</v>
      </c>
      <c r="AH12" s="206" t="n">
        <f>IF(N12=TRUE,1,0)</f>
        <v>0</v>
      </c>
      <c r="AI12" s="206" t="n">
        <f>IF(O12=TRUE,1,0)</f>
        <v>0</v>
      </c>
      <c r="AJ12" s="206" t="n">
        <f>IF(P12=TRUE,1,0)</f>
        <v>0</v>
      </c>
      <c r="AK12" s="206" t="n">
        <f>IF(Q12=TRUE,1,0)</f>
        <v>0</v>
      </c>
      <c r="AL12" s="206" t="n">
        <f>IF(R12=TRUE,1,0)</f>
        <v>0</v>
      </c>
      <c r="AM12" t="n">
        <f>IF(LEN(TRIM(W12))&gt;0,1,0)</f>
        <v>1</v>
      </c>
    </row>
    <row r="13" spans="1:38" s="116" customFormat="1" ht="23" thickBot="1">
      <c r="A13" s="115"/>
      <c r="B13" s="361" t="str">
        <f>'ONR 2'!B2</f>
        <v>ONR 2 : Inclusion · Développer des services numériques durables que toutes et tous peuvent utiliser</v>
      </c>
      <c r="C13" s="362"/>
      <c r="D13" s="362"/>
      <c r="E13" s="362"/>
      <c r="F13" s="362"/>
      <c r="G13" s="362"/>
      <c r="H13" s="362"/>
      <c r="I13" s="362"/>
      <c r="J13" s="362"/>
      <c r="K13" s="362"/>
      <c r="L13" s="362"/>
      <c r="M13" s="362"/>
      <c r="N13" s="362"/>
      <c r="O13" s="362"/>
      <c r="P13" s="362"/>
      <c r="Q13" s="362"/>
      <c r="R13" s="362"/>
      <c r="S13" s="362"/>
      <c r="T13" s="362"/>
      <c r="U13" s="362"/>
      <c r="V13" s="362"/>
      <c r="W13" s="362"/>
      <c r="X13" s="362"/>
      <c r="Y13" s="362"/>
      <c r="Z13" s="379"/>
      <c r="AB13" s="116" t="str">
        <f>B13</f>
        <v>ONR 2 : Inclusion · Développer des services numériques durables que toutes et tous peuvent utiliser</v>
      </c>
      <c r="AC13" s="116" t="n">
        <f>COUNTA('ONR 2'!B7:B11)</f>
        <v>5</v>
      </c>
      <c r="AD13" s="116" t="n">
        <f>COUNT(T14:T18)</f>
        <v>0</v>
      </c>
      <c r="AE13" s="117" t="n">
        <f>SUM(AE14:AE18)</f>
        <v>5</v>
      </c>
      <c r="AF13" s="117" t="n">
        <f>SUM(AF14:AF18)</f>
        <v>0</v>
      </c>
      <c r="AG13" s="117" t="n">
        <f>SUM(AG14:AG18)</f>
        <v>0</v>
      </c>
      <c r="AH13" s="117" t="n">
        <f>SUM(AH14:AH18)</f>
        <v>0</v>
      </c>
      <c r="AI13" s="117" t="n">
        <f>SUM(AI14:AI18)</f>
        <v>0</v>
      </c>
      <c r="AJ13" s="117" t="n">
        <f>SUM(AJ14:AJ18)</f>
        <v>0</v>
      </c>
      <c r="AK13" s="117" t="n">
        <f>SUM(AK14:AK18)</f>
        <v>0</v>
      </c>
      <c r="AL13" s="117" t="n">
        <f>SUM(AL14:AL18)</f>
        <v>0</v>
      </c>
    </row>
    <row r="14" spans="1:38" s="205" customFormat="1" ht="38">
      <c r="A14" s="199"/>
      <c r="B14" s="218" t="str">
        <f>IF(ISBLANK('ONR 2'!B7),"",'ONR 2'!B7)</f>
        <v>2.1</v>
      </c>
      <c r="C14" s="221" t="str">
        <f>IF(ISBLANK('ONR 2'!C7),"",'ONR 2'!C7)</f>
        <v>Intégrer dans tous les achats des exigences qui tiennent compte de leurs effets sur la société et l’environnement.</v>
      </c>
      <c r="D14" s="223" t="str">
        <f>IF(ISBLANK('ONR 2'!D7),"",'ONR 2'!D7)</f>
      </c>
      <c r="E14" s="267" t="str">
        <f>IF(ISBLANK('ONR 2'!E7),"",'ONR 2'!E7)</f>
      </c>
      <c r="F14" s="274" t="str">
        <f>IF(ISBLANK('ONR 2'!F7),"",'ONR 2'!F7)</f>
      </c>
      <c r="G14" s="200" t="str">
        <f>IF(ISBLANK('ONR 2'!G7),"",'ONR 2'!G7)</f>
      </c>
      <c r="H14" s="202" t="str">
        <f>IF(ISBLANK('ONR 2'!H7),"",'ONR 2'!H7)</f>
      </c>
      <c r="I14" s="225" t="str">
        <f>IF(ISBLANK('ONR 2'!I7),"",'ONR 2'!I7)</f>
      </c>
      <c r="J14" s="218" t="str">
        <f>IF(ISBLANK('ONR 2'!J7),"",'ONR 2'!J7)</f>
      </c>
      <c r="K14" s="227" t="str">
        <f t="shared" ref="K14" si="31">IF(ISBLANK('ONR 2'!K7),"",'ONR 2'!K7)</f>
      </c>
      <c r="L14" s="227" t="b">
        <f>IF(ISBLANK('ONR 2'!L7),"",'ONR 2'!L7)</f>
        <v>0</v>
      </c>
      <c r="M14" s="227" t="b">
        <f>IF(ISBLANK('ONR 2'!M7),"",'ONR 2'!M7)</f>
        <v>0</v>
      </c>
      <c r="N14" s="227" t="b">
        <f>IF(ISBLANK('ONR 2'!N7),"",'ONR 2'!N7)</f>
        <v>0</v>
      </c>
      <c r="O14" s="227" t="b">
        <f>IF(ISBLANK('ONR 2'!O7),"",'ONR 2'!O7)</f>
        <v>0</v>
      </c>
      <c r="P14" s="227" t="b">
        <f>IF(ISBLANK('ONR 2'!P7),"",'ONR 2'!P7)</f>
        <v>0</v>
      </c>
      <c r="Q14" s="227" t="b">
        <f>IF(ISBLANK('ONR 2'!Q7),"",'ONR 2'!Q7)</f>
        <v>0</v>
      </c>
      <c r="R14" s="227" t="b">
        <f>IF(ISBLANK('ONR 2'!R7),"",'ONR 2'!R7)</f>
        <v>0</v>
      </c>
      <c r="S14" s="228" t="str">
        <f t="shared" ref="S14" si="32">IF(ISBLANK('ONR 2'!S7),"",'ONR 2'!S7)</f>
      </c>
      <c r="T14" s="226" t="str">
        <f t="shared" ref="T14" si="33">IF(ISBLANK('ONR 2'!T7),"",'ONR 2'!T7)</f>
      </c>
      <c r="U14" s="242" t="str">
        <f t="shared" ref="U14" si="34">IF(ISBLANK('ONR 2'!U7),"",'ONR 2'!U7)</f>
      </c>
      <c r="V14" s="229" t="str">
        <f>IF(ISBLANK('ONR 2'!G7),"",'ONR 2'!G7)</f>
      </c>
      <c r="W14" s="229" t="str">
        <f>IF(ISBLANK('ONR 2'!V7),"",'ONR 2'!V7)</f>
      </c>
      <c r="X14" s="204" t="str">
        <f>IF(ISBLANK('ONR 2'!W7),"",'ONR 2'!W7)</f>
      </c>
      <c r="Y14" s="230" t="str">
        <f>IF(ISBLANK('ONR 2'!I7),"",'ONR 2'!I7)</f>
      </c>
      <c r="Z14" s="230" t="str">
        <f>IF(ISBLANK('ONR 2'!D7),"",'ONR 2'!D7)</f>
      </c>
      <c r="AE14" s="206" t="n">
        <f>IF(ISNUMBER(T14),0,1)</f>
        <v>1</v>
      </c>
      <c r="AF14" s="206" t="n">
        <f t="shared" ref="AF14:AL17" si="35">IF(L14=TRUE,1,0)</f>
        <v>0</v>
      </c>
      <c r="AG14" s="206" t="n">
        <f t="shared" si="35">IF(M14=TRUE,1,0)</f>
        <v>0</v>
      </c>
      <c r="AH14" s="206" t="n">
        <f t="shared" si="35">IF(N14=TRUE,1,0)</f>
        <v>0</v>
      </c>
      <c r="AI14" s="206" t="n">
        <f t="shared" si="35">IF(O14=TRUE,1,0)</f>
        <v>0</v>
      </c>
      <c r="AJ14" s="206" t="n">
        <f t="shared" si="35">IF(P14=TRUE,1,0)</f>
        <v>0</v>
      </c>
      <c r="AK14" s="206" t="n">
        <f t="shared" si="35">IF(Q14=TRUE,1,0)</f>
        <v>0</v>
      </c>
      <c r="AL14" s="206" t="n">
        <f t="shared" si="35">IF(R14=TRUE,1,0)</f>
        <v>0</v>
      </c>
      <c r="AM14" t="n">
        <f>IF(LEN(TRIM(W14))&gt;0,1,0)</f>
        <v>0</v>
      </c>
    </row>
    <row r="15" spans="1:38" s="205" customFormat="1" ht="57">
      <c r="A15" s="199"/>
      <c r="B15" s="218" t="str">
        <f>IF(ISBLANK('ONR 2'!B8),"",'ONR 2'!B8)</f>
        <v>2.2</v>
      </c>
      <c r="C15" s="221" t="str">
        <f>IF(ISBLANK('ONR 2'!C8),"",'ONR 2'!C8)</f>
        <v>Rendre les services numériques accessibles à toutes et tous. Mesurer leur respect du RGAA, le référentiel français sur l’accessibilité numérique.</v>
      </c>
      <c r="D15" s="223" t="str">
        <f>IF(ISBLANK('ONR 2'!D8),"",'ONR 2'!D8)</f>
      </c>
      <c r="E15" s="267" t="str">
        <f>IF(ISBLANK('ONR 2'!E8),"",'ONR 2'!E8)</f>
      </c>
      <c r="F15" s="274" t="str">
        <f>IF(ISBLANK('ONR 2'!F8),"",'ONR 2'!F8)</f>
      </c>
      <c r="G15" s="200" t="str">
        <f>IF(ISBLANK('ONR 2'!G8),"",'ONR 2'!G8)</f>
      </c>
      <c r="H15" s="202" t="str">
        <f>IF(ISBLANK('ONR 2'!H8),"",'ONR 2'!H8)</f>
      </c>
      <c r="I15" s="225" t="str">
        <f>IF(ISBLANK('ONR 2'!I8),"",'ONR 2'!I8)</f>
      </c>
      <c r="J15" s="218" t="str">
        <f t="shared" ref="J15:J17" si="36">IF(ISBLANK('ONR 2'!J8),"",'ONR 2'!J8)</f>
      </c>
      <c r="K15" s="227" t="str">
        <f t="shared" ref="K15:K17" si="37">IF(ISBLANK('ONR 2'!K8),"",'ONR 2'!K8)</f>
      </c>
      <c r="L15" s="227" t="b">
        <f t="shared" ref="L15:L17" si="38">IF(ISBLANK('ONR 2'!L8),"",'ONR 2'!L8)</f>
        <v>0</v>
      </c>
      <c r="M15" s="227" t="b">
        <f t="shared" ref="M15:M17" si="39">IF(ISBLANK('ONR 2'!M8),"",'ONR 2'!M8)</f>
        <v>0</v>
      </c>
      <c r="N15" s="227" t="b">
        <f t="shared" ref="N15:N17" si="40">IF(ISBLANK('ONR 2'!N8),"",'ONR 2'!N8)</f>
        <v>0</v>
      </c>
      <c r="O15" s="227" t="b">
        <f t="shared" ref="O15:O17" si="41">IF(ISBLANK('ONR 2'!O8),"",'ONR 2'!O8)</f>
        <v>0</v>
      </c>
      <c r="P15" s="227" t="b">
        <f t="shared" ref="P15:P17" si="42">IF(ISBLANK('ONR 2'!P8),"",'ONR 2'!P8)</f>
        <v>0</v>
      </c>
      <c r="Q15" s="227" t="b">
        <f t="shared" ref="Q15:Q17" si="43">IF(ISBLANK('ONR 2'!Q8),"",'ONR 2'!Q8)</f>
        <v>0</v>
      </c>
      <c r="R15" s="227" t="b">
        <f t="shared" ref="R15:R17" si="44">IF(ISBLANK('ONR 2'!R8),"",'ONR 2'!R8)</f>
        <v>0</v>
      </c>
      <c r="S15" s="228" t="str">
        <f t="shared" ref="S15:S17" si="45">IF(ISBLANK('ONR 2'!S8),"",'ONR 2'!S8)</f>
      </c>
      <c r="T15" s="226" t="str">
        <f t="shared" ref="T15:T17" si="46">IF(ISBLANK('ONR 2'!T8),"",'ONR 2'!T8)</f>
      </c>
      <c r="U15" s="242" t="str">
        <f t="shared" ref="U15:U17" si="47">IF(ISBLANK('ONR 2'!U8),"",'ONR 2'!U8)</f>
      </c>
      <c r="V15" s="229" t="str">
        <f>IF(ISBLANK('ONR 2'!G8),"",'ONR 2'!G8)</f>
      </c>
      <c r="W15" s="229" t="str">
        <f>IF(ISBLANK('ONR 2'!V8),"",'ONR 2'!V8)</f>
      </c>
      <c r="X15" s="204" t="str">
        <f>IF(ISBLANK('ONR 2'!W8),"",'ONR 2'!W8)</f>
      </c>
      <c r="Y15" s="230" t="str">
        <f>IF(ISBLANK('ONR 2'!I8),"",'ONR 2'!I8)</f>
      </c>
      <c r="Z15" s="230" t="str">
        <f>IF(ISBLANK('ONR 2'!D8),"",'ONR 2'!D8)</f>
      </c>
      <c r="AE15" s="206" t="n">
        <f>IF(ISNUMBER(T15),0,1)</f>
        <v>1</v>
      </c>
      <c r="AF15" s="206" t="n">
        <f t="shared" si="35">IF(L15=TRUE,1,0)</f>
        <v>0</v>
      </c>
      <c r="AG15" s="206" t="n">
        <f t="shared" si="35">IF(M15=TRUE,1,0)</f>
        <v>0</v>
      </c>
      <c r="AH15" s="206" t="n">
        <f t="shared" si="35">IF(N15=TRUE,1,0)</f>
        <v>0</v>
      </c>
      <c r="AI15" s="206" t="n">
        <f t="shared" si="35">IF(O15=TRUE,1,0)</f>
        <v>0</v>
      </c>
      <c r="AJ15" s="206" t="n">
        <f t="shared" si="35">IF(P15=TRUE,1,0)</f>
        <v>0</v>
      </c>
      <c r="AK15" s="206" t="n">
        <f t="shared" si="35">IF(Q15=TRUE,1,0)</f>
        <v>0</v>
      </c>
      <c r="AL15" s="206" t="n">
        <f t="shared" si="35">IF(R15=TRUE,1,0)</f>
        <v>0</v>
      </c>
      <c r="AM15" t="n">
        <f>IF(LEN(TRIM(W15))&gt;0,1,0)</f>
        <v>0</v>
      </c>
    </row>
    <row r="16" spans="1:38" s="205" customFormat="1" ht="57">
      <c r="A16" s="199"/>
      <c r="B16" s="218" t="str">
        <f>IF(ISBLANK('ONR 2'!B9),"",'ONR 2'!B9)</f>
        <v>2.3</v>
      </c>
      <c r="C16" s="221" t="str">
        <f>IF(ISBLANK('ONR 2'!C9),"",'ONR 2'!C9)</f>
        <v>Créer des applications utiles, faciles à utiliser et réellement utilisées : les « 3 U ». Les rendre accessibles pour permettre à chacun d’utiliser le numérique.</v>
      </c>
      <c r="D16" s="223" t="str">
        <f>IF(ISBLANK('ONR 2'!D9),"",'ONR 2'!D9)</f>
      </c>
      <c r="E16" s="267" t="str">
        <f>IF(ISBLANK('ONR 2'!E9),"",'ONR 2'!E9)</f>
      </c>
      <c r="F16" s="274" t="str">
        <f>IF(ISBLANK('ONR 2'!F9),"",'ONR 2'!F9)</f>
      </c>
      <c r="G16" s="200" t="str">
        <f>IF(ISBLANK('ONR 2'!G9),"",'ONR 2'!G9)</f>
      </c>
      <c r="H16" s="202" t="str">
        <f>IF(ISBLANK('ONR 2'!H9),"",'ONR 2'!H9)</f>
      </c>
      <c r="I16" s="225" t="str">
        <f>IF(ISBLANK('ONR 2'!I9),"",'ONR 2'!I9)</f>
      </c>
      <c r="J16" s="218" t="str">
        <f t="shared" si="36">IF(ISBLANK('ONR 2'!J9),"",'ONR 2'!J9)</f>
      </c>
      <c r="K17" s="227" t="str">
        <f t="shared" si="37">IF(ISBLANK('ONR 2'!K10),"",'ONR 2'!K10)</f>
      </c>
      <c r="K16" t="str" s="227">
        <f>IF(ISBLANK('ONR 2'!K9),"",'ONR 2'!K9)</f>
      </c>
      <c r="L17" s="227" t="b">
        <f t="shared" si="38">IF(ISBLANK('ONR 2'!L10),"",'ONR 2'!L10)</f>
        <v>0</v>
      </c>
      <c r="L16" t="b" s="227">
        <f>IF(ISBLANK('ONR 2'!L9),"",'ONR 2'!L9)</f>
        <v>0</v>
      </c>
      <c r="M17" s="227" t="b">
        <f t="shared" si="39">IF(ISBLANK('ONR 2'!M10),"",'ONR 2'!M10)</f>
        <v>0</v>
      </c>
      <c r="M16" t="b" s="227">
        <f>IF(ISBLANK('ONR 2'!M9),"",'ONR 2'!M9)</f>
        <v>0</v>
      </c>
      <c r="N17" s="227" t="b">
        <f t="shared" si="40">IF(ISBLANK('ONR 2'!N10),"",'ONR 2'!N10)</f>
        <v>0</v>
      </c>
      <c r="N16" t="b" s="227">
        <f>IF(ISBLANK('ONR 2'!N9),"",'ONR 2'!N9)</f>
        <v>0</v>
      </c>
      <c r="O17" s="227" t="b">
        <f t="shared" si="41">IF(ISBLANK('ONR 2'!O10),"",'ONR 2'!O10)</f>
        <v>0</v>
      </c>
      <c r="O16" t="b" s="227">
        <f>IF(ISBLANK('ONR 2'!O9),"",'ONR 2'!O9)</f>
        <v>0</v>
      </c>
      <c r="P17" s="227" t="b">
        <f t="shared" si="42">IF(ISBLANK('ONR 2'!P10),"",'ONR 2'!P10)</f>
        <v>0</v>
      </c>
      <c r="P16" t="b" s="227">
        <f>IF(ISBLANK('ONR 2'!P9),"",'ONR 2'!P9)</f>
        <v>0</v>
      </c>
      <c r="Q17" s="227" t="b">
        <f t="shared" si="43">IF(ISBLANK('ONR 2'!Q10),"",'ONR 2'!Q10)</f>
        <v>0</v>
      </c>
      <c r="Q16" t="b" s="227">
        <f>IF(ISBLANK('ONR 2'!Q9),"",'ONR 2'!Q9)</f>
        <v>0</v>
      </c>
      <c r="R17" s="227" t="b">
        <f t="shared" si="44">IF(ISBLANK('ONR 2'!R10),"",'ONR 2'!R10)</f>
        <v>0</v>
      </c>
      <c r="R16" t="b" s="227">
        <f>IF(ISBLANK('ONR 2'!R9),"",'ONR 2'!R9)</f>
        <v>0</v>
      </c>
      <c r="S17" s="228" t="str">
        <f t="shared" si="45">IF(ISBLANK('ONR 2'!S10),"",'ONR 2'!S10)</f>
      </c>
      <c r="S16" t="str" s="228">
        <f>IF(ISBLANK('ONR 2'!S9),"",'ONR 2'!S9)</f>
      </c>
      <c r="T17" s="226" t="str">
        <f t="shared" si="46">IF(ISBLANK('ONR 2'!T10),"",'ONR 2'!T10)</f>
      </c>
      <c r="T16" t="str" s="226">
        <f>IF(ISBLANK('ONR 2'!T9),"",'ONR 2'!T9)</f>
      </c>
      <c r="U17" s="242" t="str">
        <f t="shared" si="47">IF(ISBLANK('ONR 2'!U10),"",'ONR 2'!U10)</f>
      </c>
      <c r="U16" t="str" s="242">
        <f>IF(ISBLANK('ONR 2'!U9),"",'ONR 2'!U9)</f>
      </c>
      <c r="V17" s="229" t="str">
        <f>IF(ISBLANK('ONR 2'!G10),"",'ONR 2'!G10)</f>
      </c>
      <c r="V16" t="str" s="229">
        <f>IF(ISBLANK('ONR 2'!G9),"",'ONR 2'!G9)</f>
      </c>
      <c r="W16" s="229" t="str">
        <f>IF(ISBLANK('ONR 2'!V9),"",'ONR 2'!V9)</f>
      </c>
      <c r="X16" s="204" t="str">
        <f>IF(ISBLANK('ONR 2'!W9),"",'ONR 2'!W9)</f>
      </c>
      <c r="Y16" s="230" t="str">
        <f>IF(ISBLANK('ONR 2'!I9),"",'ONR 2'!I9)</f>
      </c>
      <c r="Z16" s="230" t="str">
        <f>IF(ISBLANK('ONR 2'!D9),"",'ONR 2'!D9)</f>
      </c>
      <c r="AE16" s="206" t="n">
        <f>IF(ISNUMBER(T16),0,1)</f>
        <v>1</v>
      </c>
      <c r="AF16" s="206" t="n">
        <f t="shared" si="35">IF(L16=TRUE,1,0)</f>
        <v>0</v>
      </c>
      <c r="AG16" s="206" t="n">
        <f t="shared" si="35">IF(M16=TRUE,1,0)</f>
        <v>0</v>
      </c>
      <c r="AH16" s="206" t="n">
        <f t="shared" si="35">IF(N16=TRUE,1,0)</f>
        <v>0</v>
      </c>
      <c r="AI16" s="206" t="n">
        <f t="shared" si="35">IF(O16=TRUE,1,0)</f>
        <v>0</v>
      </c>
      <c r="AJ16" s="206" t="n">
        <f t="shared" si="35">IF(P16=TRUE,1,0)</f>
        <v>0</v>
      </c>
      <c r="AK16" s="206" t="n">
        <f t="shared" si="35">IF(Q16=TRUE,1,0)</f>
        <v>0</v>
      </c>
      <c r="AL16" s="206" t="n">
        <f t="shared" si="35">IF(R16=TRUE,1,0)</f>
        <v>0</v>
      </c>
      <c r="AM16" t="n">
        <f>IF(LEN(TRIM(W16))&gt;0,1,0)</f>
        <v>0</v>
      </c>
    </row>
    <row r="17" spans="1:38" s="205" customFormat="1" ht="57">
      <c r="A17" s="199"/>
      <c r="B17" s="218" t="str">
        <f>IF(ISBLANK('ONR 2'!B10),"",'ONR 2'!B10)</f>
        <v>2.4</v>
      </c>
      <c r="C17" s="221" t="str">
        <f>IF(ISBLANK('ONR 2'!C10),"",'ONR 2'!C10)</f>
        <v>Concevoir les services avec leurs utilisateurs et utilisatrices, en se concentrant sur leurs besoins réels.</v>
      </c>
      <c r="D17" s="223" t="str">
        <f>IF(ISBLANK('ONR 2'!D10),"",'ONR 2'!D10)</f>
      </c>
      <c r="E17" s="267" t="str">
        <f>IF(ISBLANK('ONR 2'!E10),"",'ONR 2'!E10)</f>
      </c>
      <c r="F17" s="274" t="str">
        <f>IF(ISBLANK('ONR 2'!F10),"",'ONR 2'!F10)</f>
      </c>
      <c r="G17" s="200" t="str">
        <f>IF(ISBLANK('ONR 2'!G10),"",'ONR 2'!G10)</f>
      </c>
      <c r="H17" s="202" t="str">
        <f>IF(ISBLANK('ONR 2'!H10),"",'ONR 2'!H10)</f>
      </c>
      <c r="I17" s="225" t="str">
        <f>IF(ISBLANK('ONR 2'!I10),"",'ONR 2'!I10)</f>
      </c>
      <c r="J17" s="218" t="str">
        <f t="shared" si="36">IF(ISBLANK('ONR 2'!J10),"",'ONR 2'!J10)</f>
      </c>
      <c r="K19" s="227">
        <f t="shared" si="37"/>
      </c>
      <c r="L19" s="227">
        <f t="shared" si="38"/>
      </c>
      <c r="M19" s="227">
        <f t="shared" si="39"/>
      </c>
      <c r="N19" s="227">
        <f t="shared" si="40"/>
      </c>
      <c r="O19" s="227">
        <f t="shared" si="41"/>
      </c>
      <c r="P19" s="227">
        <f t="shared" si="42"/>
      </c>
      <c r="Q19" s="227">
        <f t="shared" si="43"/>
      </c>
      <c r="R19" s="227">
        <f t="shared" si="44"/>
      </c>
      <c r="S19" s="228">
        <f t="shared" si="45"/>
      </c>
      <c r="T19" s="226">
        <f t="shared" si="46"/>
      </c>
      <c r="U19" s="242">
        <f t="shared" si="47"/>
      </c>
      <c r="V19" s="229">
        <f>G17</f>
      </c>
      <c r="W17" s="229" t="str">
        <f>IF(ISBLANK('ONR 2'!V10),"",'ONR 2'!V10)</f>
      </c>
      <c r="X17" s="204" t="str">
        <f>IF(ISBLANK('ONR 2'!W10),"",'ONR 2'!W10)</f>
      </c>
      <c r="Y17" s="230" t="str">
        <f>IF(ISBLANK('ONR 2'!I10),"",'ONR 2'!I10)</f>
      </c>
      <c r="Z17" s="230" t="str">
        <f>IF(ISBLANK('ONR 2'!D10),"",'ONR 2'!D10)</f>
      </c>
      <c r="AE17" s="206" t="n">
        <f>IF(ISNUMBER(T17),0,1)</f>
        <v>1</v>
      </c>
      <c r="AF17" s="206" t="n">
        <f t="shared" si="35">IF(L17=TRUE,1,0)</f>
        <v>0</v>
      </c>
      <c r="AG17" s="206" t="n">
        <f t="shared" si="35">IF(M17=TRUE,1,0)</f>
        <v>0</v>
      </c>
      <c r="AH17" s="206" t="n">
        <f t="shared" si="35">IF(N17=TRUE,1,0)</f>
        <v>0</v>
      </c>
      <c r="AI17" s="206" t="n">
        <f t="shared" si="35">IF(O17=TRUE,1,0)</f>
        <v>0</v>
      </c>
      <c r="AJ17" s="206" t="n">
        <f t="shared" si="35">IF(P17=TRUE,1,0)</f>
        <v>0</v>
      </c>
      <c r="AK17" s="206" t="n">
        <f t="shared" si="35">IF(Q17=TRUE,1,0)</f>
        <v>0</v>
      </c>
      <c r="AL17" s="206" t="n">
        <f t="shared" si="35">IF(R17=TRUE,1,0)</f>
        <v>0</v>
      </c>
      <c r="AM17" t="n">
        <f>IF(LEN(TRIM(W17))&gt;0,1,0)</f>
        <v>0</v>
      </c>
    </row>
    <row r="18" spans="1:38" s="205" customFormat="1" ht="57">
      <c r="A18" s="199"/>
      <c r="B18" s="218" t="str">
        <f>IF(ISBLANK('ONR 2'!B11),"",'ONR 2'!B11)</f>
        <v>2.5</v>
      </c>
      <c r="C18" s="221" t="str">
        <f>IF(ISBLANK('ONR 2'!C11),"",'ONR 2'!C11)</f>
        <v>Vérifier que l’intelligence artificielle ne discrimine personne et que ses services peuvent être utilisés par toutes et tous.</v>
      </c>
      <c r="D18" s="223" t="str">
        <f>IF(ISBLANK('ONR 2'!D11),"",'ONR 2'!D11)</f>
      </c>
      <c r="E18" s="267" t="str">
        <f>IF(ISBLANK('ONR 2'!E11),"",'ONR 2'!E11)</f>
      </c>
      <c r="F18" s="274" t="str">
        <f>IF(ISBLANK('ONR 2'!F11),"",'ONR 2'!F11)</f>
      </c>
      <c r="G18" s="200" t="str">
        <f>IF(ISBLANK('ONR 2'!G11),"",'ONR 2'!G11)</f>
      </c>
      <c r="H18" s="202" t="str">
        <f>IF(ISBLANK('ONR 2'!H11),"",'ONR 2'!H11)</f>
      </c>
      <c r="I18" s="225" t="str">
        <f>IF(ISBLANK('ONR 2'!I11),"",'ONR 2'!I11)</f>
      </c>
      <c r="J18" s="218" t="n">
        <f>IF(ISBLANK('ONR 2'!J11),"",'ONR 2'!J11)</f>
        <v>0</v>
      </c>
      <c r="K18" s="227" t="str">
        <f>IF(ISBLANK('ONR 2'!K11),"",'ONR 2'!K11)</f>
      </c>
      <c r="L18" s="227" t="b">
        <f>IF(ISBLANK('ONR 2'!L11),"",'ONR 2'!L11)</f>
        <v>0</v>
      </c>
      <c r="M18" s="227" t="b">
        <f>IF(ISBLANK('ONR 2'!M11),"",'ONR 2'!M11)</f>
        <v>0</v>
      </c>
      <c r="N18" s="227" t="b">
        <f>IF(ISBLANK('ONR 2'!N11),"",'ONR 2'!N11)</f>
        <v>0</v>
      </c>
      <c r="O18" s="227" t="b">
        <f>IF(ISBLANK('ONR 2'!O11),"",'ONR 2'!O11)</f>
        <v>0</v>
      </c>
      <c r="P18" s="227" t="b">
        <f>IF(ISBLANK('ONR 2'!P11),"",'ONR 2'!P11)</f>
        <v>0</v>
      </c>
      <c r="Q18" s="227" t="b">
        <f>IF(ISBLANK('ONR 2'!Q11),"",'ONR 2'!Q11)</f>
        <v>0</v>
      </c>
      <c r="R18" s="227" t="b">
        <f>IF(ISBLANK('ONR 2'!R11),"",'ONR 2'!R11)</f>
        <v>0</v>
      </c>
      <c r="S18" s="228" t="str">
        <f>IF(ISBLANK('ONR 2'!S11),"",'ONR 2'!S11)</f>
      </c>
      <c r="T18" s="226" t="str">
        <f>IF(ISBLANK('ONR 2'!T11),"",'ONR 2'!T11)</f>
      </c>
      <c r="U18" s="242" t="str">
        <f>IF(ISBLANK('ONR 2'!U11),"",'ONR 2'!U11)</f>
      </c>
      <c r="V18" s="229" t="str">
        <f>IF(ISBLANK('ONR 2'!G11),"",'ONR 2'!G11)</f>
      </c>
      <c r="W18" s="229" t="str">
        <f>IF(ISBLANK('ONR 2'!V11),"",'ONR 2'!V11)</f>
      </c>
      <c r="X18" s="204" t="str">
        <f>IF(ISBLANK('ONR 2'!W11),"",'ONR 2'!W11)</f>
      </c>
      <c r="Y18" s="230" t="str">
        <f>IF(ISBLANK('ONR 2'!I11),"",'ONR 2'!I11)</f>
      </c>
      <c r="Z18" s="230" t="str">
        <f>IF(ISBLANK('ONR 2'!D11),"",'ONR 2'!D11)</f>
      </c>
      <c r="AE18" s="206" t="n">
        <f>IF(ISNUMBER(T18),0,1)</f>
        <v>1</v>
      </c>
      <c r="AF18" s="206" t="n">
        <f>IF(L18=TRUE,1,0)</f>
        <v>0</v>
      </c>
      <c r="AG18" s="206" t="n">
        <f>IF(M18=TRUE,1,0)</f>
        <v>0</v>
      </c>
      <c r="AH18" s="206" t="n">
        <f>IF(N18=TRUE,1,0)</f>
        <v>0</v>
      </c>
      <c r="AI18" s="206" t="n">
        <f>IF(O18=TRUE,1,0)</f>
        <v>0</v>
      </c>
      <c r="AJ18" s="206" t="n">
        <f>IF(P18=TRUE,1,0)</f>
        <v>0</v>
      </c>
      <c r="AK18" s="206" t="n">
        <f>IF(Q18=TRUE,1,0)</f>
        <v>0</v>
      </c>
      <c r="AL18" s="206" t="n">
        <f>IF(R18=TRUE,1,0)</f>
        <v>0</v>
      </c>
      <c r="AM18" t="n">
        <f>IF(LEN(TRIM(W18))&gt;0,1,0)</f>
        <v>0</v>
      </c>
    </row>
    <row r="19" spans="1:38" s="116" customFormat="1" ht="22">
      <c r="A19" s="115"/>
      <c r="B19" s="380" t="str">
        <f>'ONR 3'!B2</f>
        <v>ONR 3 : RSE · Utiliser le numérique de façon éthique et responsable</v>
      </c>
      <c r="C19" s="380"/>
      <c r="D19" s="380"/>
      <c r="E19" s="380"/>
      <c r="F19" s="380"/>
      <c r="G19" s="380"/>
      <c r="H19" s="380"/>
      <c r="I19" s="380"/>
      <c r="J19" s="380"/>
      <c r="K19" s="380"/>
      <c r="L19" s="380"/>
      <c r="M19" s="380"/>
      <c r="N19" s="380"/>
      <c r="O19" s="380"/>
      <c r="P19" s="380"/>
      <c r="Q19" s="380"/>
      <c r="R19" s="380"/>
      <c r="S19" s="380"/>
      <c r="T19" s="380"/>
      <c r="U19" s="380"/>
      <c r="V19" s="380"/>
      <c r="W19" s="380"/>
      <c r="X19" s="380"/>
      <c r="Y19" s="380"/>
      <c r="Z19" s="380"/>
      <c r="AB19" s="116" t="str">
        <f>B19</f>
        <v>ONR 3 : RSE · Utiliser le numérique de façon éthique et responsable</v>
      </c>
      <c r="AC19" s="116" t="n">
        <f>COUNTA('ONR 3'!B7:B14)</f>
        <v>8</v>
      </c>
      <c r="AD19" s="116" t="n">
        <f>COUNT(T20:T27)</f>
        <v>0</v>
      </c>
      <c r="AE19" s="117" t="n">
        <f>SUM(AE20:AE27)</f>
        <v>8</v>
      </c>
      <c r="AF19" s="117" t="n">
        <f>SUM(AF20:AF27)</f>
        <v>0</v>
      </c>
      <c r="AG19" s="117" t="n">
        <f>SUM(AG20:AG27)</f>
        <v>0</v>
      </c>
      <c r="AH19" s="117" t="n">
        <f>SUM(AH20:AH27)</f>
        <v>0</v>
      </c>
      <c r="AI19" s="117" t="n">
        <f>SUM(AI20:AI27)</f>
        <v>0</v>
      </c>
      <c r="AJ19" s="117" t="n">
        <f>SUM(AJ20:AJ27)</f>
        <v>0</v>
      </c>
      <c r="AK19" s="117" t="n">
        <f>SUM(AK20:AK27)</f>
        <v>0</v>
      </c>
      <c r="AL19" s="117" t="n">
        <f>SUM(AL20:AL27)</f>
        <v>0</v>
      </c>
    </row>
    <row r="20" spans="1:38" s="205" customFormat="1" ht="57">
      <c r="A20" s="199"/>
      <c r="B20" s="219" t="str">
        <f>IF(ISBLANK('ONR 3'!B7),"",'ONR 3'!B7)</f>
        <v>3.1</v>
      </c>
      <c r="C20" s="219" t="str">
        <f>IF(ISBLANK('ONR 3'!C7),"",'ONR 3'!C7)</f>
        <v>Utiliser les données et les services numériques avec mesure, en respectant les personnes et l’environnement.</v>
      </c>
      <c r="D20" s="244" t="str">
        <f>IF(ISBLANK('ONR 3'!D7),"",'ONR 3'!D7)</f>
      </c>
      <c r="E20" s="271" t="str">
        <f>IF(ISBLANK('ONR 3'!E7),"",'ONR 3'!E7)</f>
      </c>
      <c r="F20" s="278" t="str">
        <f>IF(ISBLANK('ONR 3'!F7),"",'ONR 3'!F7)</f>
      </c>
      <c r="G20" s="213" t="str">
        <f>IF(ISBLANK('ONR 3'!G7),"",'ONR 3'!G7)</f>
      </c>
      <c r="H20" s="214" t="str">
        <f>IF(ISBLANK('ONR 3'!H7),"",'ONR 3'!H7)</f>
      </c>
      <c r="I20" s="245" t="str">
        <f>IF(ISBLANK('ONR 3'!I7),"",'ONR 3'!I7)</f>
      </c>
      <c r="J20" s="246" t="str">
        <f t="shared" ref="J20:J25" si="49">IF(ISBLANK('ONR 3'!J7),"",'ONR 3'!J7)</f>
      </c>
      <c r="K20" s="247" t="str">
        <f t="shared" ref="K20:K25" si="50">IF(ISBLANK('ONR 3'!K7),"",'ONR 3'!K7)</f>
      </c>
      <c r="L20" s="247" t="b">
        <f t="shared" ref="L20:L25" si="51">IF(ISBLANK('ONR 3'!L7),"",'ONR 3'!L7)</f>
        <v>0</v>
      </c>
      <c r="M20" s="247" t="b">
        <f t="shared" ref="M20:M25" si="52">IF(ISBLANK('ONR 3'!M7),"",'ONR 3'!M7)</f>
        <v>0</v>
      </c>
      <c r="N20" s="247" t="b">
        <f t="shared" ref="N20:N25" si="53">IF(ISBLANK('ONR 3'!N7),"",'ONR 3'!N7)</f>
        <v>0</v>
      </c>
      <c r="O20" s="247" t="b">
        <f t="shared" ref="O20:O25" si="54">IF(ISBLANK('ONR 3'!O7),"",'ONR 3'!O7)</f>
        <v>0</v>
      </c>
      <c r="P20" s="247" t="b">
        <f t="shared" ref="P20:P25" si="55">IF(ISBLANK('ONR 3'!P7),"",'ONR 3'!P7)</f>
        <v>0</v>
      </c>
      <c r="Q20" s="247" t="b">
        <f t="shared" ref="Q20:Q25" si="56">IF(ISBLANK('ONR 3'!Q7),"",'ONR 3'!Q7)</f>
        <v>0</v>
      </c>
      <c r="R20" s="247" t="b">
        <f t="shared" ref="R20:R25" si="57">IF(ISBLANK('ONR 3'!R7),"",'ONR 3'!R7)</f>
        <v>0</v>
      </c>
      <c r="S20" s="248" t="str">
        <f t="shared" ref="S20:S25" si="58">IF(ISBLANK('ONR 3'!S7),"",'ONR 3'!S7)</f>
      </c>
      <c r="T20" s="249" t="str">
        <f t="shared" ref="T20:T25" si="59">IF(ISBLANK('ONR 3'!T7),"",'ONR 3'!T7)</f>
      </c>
      <c r="U20" s="250" t="str">
        <f t="shared" ref="U20:U25" si="60">IF(ISBLANK('ONR 3'!U7),"",'ONR 3'!U7)</f>
      </c>
      <c r="V20" s="235" t="str">
        <f t="shared" ref="V20:V26" si="61">IF(ISBLANK('ONR 3'!G7),"",'ONR 3'!G7)</f>
      </c>
      <c r="W20" s="235" t="str">
        <f>IF(ISBLANK('ONR 3'!V7),"",'ONR 3'!V7)</f>
      </c>
      <c r="X20" s="183" t="str">
        <f>IF(ISBLANK('ONR 3'!W7),"",'ONR 3'!W7)</f>
      </c>
      <c r="Y20" s="236" t="str">
        <f t="shared" ref="Y20:Y26" si="62">IF(ISBLANK('ONR 3'!I7),"",'ONR 3'!I7)</f>
      </c>
      <c r="Z20" s="236" t="str">
        <f t="shared" ref="Z20:Z26" si="63">IF(ISBLANK('ONR 3'!D7),"",'ONR 3'!D7)</f>
      </c>
      <c r="AE20" s="206" t="n">
        <f t="shared" ref="AE20:AE26" si="64">IF(ISNUMBER(T20),0,1)</f>
        <v>1</v>
      </c>
      <c r="AF20" s="206" t="n">
        <f t="shared" ref="AF20:AL26" si="65">IF(L20=TRUE,1,0)</f>
        <v>0</v>
      </c>
      <c r="AG20" s="206" t="n">
        <f t="shared" si="65">IF(M20=TRUE,1,0)</f>
        <v>0</v>
      </c>
      <c r="AH20" s="206" t="n">
        <f t="shared" si="65">IF(N20=TRUE,1,0)</f>
        <v>0</v>
      </c>
      <c r="AI20" s="206" t="n">
        <f t="shared" si="65">IF(O20=TRUE,1,0)</f>
        <v>0</v>
      </c>
      <c r="AJ20" s="206" t="n">
        <f t="shared" si="65">IF(P20=TRUE,1,0)</f>
        <v>0</v>
      </c>
      <c r="AK20" s="206" t="n">
        <f t="shared" si="65">IF(Q20=TRUE,1,0)</f>
        <v>0</v>
      </c>
      <c r="AL20" s="206" t="n">
        <f t="shared" si="65">IF(R20=TRUE,1,0)</f>
        <v>0</v>
      </c>
      <c r="AM20" t="n">
        <f>IF(LEN(TRIM(W20))&gt;0,1,0)</f>
        <v>0</v>
      </c>
    </row>
    <row r="21" spans="1:38" s="205" customFormat="1" ht="57">
      <c r="A21" s="199"/>
      <c r="B21" s="219" t="str">
        <f>IF(ISBLANK('ONR 3'!B8),"",'ONR 3'!B8)</f>
        <v>3.2</v>
      </c>
      <c r="C21" s="219" t="str">
        <f>IF(ISBLANK('ONR 3'!C8),"",'ONR 3'!C8)</f>
        <v>Supprimer les pratiques et les interfaces qui trompent les utilisateurs sur les sites web, aussi appelées « dark patterns ». Respecter la réglementation.</v>
      </c>
      <c r="D21" s="244" t="str">
        <f>IF(ISBLANK('ONR 3'!D8),"",'ONR 3'!D8)</f>
      </c>
      <c r="E21" s="271" t="str">
        <f>IF(ISBLANK('ONR 3'!E8),"",'ONR 3'!E8)</f>
      </c>
      <c r="F21" s="278" t="str">
        <f>IF(ISBLANK('ONR 3'!F8),"",'ONR 3'!F8)</f>
      </c>
      <c r="G21" s="213" t="str">
        <f>IF(ISBLANK('ONR 3'!G8),"",'ONR 3'!G8)</f>
      </c>
      <c r="H21" s="214" t="str">
        <f>IF(ISBLANK('ONR 3'!H8),"",'ONR 3'!H8)</f>
      </c>
      <c r="I21" s="245" t="str">
        <f>IF(ISBLANK('ONR 3'!I8),"",'ONR 3'!I8)</f>
      </c>
      <c r="J21" s="246" t="str">
        <f t="shared" si="49">IF(ISBLANK('ONR 3'!J8),"",'ONR 3'!J8)</f>
      </c>
      <c r="K23" s="247" t="str">
        <f t="shared" si="50">IF(ISBLANK('ONR 3'!K10),"",'ONR 3'!K10)</f>
      </c>
      <c r="K21" t="str" s="247">
        <f>IF(ISBLANK('ONR 3'!K8),"",'ONR 3'!K8)</f>
      </c>
      <c r="L23" s="247" t="b">
        <f t="shared" si="51">IF(ISBLANK('ONR 3'!L10),"",'ONR 3'!L10)</f>
        <v>0</v>
      </c>
      <c r="L21" t="b" s="247">
        <f>IF(ISBLANK('ONR 3'!L8),"",'ONR 3'!L8)</f>
        <v>0</v>
      </c>
      <c r="M23" s="247" t="b">
        <f t="shared" si="52">IF(ISBLANK('ONR 3'!M10),"",'ONR 3'!M10)</f>
        <v>0</v>
      </c>
      <c r="M21" t="b" s="247">
        <f>IF(ISBLANK('ONR 3'!M8),"",'ONR 3'!M8)</f>
        <v>0</v>
      </c>
      <c r="N23" s="247" t="b">
        <f t="shared" si="53">IF(ISBLANK('ONR 3'!N10),"",'ONR 3'!N10)</f>
        <v>0</v>
      </c>
      <c r="N21" t="b" s="247">
        <f>IF(ISBLANK('ONR 3'!N8),"",'ONR 3'!N8)</f>
        <v>0</v>
      </c>
      <c r="O23" s="247" t="b">
        <f t="shared" si="54">IF(ISBLANK('ONR 3'!O10),"",'ONR 3'!O10)</f>
        <v>0</v>
      </c>
      <c r="O21" t="b" s="247">
        <f>IF(ISBLANK('ONR 3'!O8),"",'ONR 3'!O8)</f>
        <v>0</v>
      </c>
      <c r="P23" s="247" t="b">
        <f t="shared" si="55">IF(ISBLANK('ONR 3'!P10),"",'ONR 3'!P10)</f>
        <v>0</v>
      </c>
      <c r="P21" t="b" s="247">
        <f>IF(ISBLANK('ONR 3'!P8),"",'ONR 3'!P8)</f>
        <v>0</v>
      </c>
      <c r="Q23" s="247" t="b">
        <f t="shared" si="56">IF(ISBLANK('ONR 3'!Q10),"",'ONR 3'!Q10)</f>
        <v>0</v>
      </c>
      <c r="Q21" t="b" s="247">
        <f>IF(ISBLANK('ONR 3'!Q8),"",'ONR 3'!Q8)</f>
        <v>0</v>
      </c>
      <c r="R23" s="247" t="b">
        <f t="shared" si="57">IF(ISBLANK('ONR 3'!R10),"",'ONR 3'!R10)</f>
        <v>0</v>
      </c>
      <c r="R21" t="b" s="247">
        <f>IF(ISBLANK('ONR 3'!R8),"",'ONR 3'!R8)</f>
        <v>0</v>
      </c>
      <c r="S23" s="248" t="str">
        <f t="shared" si="58">IF(ISBLANK('ONR 3'!S10),"",'ONR 3'!S10)</f>
      </c>
      <c r="S21" t="str" s="248">
        <f>IF(ISBLANK('ONR 3'!S8),"",'ONR 3'!S8)</f>
      </c>
      <c r="T23" s="249" t="str">
        <f t="shared" si="59">IF(ISBLANK('ONR 3'!T10),"",'ONR 3'!T10)</f>
      </c>
      <c r="T21" t="str" s="249">
        <f>IF(ISBLANK('ONR 3'!T8),"",'ONR 3'!T8)</f>
      </c>
      <c r="U23" s="250" t="str">
        <f t="shared" si="60">IF(ISBLANK('ONR 3'!U10),"",'ONR 3'!U10)</f>
      </c>
      <c r="U21" t="str" s="250">
        <f>IF(ISBLANK('ONR 3'!U8),"",'ONR 3'!U8)</f>
      </c>
      <c r="V23" s="235" t="str">
        <f t="shared" si="61">IF(ISBLANK('ONR 3'!G10),"",'ONR 3'!G10)</f>
      </c>
      <c r="V21" t="str" s="235">
        <f>IF(ISBLANK('ONR 3'!G8),"",'ONR 3'!G8)</f>
      </c>
      <c r="W23" s="235" t="str">
        <f>IF(ISBLANK('ONR 3'!V10),"",'ONR 3'!V10)</f>
      </c>
      <c r="W21" t="str" s="235">
        <f>IF(ISBLANK('ONR 3'!V8),"",'ONR 3'!V8)</f>
      </c>
      <c r="X21" s="183" t="str">
        <f>IF(ISBLANK('ONR 3'!W8),"",'ONR 3'!W8)</f>
      </c>
      <c r="Y21" s="236" t="str">
        <f t="shared" si="62">IF(ISBLANK('ONR 3'!I8),"",'ONR 3'!I8)</f>
      </c>
      <c r="Z21" s="251" t="str">
        <f t="shared" si="63">IF(ISBLANK('ONR 3'!D8),"",'ONR 3'!D8)</f>
      </c>
      <c r="AE21" s="206" t="n">
        <f t="shared" si="64">IF(ISNUMBER(T21),0,1)</f>
        <v>1</v>
      </c>
      <c r="AF21" s="206" t="n">
        <f t="shared" si="65">IF(L21=TRUE,1,0)</f>
        <v>0</v>
      </c>
      <c r="AG21" s="206" t="n">
        <f t="shared" si="65">IF(M21=TRUE,1,0)</f>
        <v>0</v>
      </c>
      <c r="AH21" s="206" t="n">
        <f t="shared" si="65">IF(N21=TRUE,1,0)</f>
        <v>0</v>
      </c>
      <c r="AI21" s="206" t="n">
        <f t="shared" si="65">IF(O21=TRUE,1,0)</f>
        <v>0</v>
      </c>
      <c r="AJ21" s="206" t="n">
        <f t="shared" si="65">IF(P21=TRUE,1,0)</f>
        <v>0</v>
      </c>
      <c r="AK21" s="206" t="n">
        <f t="shared" si="65">IF(Q21=TRUE,1,0)</f>
        <v>0</v>
      </c>
      <c r="AL21" s="206" t="n">
        <f t="shared" si="65">IF(R21=TRUE,1,0)</f>
        <v>0</v>
      </c>
      <c r="AM21" t="n">
        <f>IF(LEN(TRIM(W21))&gt;0,1,0)</f>
        <v>0</v>
      </c>
    </row>
    <row r="22" spans="1:38" s="205" customFormat="1" ht="76">
      <c r="A22" s="199"/>
      <c r="B22" s="219" t="str">
        <f>IF(ISBLANK('ONR 3'!B9),"",'ONR 3'!B9)</f>
        <v>3.3</v>
      </c>
      <c r="C22" s="219" t="str">
        <f>IF(ISBLANK('ONR 3'!C9),"",'ONR 3'!C9)</f>
        <v>Collecter seulement les données nécessaires au service rendu. Protéger la vie privée, réduire les effets sur l’environnement et respecter le RGPD, le règlement sur la protection des données personnelles.</v>
      </c>
      <c r="D22" s="244" t="str">
        <f>IF(ISBLANK('ONR 3'!D9),"",'ONR 3'!D9)</f>
      </c>
      <c r="E22" s="271" t="str">
        <f>IF(ISBLANK('ONR 3'!E9),"",'ONR 3'!E9)</f>
      </c>
      <c r="F22" s="278" t="str">
        <f>IF(ISBLANK('ONR 3'!F9),"",'ONR 3'!F9)</f>
      </c>
      <c r="G22" s="213" t="str">
        <f>IF(ISBLANK('ONR 3'!G9),"",'ONR 3'!G9)</f>
      </c>
      <c r="H22" s="214" t="str">
        <f>IF(ISBLANK('ONR 3'!H9),"",'ONR 3'!H9)</f>
      </c>
      <c r="I22" s="245" t="str">
        <f>IF(ISBLANK('ONR 3'!I9),"",'ONR 3'!I9)</f>
      </c>
      <c r="J22" s="246" t="str">
        <f t="shared" si="49">IF(ISBLANK('ONR 3'!J9),"",'ONR 3'!J9)</f>
      </c>
      <c r="K24" s="247" t="str">
        <f t="shared" si="50">IF(ISBLANK('ONR 3'!K11),"",'ONR 3'!K11)</f>
      </c>
      <c r="K22" t="str" s="247">
        <f>IF(ISBLANK('ONR 3'!K9),"",'ONR 3'!K9)</f>
      </c>
      <c r="L24" s="247" t="b">
        <f t="shared" si="51">IF(ISBLANK('ONR 3'!L11),"",'ONR 3'!L11)</f>
        <v>0</v>
      </c>
      <c r="L22" t="b" s="247">
        <f>IF(ISBLANK('ONR 3'!L9),"",'ONR 3'!L9)</f>
        <v>0</v>
      </c>
      <c r="M24" s="247" t="b">
        <f t="shared" si="52">IF(ISBLANK('ONR 3'!M11),"",'ONR 3'!M11)</f>
        <v>0</v>
      </c>
      <c r="M22" t="b" s="247">
        <f>IF(ISBLANK('ONR 3'!M9),"",'ONR 3'!M9)</f>
        <v>0</v>
      </c>
      <c r="N24" s="247" t="b">
        <f t="shared" si="53">IF(ISBLANK('ONR 3'!N11),"",'ONR 3'!N11)</f>
        <v>0</v>
      </c>
      <c r="N22" t="b" s="247">
        <f>IF(ISBLANK('ONR 3'!N9),"",'ONR 3'!N9)</f>
        <v>0</v>
      </c>
      <c r="O24" s="247" t="b">
        <f t="shared" si="54">IF(ISBLANK('ONR 3'!O11),"",'ONR 3'!O11)</f>
        <v>0</v>
      </c>
      <c r="O22" t="b" s="247">
        <f>IF(ISBLANK('ONR 3'!O9),"",'ONR 3'!O9)</f>
        <v>0</v>
      </c>
      <c r="P24" s="247" t="b">
        <f t="shared" si="55">IF(ISBLANK('ONR 3'!P11),"",'ONR 3'!P11)</f>
        <v>0</v>
      </c>
      <c r="P22" t="b" s="247">
        <f>IF(ISBLANK('ONR 3'!P9),"",'ONR 3'!P9)</f>
        <v>0</v>
      </c>
      <c r="Q24" s="247" t="b">
        <f t="shared" si="56">IF(ISBLANK('ONR 3'!Q11),"",'ONR 3'!Q11)</f>
        <v>0</v>
      </c>
      <c r="Q22" t="b" s="247">
        <f>IF(ISBLANK('ONR 3'!Q9),"",'ONR 3'!Q9)</f>
        <v>0</v>
      </c>
      <c r="R24" s="247" t="b">
        <f t="shared" si="57">IF(ISBLANK('ONR 3'!R11),"",'ONR 3'!R11)</f>
        <v>0</v>
      </c>
      <c r="R22" t="b" s="247">
        <f>IF(ISBLANK('ONR 3'!R9),"",'ONR 3'!R9)</f>
        <v>0</v>
      </c>
      <c r="S24" s="248" t="str">
        <f t="shared" si="58">IF(ISBLANK('ONR 3'!S11),"",'ONR 3'!S11)</f>
      </c>
      <c r="S22" t="str" s="248">
        <f>IF(ISBLANK('ONR 3'!S9),"",'ONR 3'!S9)</f>
      </c>
      <c r="T24" s="249" t="str">
        <f t="shared" si="59">IF(ISBLANK('ONR 3'!T11),"",'ONR 3'!T11)</f>
      </c>
      <c r="T22" t="str" s="249">
        <f>IF(ISBLANK('ONR 3'!T9),"",'ONR 3'!T9)</f>
      </c>
      <c r="U24" s="250" t="str">
        <f t="shared" si="60">IF(ISBLANK('ONR 3'!U11),"",'ONR 3'!U11)</f>
      </c>
      <c r="U22" t="str" s="250">
        <f>IF(ISBLANK('ONR 3'!U9),"",'ONR 3'!U9)</f>
      </c>
      <c r="V24" s="235" t="str">
        <f t="shared" si="61">IF(ISBLANK('ONR 3'!G11),"",'ONR 3'!G11)</f>
      </c>
      <c r="V22" t="str" s="235">
        <f>IF(ISBLANK('ONR 3'!G9),"",'ONR 3'!G9)</f>
      </c>
      <c r="W24" s="235" t="str">
        <f>IF(ISBLANK('ONR 3'!V11),"",'ONR 3'!V11)</f>
      </c>
      <c r="W22" t="str" s="235">
        <f>IF(ISBLANK('ONR 3'!V9),"",'ONR 3'!V9)</f>
      </c>
      <c r="X22" s="183" t="str">
        <f>IF(ISBLANK('ONR 3'!W9),"",'ONR 3'!W9)</f>
      </c>
      <c r="Y22" s="236" t="str">
        <f t="shared" si="62">IF(ISBLANK('ONR 3'!I9),"",'ONR 3'!I9)</f>
      </c>
      <c r="Z22" s="251" t="str">
        <f t="shared" si="63">IF(ISBLANK('ONR 3'!D9),"",'ONR 3'!D9)</f>
      </c>
      <c r="AE22" s="206" t="n">
        <f t="shared" si="64">IF(ISNUMBER(T22),0,1)</f>
        <v>1</v>
      </c>
      <c r="AF22" s="206" t="n">
        <f t="shared" si="65">IF(L22=TRUE,1,0)</f>
        <v>0</v>
      </c>
      <c r="AG22" s="206" t="n">
        <f t="shared" si="65">IF(M22=TRUE,1,0)</f>
        <v>0</v>
      </c>
      <c r="AH22" s="206" t="n">
        <f t="shared" si="65">IF(N22=TRUE,1,0)</f>
        <v>0</v>
      </c>
      <c r="AI22" s="206" t="n">
        <f t="shared" si="65">IF(O22=TRUE,1,0)</f>
        <v>0</v>
      </c>
      <c r="AJ22" s="206" t="n">
        <f t="shared" si="65">IF(P22=TRUE,1,0)</f>
        <v>0</v>
      </c>
      <c r="AK22" s="206" t="n">
        <f t="shared" si="65">IF(Q22=TRUE,1,0)</f>
        <v>0</v>
      </c>
      <c r="AL22" s="206" t="n">
        <f t="shared" si="65">IF(R22=TRUE,1,0)</f>
        <v>0</v>
      </c>
      <c r="AM22" t="n">
        <f>IF(LEN(TRIM(W22))&gt;0,1,0)</f>
        <v>0</v>
      </c>
    </row>
    <row r="23" spans="1:38" s="205" customFormat="1" ht="19">
      <c r="A23" s="199"/>
      <c r="B23" s="238" t="str">
        <f>IF(ISBLANK('ONR 3'!B10),"",'ONR 3'!B10)</f>
        <v>3.4</v>
      </c>
      <c r="C23" s="219" t="str">
        <f>IF(ISBLANK('ONR 3'!C10),"",'ONR 3'!C10)</f>
        <v>Recruter des personnes aux profils variés dans les métiers du numérique.</v>
      </c>
      <c r="D23" s="244" t="str">
        <f>IF(ISBLANK('ONR 3'!D10),"",'ONR 3'!D10)</f>
      </c>
      <c r="E23" s="271" t="str">
        <f>IF(ISBLANK('ONR 3'!E10),"",'ONR 3'!E10)</f>
      </c>
      <c r="F23" s="278" t="str">
        <f>IF(ISBLANK('ONR 3'!F10),"",'ONR 3'!F10)</f>
      </c>
      <c r="G23" s="213" t="str">
        <f>IF(ISBLANK('ONR 3'!G10),"",'ONR 3'!G10)</f>
      </c>
      <c r="H23" s="214" t="str">
        <f>IF(ISBLANK('ONR 3'!H10),"",'ONR 3'!H10)</f>
      </c>
      <c r="I23" s="245" t="str">
        <f>IF(ISBLANK('ONR 3'!I10),"",'ONR 3'!I10)</f>
      </c>
      <c r="J23" s="246" t="str">
        <f t="shared" si="49">IF(ISBLANK('ONR 3'!J10),"",'ONR 3'!J10)</f>
      </c>
      <c r="K25" s="247" t="str">
        <f t="shared" si="50">IF(ISBLANK('ONR 3'!K12),"",'ONR 3'!K12)</f>
      </c>
      <c r="L25" s="247" t="b">
        <f t="shared" si="51">IF(ISBLANK('ONR 3'!L12),"",'ONR 3'!L12)</f>
        <v>0</v>
      </c>
      <c r="M25" s="247" t="b">
        <f t="shared" si="52">IF(ISBLANK('ONR 3'!M12),"",'ONR 3'!M12)</f>
        <v>0</v>
      </c>
      <c r="N25" s="247" t="b">
        <f t="shared" si="53">IF(ISBLANK('ONR 3'!N12),"",'ONR 3'!N12)</f>
        <v>0</v>
      </c>
      <c r="O25" s="247" t="b">
        <f t="shared" si="54">IF(ISBLANK('ONR 3'!O12),"",'ONR 3'!O12)</f>
        <v>0</v>
      </c>
      <c r="P25" s="247" t="b">
        <f t="shared" si="55">IF(ISBLANK('ONR 3'!P12),"",'ONR 3'!P12)</f>
        <v>0</v>
      </c>
      <c r="Q25" s="247" t="b">
        <f t="shared" si="56">IF(ISBLANK('ONR 3'!Q12),"",'ONR 3'!Q12)</f>
        <v>0</v>
      </c>
      <c r="R25" s="247" t="b">
        <f t="shared" si="57">IF(ISBLANK('ONR 3'!R12),"",'ONR 3'!R12)</f>
        <v>0</v>
      </c>
      <c r="S25" s="248" t="str">
        <f t="shared" si="58">IF(ISBLANK('ONR 3'!S12),"",'ONR 3'!S12)</f>
      </c>
      <c r="T25" s="249" t="str">
        <f t="shared" si="59">IF(ISBLANK('ONR 3'!T12),"",'ONR 3'!T12)</f>
      </c>
      <c r="U25" s="250" t="str">
        <f t="shared" si="60">IF(ISBLANK('ONR 3'!U12),"",'ONR 3'!U12)</f>
      </c>
      <c r="V25" s="252" t="str">
        <f t="shared" si="61">IF(ISBLANK('ONR 3'!G12),"",'ONR 3'!G12)</f>
      </c>
      <c r="W25" s="252" t="str">
        <f>IF(ISBLANK('ONR 3'!V12),"",'ONR 3'!V12)</f>
      </c>
      <c r="X23" s="183" t="str">
        <f>IF(ISBLANK('ONR 3'!W10),"",'ONR 3'!W10)</f>
      </c>
      <c r="Y23" s="253" t="str">
        <f t="shared" si="62">IF(ISBLANK('ONR 3'!I10),"",'ONR 3'!I10)</f>
      </c>
      <c r="Z23" s="251" t="str">
        <f t="shared" si="63">IF(ISBLANK('ONR 3'!D10),"",'ONR 3'!D10)</f>
      </c>
      <c r="AE23" s="206" t="n">
        <f t="shared" si="64">IF(ISNUMBER(T23),0,1)</f>
        <v>1</v>
      </c>
      <c r="AF23" s="206" t="n">
        <f t="shared" si="65">IF(L23=TRUE,1,0)</f>
        <v>0</v>
      </c>
      <c r="AG23" s="206" t="n">
        <f t="shared" si="65">IF(M23=TRUE,1,0)</f>
        <v>0</v>
      </c>
      <c r="AH23" s="206" t="n">
        <f t="shared" si="65">IF(N23=TRUE,1,0)</f>
        <v>0</v>
      </c>
      <c r="AI23" s="206" t="n">
        <f t="shared" si="65">IF(O23=TRUE,1,0)</f>
        <v>0</v>
      </c>
      <c r="AJ23" s="206" t="n">
        <f t="shared" si="65">IF(P23=TRUE,1,0)</f>
        <v>0</v>
      </c>
      <c r="AK23" s="206" t="n">
        <f t="shared" si="65">IF(Q23=TRUE,1,0)</f>
        <v>0</v>
      </c>
      <c r="AL23" s="206" t="n">
        <f t="shared" si="65">IF(R23=TRUE,1,0)</f>
        <v>0</v>
      </c>
      <c r="AM23" t="n">
        <f>IF(LEN(TRIM(W23))&gt;0,1,0)</f>
        <v>0</v>
      </c>
    </row>
    <row r="24" spans="1:38" s="205" customFormat="1" ht="19">
      <c r="A24" s="199"/>
      <c r="B24" s="238" t="str">
        <f>IF(ISBLANK('ONR 3'!B11),"",'ONR 3'!B11)</f>
        <v>3.5</v>
      </c>
      <c r="C24" s="219" t="str">
        <f>IF(ISBLANK('ONR 3'!C11),"",'ONR 3'!C11)</f>
        <v>Améliorer les conditions de travail des personnes qui travaillent dans le numérique.</v>
      </c>
      <c r="D24" s="244" t="str">
        <f>IF(ISBLANK('ONR 3'!D11),"",'ONR 3'!D11)</f>
      </c>
      <c r="E24" s="271" t="str">
        <f>IF(ISBLANK('ONR 3'!E11),"",'ONR 3'!E11)</f>
      </c>
      <c r="F24" s="278" t="str">
        <f>IF(ISBLANK('ONR 3'!F11),"",'ONR 3'!F11)</f>
      </c>
      <c r="G24" s="213" t="str">
        <f>IF(ISBLANK('ONR 3'!G11),"",'ONR 3'!G11)</f>
      </c>
      <c r="H24" s="214" t="str">
        <f>IF(ISBLANK('ONR 3'!H11),"",'ONR 3'!H11)</f>
      </c>
      <c r="I24" s="245" t="str">
        <f>IF(ISBLANK('ONR 3'!I11),"",'ONR 3'!I11)</f>
      </c>
      <c r="J24" s="246" t="str">
        <f t="shared" si="49">IF(ISBLANK('ONR 3'!J11),"",'ONR 3'!J11)</f>
      </c>
      <c r="K26" s="247" t="str">
        <f t="shared" si="50"/>
      </c>
      <c r="L26" s="247" t="b">
        <f t="shared" si="51"/>
        <v>0</v>
      </c>
      <c r="M26" s="247" t="b">
        <f t="shared" si="52"/>
        <v>0</v>
      </c>
      <c r="N26" s="247" t="b">
        <f t="shared" si="53"/>
        <v>0</v>
      </c>
      <c r="O26" s="247" t="b">
        <f t="shared" si="54"/>
        <v>0</v>
      </c>
      <c r="P26" s="247" t="b">
        <f t="shared" si="55"/>
        <v>0</v>
      </c>
      <c r="Q26" s="247" t="b">
        <f t="shared" si="56"/>
        <v>0</v>
      </c>
      <c r="R26" s="247" t="b">
        <f t="shared" si="57"/>
        <v>0</v>
      </c>
      <c r="S26" s="248" t="str">
        <f t="shared" si="58"/>
      </c>
      <c r="T26" s="249" t="str">
        <f t="shared" si="59"/>
      </c>
      <c r="U26" s="250" t="str">
        <f t="shared" si="60"/>
      </c>
      <c r="V26" s="252" t="str">
        <f t="shared" si="61"/>
      </c>
      <c r="W26" s="145" t="str">
        <f>IF(ISBLANK('ONR 3'!V13),"",'ONR 3'!V13)</f>
      </c>
      <c r="X24" s="183" t="str">
        <f>IF(ISBLANK('ONR 3'!W11),"",'ONR 3'!W11)</f>
      </c>
      <c r="Y24" s="253" t="str">
        <f t="shared" si="62">IF(ISBLANK('ONR 3'!I11),"",'ONR 3'!I11)</f>
      </c>
      <c r="Z24" s="251" t="str">
        <f t="shared" si="63">IF(ISBLANK('ONR 3'!D11),"",'ONR 3'!D11)</f>
      </c>
      <c r="AE24" s="206" t="n">
        <f t="shared" si="64">IF(ISNUMBER(T24),0,1)</f>
        <v>1</v>
      </c>
      <c r="AF24" s="206" t="n">
        <f t="shared" si="65">IF(L24=TRUE,1,0)</f>
        <v>0</v>
      </c>
      <c r="AG24" s="206" t="n">
        <f t="shared" si="65">IF(M24=TRUE,1,0)</f>
        <v>0</v>
      </c>
      <c r="AH24" s="206" t="n">
        <f t="shared" si="65">IF(N24=TRUE,1,0)</f>
        <v>0</v>
      </c>
      <c r="AI24" s="206" t="n">
        <f t="shared" si="65">IF(O24=TRUE,1,0)</f>
        <v>0</v>
      </c>
      <c r="AJ24" s="206" t="n">
        <f t="shared" si="65">IF(P24=TRUE,1,0)</f>
        <v>0</v>
      </c>
      <c r="AK24" s="206" t="n">
        <f t="shared" si="65">IF(Q24=TRUE,1,0)</f>
        <v>0</v>
      </c>
      <c r="AL24" s="206" t="n">
        <f t="shared" si="65">IF(R24=TRUE,1,0)</f>
        <v>0</v>
      </c>
      <c r="AM24" t="n">
        <f>IF(LEN(TRIM(W24))&gt;0,1,0)</f>
        <v>0</v>
      </c>
    </row>
    <row r="25" spans="1:38" s="205" customFormat="1" ht="57">
      <c r="A25" s="199"/>
      <c r="B25" s="219" t="str">
        <f>IF(ISBLANK('ONR 3'!B12),"",'ONR 3'!B12)</f>
        <v>3.6</v>
      </c>
      <c r="C25" s="219" t="str">
        <f>IF(ISBLANK('ONR 3'!C12),"",'ONR 3'!C12)</f>
        <v>Fixer et appliquer des règles éthiques pour utiliser les algorithmes, en particulier l’intelligence artificielle. Encadrer l’utilisation des données et assurer leur protection.</v>
      </c>
      <c r="D25" s="244" t="str">
        <f>IF(ISBLANK('ONR 3'!D12),"",'ONR 3'!D12)</f>
      </c>
      <c r="E25" s="271" t="str">
        <f>IF(ISBLANK('ONR 3'!E12),"",'ONR 3'!E12)</f>
      </c>
      <c r="F25" s="278" t="str">
        <f>IF(ISBLANK('ONR 3'!F12),"",'ONR 3'!F12)</f>
      </c>
      <c r="G25" s="213" t="str">
        <f>IF(ISBLANK('ONR 3'!G12),"",'ONR 3'!G12)</f>
      </c>
      <c r="H25" s="214" t="str">
        <f>IF(ISBLANK('ONR 3'!H12),"",'ONR 3'!H12)</f>
      </c>
      <c r="I25" s="245" t="str">
        <f>IF(ISBLANK('ONR 3'!I12),"",'ONR 3'!I12)</f>
      </c>
      <c r="J25" s="246" t="str">
        <f t="shared" si="49">IF(ISBLANK('ONR 3'!J12),"",'ONR 3'!J12)</f>
      </c>
      <c r="K28" s="247">
        <f t="shared" si="50"/>
      </c>
      <c r="L28" s="247">
        <f t="shared" si="51"/>
      </c>
      <c r="M28" s="247">
        <f t="shared" si="52"/>
      </c>
      <c r="N28" s="247">
        <f t="shared" si="53"/>
      </c>
      <c r="O28" s="247">
        <f t="shared" si="54"/>
      </c>
      <c r="P28" s="247">
        <f t="shared" si="55"/>
      </c>
      <c r="Q28" s="247">
        <f t="shared" si="56"/>
      </c>
      <c r="R28" s="247">
        <f t="shared" si="57"/>
      </c>
      <c r="S28" s="248">
        <f t="shared" si="58"/>
      </c>
      <c r="T28" s="249">
        <f t="shared" si="59"/>
      </c>
      <c r="U28" s="250">
        <f t="shared" si="60"/>
      </c>
      <c r="V28" s="241">
        <f t="shared" si="61"/>
      </c>
      <c r="W28" s="148">
        <f>'ONR 3'!V12</f>
      </c>
      <c r="X25" s="183" t="str">
        <f>IF(ISBLANK('ONR 3'!W12),"",'ONR 3'!W12)</f>
      </c>
      <c r="Y25" s="254" t="str">
        <f t="shared" si="62">IF(ISBLANK('ONR 3'!I12),"",'ONR 3'!I12)</f>
      </c>
      <c r="Z25" s="251" t="str">
        <f t="shared" si="63">IF(ISBLANK('ONR 3'!D12),"",'ONR 3'!D12)</f>
      </c>
      <c r="AE25" s="206" t="n">
        <f t="shared" si="64">IF(ISNUMBER(T25),0,1)</f>
        <v>1</v>
      </c>
      <c r="AF25" s="206" t="n">
        <f t="shared" si="65">IF(L25=TRUE,1,0)</f>
        <v>0</v>
      </c>
      <c r="AG25" s="206" t="n">
        <f t="shared" si="65">IF(M25=TRUE,1,0)</f>
        <v>0</v>
      </c>
      <c r="AH25" s="206" t="n">
        <f t="shared" si="65">IF(N25=TRUE,1,0)</f>
        <v>0</v>
      </c>
      <c r="AI25" s="206" t="n">
        <f t="shared" si="65">IF(O25=TRUE,1,0)</f>
        <v>0</v>
      </c>
      <c r="AJ25" s="206" t="n">
        <f t="shared" si="65">IF(P25=TRUE,1,0)</f>
        <v>0</v>
      </c>
      <c r="AK25" s="206" t="n">
        <f t="shared" si="65">IF(Q25=TRUE,1,0)</f>
        <v>0</v>
      </c>
      <c r="AL25" s="206" t="n">
        <f t="shared" si="65">IF(R25=TRUE,1,0)</f>
        <v>0</v>
      </c>
      <c r="AM25" t="n">
        <f>IF(LEN(TRIM(W25))&gt;0,1,0)</f>
        <v>0</v>
      </c>
    </row>
    <row r="26" spans="1:38" s="205" customFormat="1" ht="20" thickBot="1">
      <c r="A26" s="199"/>
      <c r="B26" s="220" t="str">
        <f>IF(ISBLANK('ONR 3'!B13),"",'ONR 3'!B13)</f>
        <v>3.7</v>
      </c>
      <c r="C26" s="220" t="str">
        <f>IF(ISBLANK('ONR 3'!C13),"",'ONR 3'!C13)</f>
        <v>Mettre en place et faire connaître les actions de responsabilité sociétale (RSE), qui prennent en compte les effets de l’organisation sur la société et l’environnement.</v>
      </c>
      <c r="D26" s="244" t="str">
        <f>IF(ISBLANK('ONR 3'!D13),"",'ONR 3'!D13)</f>
      </c>
      <c r="E26" s="271" t="str">
        <f>IF(ISBLANK('ONR 3'!E13),"",'ONR 3'!E13)</f>
      </c>
      <c r="F26" s="278" t="str">
        <f>IF(ISBLANK('ONR 3'!F13),"",'ONR 3'!F13)</f>
      </c>
      <c r="G26" s="213" t="str">
        <f>IF(ISBLANK('ONR 3'!G13),"",'ONR 3'!G13)</f>
      </c>
      <c r="H26" s="214" t="str">
        <f>IF(ISBLANK('ONR 3'!H13),"",'ONR 3'!H13)</f>
      </c>
      <c r="I26" s="245" t="str">
        <f>IF(ISBLANK('ONR 3'!I13),"",'ONR 3'!I13)</f>
      </c>
      <c r="J26" s="246" t="str">
        <f t="shared" ref="J26" si="66">IF(ISBLANK('ONR 3'!J13),"",'ONR 3'!J13)</f>
      </c>
      <c r="K26" s="247" t="str">
        <f t="shared" ref="K26" si="67">IF(ISBLANK('ONR 3'!K13),"",'ONR 3'!K13)</f>
      </c>
      <c r="L26" s="247" t="b">
        <f t="shared" ref="L26" si="68">IF(ISBLANK('ONR 3'!L13),"",'ONR 3'!L13)</f>
        <v>0</v>
      </c>
      <c r="M26" s="247" t="b">
        <f t="shared" ref="M26" si="69">IF(ISBLANK('ONR 3'!M13),"",'ONR 3'!M13)</f>
        <v>0</v>
      </c>
      <c r="N26" s="247" t="b">
        <f t="shared" ref="N26" si="70">IF(ISBLANK('ONR 3'!N13),"",'ONR 3'!N13)</f>
        <v>0</v>
      </c>
      <c r="O26" s="247" t="b">
        <f t="shared" ref="O26" si="71">IF(ISBLANK('ONR 3'!O13),"",'ONR 3'!O13)</f>
        <v>0</v>
      </c>
      <c r="P26" s="247" t="b">
        <f t="shared" ref="P26" si="72">IF(ISBLANK('ONR 3'!P13),"",'ONR 3'!P13)</f>
        <v>0</v>
      </c>
      <c r="Q26" s="247" t="b">
        <f t="shared" ref="Q26" si="73">IF(ISBLANK('ONR 3'!Q13),"",'ONR 3'!Q13)</f>
        <v>0</v>
      </c>
      <c r="R26" s="247" t="b">
        <f t="shared" ref="R26" si="74">IF(ISBLANK('ONR 3'!R13),"",'ONR 3'!R13)</f>
        <v>0</v>
      </c>
      <c r="S26" s="248" t="str">
        <f t="shared" ref="S26" si="75">IF(ISBLANK('ONR 3'!S13),"",'ONR 3'!S13)</f>
      </c>
      <c r="T26" s="249" t="str">
        <f t="shared" ref="T26" si="76">IF(ISBLANK('ONR 3'!T13),"",'ONR 3'!T13)</f>
      </c>
      <c r="U26" s="250" t="str">
        <f t="shared" ref="U26" si="77">IF(ISBLANK('ONR 3'!U13),"",'ONR 3'!U13)</f>
      </c>
      <c r="V26" s="255" t="str">
        <f t="shared" si="61">IF(ISBLANK('ONR 3'!G13),"",'ONR 3'!G13)</f>
      </c>
      <c r="W29" s="215" t="str">
        <f>'ONR 3'!V13</f>
      </c>
      <c r="X26" s="183" t="str">
        <f>IF(ISBLANK('ONR 3'!W13),"",'ONR 3'!W13)</f>
      </c>
      <c r="Y26" s="251" t="str">
        <f t="shared" si="62">IF(ISBLANK('ONR 3'!I13),"",'ONR 3'!I13)</f>
      </c>
      <c r="Z26" s="251" t="str">
        <f t="shared" si="63">IF(ISBLANK('ONR 3'!D13),"",'ONR 3'!D13)</f>
      </c>
      <c r="AE26" s="206" t="n">
        <f t="shared" si="64">IF(ISNUMBER(T26),0,1)</f>
        <v>1</v>
      </c>
      <c r="AF26" s="206" t="n">
        <f t="shared" si="65">IF(L26=TRUE,1,0)</f>
        <v>0</v>
      </c>
      <c r="AG26" s="206" t="n">
        <f t="shared" si="65">IF(M26=TRUE,1,0)</f>
        <v>0</v>
      </c>
      <c r="AH26" s="206" t="n">
        <f t="shared" si="65">IF(N26=TRUE,1,0)</f>
        <v>0</v>
      </c>
      <c r="AI26" s="206" t="n">
        <f t="shared" si="65">IF(O26=TRUE,1,0)</f>
        <v>0</v>
      </c>
      <c r="AJ26" s="206" t="n">
        <f t="shared" si="65">IF(P26=TRUE,1,0)</f>
        <v>0</v>
      </c>
      <c r="AK26" s="206" t="n">
        <f t="shared" si="65">IF(Q26=TRUE,1,0)</f>
        <v>0</v>
      </c>
      <c r="AL26" s="206" t="n">
        <f t="shared" si="65">IF(R26=TRUE,1,0)</f>
        <v>0</v>
      </c>
      <c r="AM26" t="n">
        <f>IF(LEN(TRIM(W26))&gt;0,1,0)</f>
        <v>0</v>
      </c>
    </row>
    <row r="27" spans="1:38" s="205" customFormat="1" ht="20" thickBot="1">
      <c r="A27" s="199"/>
      <c r="B27" s="220" t="str">
        <f>IF(ISBLANK('ONR 3'!B14),"",'ONR 3'!B14)</f>
        <v>3.8</v>
      </c>
      <c r="C27" s="220" t="str">
        <f>IF(ISBLANK('ONR 3'!C14),"",'ONR 3'!C14)</f>
        <v>Indiquer quand une intelligence artificielle répond et expliquer comment elle prend ses décisions. Garder un contrôle humain sur les sujets sensibles.</v>
      </c>
      <c r="D27" s="244" t="str">
        <f>IF(ISBLANK('ONR 3'!D14),"",'ONR 3'!D14)</f>
      </c>
      <c r="E27" s="271" t="str">
        <f>IF(ISBLANK('ONR 3'!E14),"",'ONR 3'!E14)</f>
      </c>
      <c r="F27" s="278" t="str">
        <f>IF(ISBLANK('ONR 3'!F14),"",'ONR 3'!F14)</f>
      </c>
      <c r="G27" s="213" t="str">
        <f>IF(ISBLANK('ONR 3'!G14),"",'ONR 3'!G14)</f>
      </c>
      <c r="H27" s="214" t="str">
        <f>IF(ISBLANK('ONR 3'!H14),"",'ONR 3'!H14)</f>
      </c>
      <c r="I27" s="245" t="str">
        <f>IF(ISBLANK('ONR 3'!I14),"",'ONR 3'!I14)</f>
      </c>
      <c r="J27" s="246" t="n">
        <f>IF(ISBLANK('ONR 3'!J14),"",'ONR 3'!J14)</f>
        <v>0</v>
      </c>
      <c r="K27" s="247" t="str">
        <f>IF(ISBLANK('ONR 3'!K14),"",'ONR 3'!K14)</f>
      </c>
      <c r="L27" s="247" t="b">
        <f>IF(ISBLANK('ONR 3'!L14),"",'ONR 3'!L14)</f>
        <v>0</v>
      </c>
      <c r="M27" s="247" t="b">
        <f>IF(ISBLANK('ONR 3'!M14),"",'ONR 3'!M14)</f>
        <v>0</v>
      </c>
      <c r="N27" s="247" t="b">
        <f>IF(ISBLANK('ONR 3'!N14),"",'ONR 3'!N14)</f>
        <v>0</v>
      </c>
      <c r="O27" s="247" t="b">
        <f>IF(ISBLANK('ONR 3'!O14),"",'ONR 3'!O14)</f>
        <v>0</v>
      </c>
      <c r="P27" s="247" t="b">
        <f>IF(ISBLANK('ONR 3'!P14),"",'ONR 3'!P14)</f>
        <v>0</v>
      </c>
      <c r="Q27" s="247" t="b">
        <f>IF(ISBLANK('ONR 3'!Q14),"",'ONR 3'!Q14)</f>
        <v>0</v>
      </c>
      <c r="R27" s="247" t="b">
        <f>IF(ISBLANK('ONR 3'!R14),"",'ONR 3'!R14)</f>
        <v>0</v>
      </c>
      <c r="S27" s="248" t="str">
        <f>IF(ISBLANK('ONR 3'!S14),"",'ONR 3'!S14)</f>
      </c>
      <c r="T27" s="249" t="str">
        <f>IF(ISBLANK('ONR 3'!T14),"",'ONR 3'!T14)</f>
      </c>
      <c r="U27" s="250" t="str">
        <f>IF(ISBLANK('ONR 3'!U14),"",'ONR 3'!U14)</f>
      </c>
      <c r="V27" s="255" t="str">
        <f>IF(ISBLANK('ONR 3'!G14),"",'ONR 3'!G14)</f>
      </c>
      <c r="W27" s="215" t="str">
        <f>IF(ISBLANK('ONR 3'!V14),"",'ONR 3'!V14)</f>
      </c>
      <c r="X27" s="183" t="str">
        <f>IF(ISBLANK('ONR 3'!W14),"",'ONR 3'!W14)</f>
      </c>
      <c r="Y27" s="251" t="str">
        <f>IF(ISBLANK('ONR 3'!I14),"",'ONR 3'!I14)</f>
      </c>
      <c r="Z27" s="251" t="str">
        <f>IF(ISBLANK('ONR 3'!D14),"",'ONR 3'!D14)</f>
      </c>
      <c r="AE27" s="206" t="n">
        <f>IF(ISNUMBER(T27),0,1)</f>
        <v>1</v>
      </c>
      <c r="AF27" s="206" t="n">
        <f>IF(L27=TRUE,1,0)</f>
        <v>0</v>
      </c>
      <c r="AG27" s="206" t="n">
        <f>IF(M27=TRUE,1,0)</f>
        <v>0</v>
      </c>
      <c r="AH27" s="206" t="n">
        <f>IF(N27=TRUE,1,0)</f>
        <v>0</v>
      </c>
      <c r="AI27" s="206" t="n">
        <f>IF(O27=TRUE,1,0)</f>
        <v>0</v>
      </c>
      <c r="AJ27" s="206" t="n">
        <f>IF(P27=TRUE,1,0)</f>
        <v>0</v>
      </c>
      <c r="AK27" s="206" t="n">
        <f>IF(Q27=TRUE,1,0)</f>
        <v>0</v>
      </c>
      <c r="AL27" s="206" t="n">
        <f>IF(R27=TRUE,1,0)</f>
        <v>0</v>
      </c>
      <c r="AM27" t="n">
        <f>IF(LEN(TRIM(W27))&gt;0,1,0)</f>
        <v>0</v>
      </c>
    </row>
    <row r="28" spans="1:38" s="116" customFormat="1" ht="23" thickBot="1">
      <c r="A28" s="115"/>
      <c r="B28" s="361" t="str">
        <f>'ONR 4'!B2</f>
        <v>ONR 4 : Résilience et stratégie · Utiliser le numérique responsable pour aider l’organisation à faire face aux difficultés et à s’adapter</v>
      </c>
      <c r="C28" s="362"/>
      <c r="D28" s="362"/>
      <c r="E28" s="362"/>
      <c r="F28" s="362"/>
      <c r="G28" s="362"/>
      <c r="H28" s="362"/>
      <c r="I28" s="362"/>
      <c r="J28" s="362"/>
      <c r="K28" s="362"/>
      <c r="L28" s="362"/>
      <c r="M28" s="362"/>
      <c r="N28" s="362"/>
      <c r="O28" s="362"/>
      <c r="P28" s="362"/>
      <c r="Q28" s="362"/>
      <c r="R28" s="362"/>
      <c r="S28" s="362"/>
      <c r="T28" s="362"/>
      <c r="U28" s="362"/>
      <c r="V28" s="362"/>
      <c r="W28" s="362"/>
      <c r="X28" s="362"/>
      <c r="Y28" s="362"/>
      <c r="Z28" s="379"/>
      <c r="AB28" s="116" t="str">
        <f>B28</f>
        <v>ONR 4 : Résilience et stratégie · Utiliser le numérique responsable pour aider l’organisation à faire face aux difficultés et à s’adapter</v>
      </c>
      <c r="AC28" s="116" t="n">
        <f>COUNTA('ONR 4'!B7:B10)</f>
        <v>4</v>
      </c>
      <c r="AD28" s="116" t="n">
        <f>COUNT(T29:T32)</f>
        <v>0</v>
      </c>
      <c r="AE28" s="117" t="n">
        <f>SUM(AE29:AE32)</f>
        <v>4</v>
      </c>
      <c r="AF28" s="117" t="n">
        <f>SUM(AF29:AF32)</f>
        <v>0</v>
      </c>
      <c r="AG28" s="117" t="n">
        <f>SUM(AG29:AG32)</f>
        <v>0</v>
      </c>
      <c r="AH28" s="117" t="n">
        <f>SUM(AH29:AH32)</f>
        <v>0</v>
      </c>
      <c r="AI28" s="117" t="n">
        <f>SUM(AI29:AI32)</f>
        <v>0</v>
      </c>
      <c r="AJ28" s="117" t="n">
        <f>SUM(AJ29:AJ32)</f>
        <v>0</v>
      </c>
      <c r="AK28" s="117" t="n">
        <f>SUM(AK29:AK32)</f>
        <v>0</v>
      </c>
      <c r="AL28" s="117" t="n">
        <f>SUM(AL29:AL32)</f>
        <v>0</v>
      </c>
    </row>
    <row r="29" spans="1:38" s="205" customFormat="1" ht="57">
      <c r="A29" s="199"/>
      <c r="B29" s="218" t="str">
        <f>IF(ISBLANK('ONR 4'!B7),"",'ONR 4'!B7)</f>
        <v>4.1</v>
      </c>
      <c r="C29" s="218" t="str">
        <f>IF(ISBLANK('ONR 4'!C7),"",'ONR 4'!C7)</f>
        <v>Suivre des normes communes pour recueillir, regrouper, analyser et partager les données sur les effets des technologies de l’information et de la communication (TIC).</v>
      </c>
      <c r="D29" s="223" t="str">
        <f>IF(ISBLANK('ONR 4'!D7),"",'ONR 4'!D7)</f>
      </c>
      <c r="E29" s="267" t="str">
        <f>IF(ISBLANK('ONR 4'!E7),"",'ONR 4'!E7)</f>
      </c>
      <c r="F29" s="274" t="str">
        <f>IF(ISBLANK('ONR 4'!F7),"",'ONR 4'!F7)</f>
      </c>
      <c r="G29" s="200" t="str">
        <f>IF(ISBLANK('ONR 4'!G7),"",'ONR 4'!G7)</f>
      </c>
      <c r="H29" s="202" t="str">
        <f>IF(ISBLANK('ONR 4'!H7),"",'ONR 4'!H7)</f>
      </c>
      <c r="I29" s="225" t="str">
        <f>IF(ISBLANK('ONR 4'!I7),"",'ONR 4'!I7)</f>
      </c>
      <c r="J29" s="218" t="str">
        <f>IF(ISBLANK('ONR 4'!J7),"",'ONR 4'!J7)</f>
      </c>
      <c r="K29" s="227" t="str">
        <f t="shared" ref="K29:K30" si="79">IF(ISBLANK('ONR 4'!K7),"",'ONR 4'!K7)</f>
      </c>
      <c r="L29" s="227" t="b">
        <f>IF(ISBLANK('ONR 4'!L7),"",'ONR 4'!L7)</f>
        <v>0</v>
      </c>
      <c r="M29" s="227" t="b">
        <f>IF(ISBLANK('ONR 4'!M7),"",'ONR 4'!M7)</f>
        <v>0</v>
      </c>
      <c r="N29" s="227" t="b">
        <f>IF(ISBLANK('ONR 4'!N7),"",'ONR 4'!N7)</f>
        <v>0</v>
      </c>
      <c r="O29" s="227" t="b">
        <f>IF(ISBLANK('ONR 4'!O7),"",'ONR 4'!O7)</f>
        <v>0</v>
      </c>
      <c r="P29" s="227" t="b">
        <f>IF(ISBLANK('ONR 4'!P7),"",'ONR 4'!P7)</f>
        <v>0</v>
      </c>
      <c r="Q29" s="227" t="b">
        <f>IF(ISBLANK('ONR 4'!Q7),"",'ONR 4'!Q7)</f>
        <v>0</v>
      </c>
      <c r="R29" s="227" t="b">
        <f>IF(ISBLANK('ONR 4'!R7),"",'ONR 4'!R7)</f>
        <v>0</v>
      </c>
      <c r="S29" s="228" t="str">
        <f t="shared" ref="S29:S30" si="80">IF(ISBLANK('ONR 4'!S7),"",'ONR 4'!S7)</f>
      </c>
      <c r="T29" s="226" t="str">
        <f t="shared" ref="T29" si="81">IF(ISBLANK('ONR 4'!T7),"",'ONR 4'!T7)</f>
      </c>
      <c r="U29" s="242" t="str">
        <f t="shared" ref="U29" si="82">IF(ISBLANK('ONR 4'!U7),"",'ONR 4'!U7)</f>
      </c>
      <c r="V29" s="229" t="str">
        <f>IF(ISBLANK('ONR 4'!G7),"",'ONR 4'!G7)</f>
      </c>
      <c r="W29" s="203" t="str">
        <f>IF(ISBLANK('ONR 4'!V7),"",'ONR 4'!V7)</f>
      </c>
      <c r="X29" s="204" t="str">
        <f>IF(ISBLANK('ONR 4'!W7),"",'ONR 4'!W7)</f>
      </c>
      <c r="Y29" s="230" t="str">
        <f>IF(ISBLANK('ONR 4'!I7),"",'ONR 4'!I7)</f>
      </c>
      <c r="Z29" s="230" t="str">
        <f>IF(ISBLANK('ONR 4'!D7),"",'ONR 4'!D7)</f>
      </c>
      <c r="AE29" s="206" t="n">
        <f>IF(ISNUMBER(T29),0,1)</f>
        <v>1</v>
      </c>
      <c r="AF29" s="206" t="n">
        <f t="shared" ref="AF29:AL32" si="83">IF(L29=TRUE,1,0)</f>
        <v>0</v>
      </c>
      <c r="AG29" s="206" t="n">
        <f t="shared" si="83">IF(M29=TRUE,1,0)</f>
        <v>0</v>
      </c>
      <c r="AH29" s="206" t="n">
        <f t="shared" si="83">IF(N29=TRUE,1,0)</f>
        <v>0</v>
      </c>
      <c r="AI29" s="206" t="n">
        <f t="shared" si="83">IF(O29=TRUE,1,0)</f>
        <v>0</v>
      </c>
      <c r="AJ29" s="206" t="n">
        <f t="shared" si="83">IF(P29=TRUE,1,0)</f>
        <v>0</v>
      </c>
      <c r="AK29" s="206" t="n">
        <f t="shared" si="83">IF(Q29=TRUE,1,0)</f>
        <v>0</v>
      </c>
      <c r="AL29" s="206" t="n">
        <f t="shared" si="83">IF(R29=TRUE,1,0)</f>
        <v>0</v>
      </c>
      <c r="AM29" t="n">
        <f>IF(LEN(TRIM(W29))&gt;0,1,0)</f>
        <v>0</v>
      </c>
    </row>
    <row r="30" spans="1:38" s="205" customFormat="1" ht="57">
      <c r="A30" s="199"/>
      <c r="B30" s="219" t="str">
        <f>IF(ISBLANK('ONR 4'!B8),"",'ONR 4'!B8)</f>
        <v>4.2</v>
      </c>
      <c r="C30" s="219" t="str">
        <f>IF(ISBLANK('ONR 4'!C8),"",'ONR 4'!C8)</f>
        <v>Évaluer les services numériques au fil du temps et partager les résultats.</v>
      </c>
      <c r="D30" s="231" t="str">
        <f>IF(ISBLANK('ONR 4'!D8),"",'ONR 4'!D8)</f>
      </c>
      <c r="E30" s="268" t="str">
        <f>IF(ISBLANK('ONR 4'!E8),"",'ONR 4'!E8)</f>
      </c>
      <c r="F30" s="275" t="str">
        <f>IF(ISBLANK('ONR 4'!F8),"",'ONR 4'!F8)</f>
      </c>
      <c r="G30" s="207" t="str">
        <f>IF(ISBLANK('ONR 4'!G8),"",'ONR 4'!G8)</f>
      </c>
      <c r="H30" s="201" t="str">
        <f>IF(ISBLANK('ONR 4'!H8),"",'ONR 4'!H8)</f>
      </c>
      <c r="I30" s="224" t="str">
        <f>IF(ISBLANK('ONR 4'!I8),"",'ONR 4'!I8)</f>
      </c>
      <c r="J30" s="219" t="str">
        <f t="shared" ref="J30:J38" si="84">IF(ISBLANK('ONR 4'!J8),"",'ONR 4'!J8)</f>
      </c>
      <c r="K30" s="233" t="str">
        <f t="shared" si="79">IF(ISBLANK('ONR 4'!K8),"",'ONR 4'!K8)</f>
      </c>
      <c r="L33" s="233">
        <f t="shared" ref="L33" si="85">OR(K30=31)</f>
      </c>
      <c r="L30" t="b" s="227">
        <f>IF(ISBLANK('ONR 4'!L8),"",'ONR 4'!L8)</f>
        <v>0</v>
      </c>
      <c r="M30" s="233" t="b">
        <f t="shared" ref="M30" si="86">IF(ISBLANK('ONR 4'!M8),"",'ONR 4'!M8)</f>
        <v>0</v>
      </c>
      <c r="N30" s="233" t="b">
        <f t="shared" ref="N30" si="87">IF(ISBLANK('ONR 4'!N8),"",'ONR 4'!N8)</f>
        <v>0</v>
      </c>
      <c r="O30" s="233" t="b">
        <f t="shared" ref="O30" si="88">IF(ISBLANK('ONR 4'!O8),"",'ONR 4'!O8)</f>
        <v>0</v>
      </c>
      <c r="P30" s="233" t="b">
        <f t="shared" ref="P30" si="89">IF(ISBLANK('ONR 4'!P8),"",'ONR 4'!P8)</f>
        <v>0</v>
      </c>
      <c r="Q30" s="233" t="b">
        <f t="shared" ref="Q30" si="90">IF(ISBLANK('ONR 4'!Q8),"",'ONR 4'!Q8)</f>
        <v>0</v>
      </c>
      <c r="R30" s="233" t="b">
        <f t="shared" ref="R30" si="91">IF(ISBLANK('ONR 4'!R8),"",'ONR 4'!R8)</f>
        <v>0</v>
      </c>
      <c r="S30" s="234" t="str">
        <f t="shared" si="80">IF(ISBLANK('ONR 4'!S8),"",'ONR 4'!S8)</f>
      </c>
      <c r="T33" s="232">
        <f t="shared" si="81"/>
      </c>
      <c r="T30" t="str" s="226">
        <f>IF(ISBLANK('ONR 4'!T8),"",'ONR 4'!T8)</f>
      </c>
      <c r="U33" s="243">
        <f t="shared" si="82"/>
      </c>
      <c r="U30" t="str" s="242">
        <f>IF(ISBLANK('ONR 4'!U8),"",'ONR 4'!U8)</f>
      </c>
      <c r="V33" s="235">
        <f>G30</f>
      </c>
      <c r="V30" t="str" s="229">
        <f>IF(ISBLANK('ONR 4'!G8),"",'ONR 4'!G8)</f>
      </c>
      <c r="W30" s="142" t="str">
        <f>IF(ISBLANK('ONR 4'!V8),"",'ONR 4'!V8)</f>
      </c>
      <c r="X30" s="204" t="str">
        <f>IF(ISBLANK('ONR 4'!W8),"",'ONR 4'!W8)</f>
      </c>
      <c r="Y30" s="236" t="str">
        <f>IF(ISBLANK('ONR 4'!I8),"",'ONR 4'!I8)</f>
      </c>
      <c r="Z30" s="236" t="str">
        <f>IF(ISBLANK('ONR 4'!D8),"",'ONR 4'!D8)</f>
      </c>
      <c r="AE30" s="206" t="n">
        <f>IF(ISNUMBER(T30),0,1)</f>
        <v>1</v>
      </c>
      <c r="AF30" s="206" t="n">
        <f t="shared" si="83">IF(L30=TRUE,1,0)</f>
        <v>0</v>
      </c>
      <c r="AG30" s="206" t="n">
        <f t="shared" si="83">IF(M30=TRUE,1,0)</f>
        <v>0</v>
      </c>
      <c r="AH30" s="206" t="n">
        <f t="shared" si="83">IF(N30=TRUE,1,0)</f>
        <v>0</v>
      </c>
      <c r="AI30" s="206" t="n">
        <f t="shared" si="83">IF(O30=TRUE,1,0)</f>
        <v>0</v>
      </c>
      <c r="AJ30" s="206" t="n">
        <f t="shared" si="83">IF(P30=TRUE,1,0)</f>
        <v>0</v>
      </c>
      <c r="AK30" s="206" t="n">
        <f t="shared" si="83">IF(Q30=TRUE,1,0)</f>
        <v>0</v>
      </c>
      <c r="AL30" s="206" t="n">
        <f t="shared" si="83">IF(R30=TRUE,1,0)</f>
        <v>0</v>
      </c>
      <c r="AM30" t="n">
        <f>IF(LEN(TRIM(W30))&gt;0,1,0)</f>
        <v>0</v>
      </c>
    </row>
    <row r="31" spans="1:38" s="205" customFormat="1" ht="57">
      <c r="A31" s="199"/>
      <c r="B31" s="219" t="str">
        <f>IF(ISBLANK('ONR 4'!B9),"",'ONR 4'!B9)</f>
        <v>4.3</v>
      </c>
      <c r="C31" s="219" t="str">
        <f>IF(ISBLANK('ONR 4'!C9),"",'ONR 4'!C9)</f>
        <v>Innover en utilisant de nouveaux outils numériques. Évaluer leurs effets et expliquer les résultats aux personnes qui les utilisent.</v>
      </c>
      <c r="D31" s="231" t="str">
        <f>IF(ISBLANK('ONR 4'!D9),"",'ONR 4'!D9)</f>
      </c>
      <c r="E31" s="268" t="str">
        <f>IF(ISBLANK('ONR 4'!E9),"",'ONR 4'!E9)</f>
      </c>
      <c r="F31" s="275" t="str">
        <f>IF(ISBLANK('ONR 4'!F9),"",'ONR 4'!F9)</f>
      </c>
      <c r="G31" s="207" t="str">
        <f>IF(ISBLANK('ONR 4'!G9),"",'ONR 4'!G9)</f>
      </c>
      <c r="H31" s="201" t="str">
        <f>IF(ISBLANK('ONR 4'!H9),"",'ONR 4'!H9)</f>
      </c>
      <c r="I31" s="224" t="str">
        <f>IF(ISBLANK('ONR 4'!I9),"",'ONR 4'!I9)</f>
      </c>
      <c r="J31" s="219" t="str">
        <f t="shared" ref="J31:J32" si="92">IF(ISBLANK('ONR 4'!J9),"",'ONR 4'!J9)</f>
      </c>
      <c r="K31" s="233" t="str">
        <f t="shared" ref="K31:K35" si="93">IF(ISBLANK('ONR 4'!K9),"",'ONR 4'!K9)</f>
      </c>
      <c r="L31" s="233" t="b">
        <f t="shared" ref="L31:L35" si="94">IF(ISBLANK('ONR 4'!L9),"",'ONR 4'!L9)</f>
        <v>0</v>
      </c>
      <c r="M31" s="233" t="b">
        <f t="shared" ref="M31" si="95">IF(ISBLANK('ONR 4'!M9),"",'ONR 4'!M9)</f>
        <v>0</v>
      </c>
      <c r="N31" s="233" t="b">
        <f t="shared" ref="N31" si="96">IF(ISBLANK('ONR 4'!N9),"",'ONR 4'!N9)</f>
        <v>0</v>
      </c>
      <c r="O31" s="233" t="b">
        <f t="shared" ref="O31" si="97">IF(ISBLANK('ONR 4'!O9),"",'ONR 4'!O9)</f>
        <v>0</v>
      </c>
      <c r="P31" s="233" t="b">
        <f t="shared" ref="P31" si="98">IF(ISBLANK('ONR 4'!P9),"",'ONR 4'!P9)</f>
        <v>0</v>
      </c>
      <c r="Q31" s="233" t="b">
        <f t="shared" ref="Q31" si="99">IF(ISBLANK('ONR 4'!Q9),"",'ONR 4'!Q9)</f>
        <v>0</v>
      </c>
      <c r="R31" s="233" t="b">
        <f t="shared" ref="R31" si="100">IF(ISBLANK('ONR 4'!R9),"",'ONR 4'!R9)</f>
        <v>0</v>
      </c>
      <c r="S31" s="234" t="str">
        <f t="shared" ref="S31" si="101">IF(ISBLANK('ONR 4'!S9),"",'ONR 4'!S9)</f>
      </c>
      <c r="T31" s="232" t="str">
        <f t="shared" ref="T31:T35" si="102">IF(ISBLANK('ONR 4'!T9),"",'ONR 4'!T9)</f>
      </c>
      <c r="U31" s="243" t="str">
        <f t="shared" ref="U31:U35" si="103">IF(ISBLANK('ONR 4'!U9),"",'ONR 4'!U9)</f>
      </c>
      <c r="V31" s="235" t="str">
        <f>IF(ISBLANK('ONR 4'!G9),"",'ONR 4'!G9)</f>
      </c>
      <c r="W31" s="142" t="str">
        <f>IF(ISBLANK('ONR 4'!V9),"",'ONR 4'!V9)</f>
      </c>
      <c r="X31" s="204" t="str">
        <f>IF(ISBLANK('ONR 4'!W9),"",'ONR 4'!W9)</f>
      </c>
      <c r="Y31" s="236" t="str">
        <f>IF(ISBLANK('ONR 4'!I9),"",'ONR 4'!I9)</f>
      </c>
      <c r="Z31" s="236" t="str">
        <f>IF(ISBLANK('ONR 4'!D9),"",'ONR 4'!D9)</f>
      </c>
      <c r="AE31" s="206" t="n">
        <f>IF(ISNUMBER(T31),0,1)</f>
        <v>1</v>
      </c>
      <c r="AF31" s="206" t="n">
        <f t="shared" si="83">IF(L31=TRUE,1,0)</f>
        <v>0</v>
      </c>
      <c r="AG31" s="206" t="n">
        <f t="shared" si="83">IF(M31=TRUE,1,0)</f>
        <v>0</v>
      </c>
      <c r="AH31" s="206" t="n">
        <f t="shared" si="83">IF(N31=TRUE,1,0)</f>
        <v>0</v>
      </c>
      <c r="AI31" s="206" t="n">
        <f t="shared" si="83">IF(O31=TRUE,1,0)</f>
        <v>0</v>
      </c>
      <c r="AJ31" s="206" t="n">
        <f t="shared" si="83">IF(P31=TRUE,1,0)</f>
        <v>0</v>
      </c>
      <c r="AK31" s="206" t="n">
        <f t="shared" si="83">IF(Q31=TRUE,1,0)</f>
        <v>0</v>
      </c>
      <c r="AL31" s="206" t="n">
        <f t="shared" si="83">IF(R31=TRUE,1,0)</f>
        <v>0</v>
      </c>
      <c r="AM31" t="n">
        <f>IF(LEN(TRIM(W31))&gt;0,1,0)</f>
        <v>0</v>
      </c>
    </row>
    <row r="32" spans="1:38" s="205" customFormat="1" ht="20" thickBot="1">
      <c r="A32" s="199"/>
      <c r="B32" s="219" t="str">
        <f>IF(ISBLANK('ONR 4'!B10),"",'ONR 4'!B10)</f>
        <v>4.4</v>
      </c>
      <c r="C32" s="219" t="str">
        <f>IF(ISBLANK('ONR 4'!C10),"",'ONR 4'!C10)</f>
        <v>Renforcer la souveraineté numérique : garder la maîtrise de nos choix, de nos outils et de nos données.</v>
      </c>
      <c r="D32" s="231" t="str">
        <f>IF(ISBLANK('ONR 4'!D10),"",'ONR 4'!D10)</f>
      </c>
      <c r="E32" s="268" t="str">
        <f>IF(ISBLANK('ONR 4'!E10),"",'ONR 4'!E10)</f>
      </c>
      <c r="F32" s="275" t="str">
        <f>IF(ISBLANK('ONR 4'!F10),"",'ONR 4'!F10)</f>
      </c>
      <c r="G32" s="207" t="str">
        <f>IF(ISBLANK('ONR 4'!G10),"",'ONR 4'!G10)</f>
      </c>
      <c r="H32" s="201" t="str">
        <f>IF(ISBLANK('ONR 4'!H10),"",'ONR 4'!H10)</f>
      </c>
      <c r="I32" s="224" t="str">
        <f>IF(ISBLANK('ONR 4'!I10),"",'ONR 4'!I10)</f>
      </c>
      <c r="J32" s="219" t="n">
        <f t="shared" si="92">IF(ISBLANK('ONR 4'!J10),"",'ONR 4'!J10)</f>
        <v>0</v>
      </c>
      <c r="K35" s="233" t="str">
        <f t="shared" si="93">IF(ISBLANK('ONR 5'!K8),"",'ONR 5'!K8)</f>
      </c>
      <c r="K32" t="str" s="233">
        <f>IF(ISBLANK('ONR 4'!K10),"",'ONR 4'!K10)</f>
      </c>
      <c r="L35" s="233" t="b">
        <f t="shared" si="94">IF(ISBLANK('ONR 5'!L8),"",'ONR 5'!L8)</f>
        <v>0</v>
      </c>
      <c r="L32" t="b" s="233">
        <f>IF(ISBLANK('ONR 4'!L10),"",'ONR 4'!L10)</f>
        <v>0</v>
      </c>
      <c r="M35" s="233" t="b">
        <f t="shared" si="95"/>
        <v>0</v>
      </c>
      <c r="M32" t="b" s="233">
        <f>IF(ISBLANK('ONR 4'!M10),"",'ONR 4'!M10)</f>
        <v>0</v>
      </c>
      <c r="N35" s="233" t="b">
        <f t="shared" si="96"/>
        <v>0</v>
      </c>
      <c r="N32" t="b" s="233">
        <f>IF(ISBLANK('ONR 4'!N10),"",'ONR 4'!N10)</f>
        <v>0</v>
      </c>
      <c r="O35" s="233" t="b">
        <f t="shared" si="97"/>
        <v>0</v>
      </c>
      <c r="O32" t="b" s="233">
        <f>IF(ISBLANK('ONR 4'!O10),"",'ONR 4'!O10)</f>
        <v>0</v>
      </c>
      <c r="P35" s="233" t="b">
        <f t="shared" si="98"/>
        <v>0</v>
      </c>
      <c r="P32" t="b" s="233">
        <f>IF(ISBLANK('ONR 4'!P10),"",'ONR 4'!P10)</f>
        <v>0</v>
      </c>
      <c r="Q35" s="233" t="b">
        <f t="shared" si="99"/>
        <v>0</v>
      </c>
      <c r="Q32" t="b" s="233">
        <f>IF(ISBLANK('ONR 4'!Q10),"",'ONR 4'!Q10)</f>
        <v>0</v>
      </c>
      <c r="R35" s="233" t="b">
        <f t="shared" si="100"/>
        <v>0</v>
      </c>
      <c r="R32" t="b" s="233">
        <f>IF(ISBLANK('ONR 4'!R10),"",'ONR 4'!R10)</f>
        <v>0</v>
      </c>
      <c r="S35" s="234" t="str">
        <f t="shared" si="101"/>
      </c>
      <c r="S32" t="str" s="234">
        <f>IF(ISBLANK('ONR 4'!S10),"",'ONR 4'!S10)</f>
      </c>
      <c r="T35" s="232" t="str">
        <f t="shared" si="102">IF(ISBLANK('ONR 5'!T8),"",'ONR 5'!T8)</f>
      </c>
      <c r="T32" t="str" s="232">
        <f>IF(ISBLANK('ONR 4'!T10),"",'ONR 4'!T10)</f>
      </c>
      <c r="U35" s="243" t="str">
        <f t="shared" si="103">IF(ISBLANK('ONR 5'!U8),"",'ONR 5'!U8)</f>
      </c>
      <c r="U32" t="str" s="243">
        <f>IF(ISBLANK('ONR 4'!U10),"",'ONR 4'!U10)</f>
      </c>
      <c r="V35" s="235" t="str">
        <f>IF(ISBLANK('ONR 5'!G8),"",'ONR 5'!G8)</f>
      </c>
      <c r="V32" t="str" s="235">
        <f>IF(ISBLANK('ONR 4'!G10),"",'ONR 4'!G10)</f>
      </c>
      <c r="W32" s="142" t="str">
        <f>IF(ISBLANK('ONR 4'!V10),"",'ONR 4'!V10)</f>
      </c>
      <c r="X32" s="204" t="str">
        <f>IF(ISBLANK('ONR 4'!W10),"",'ONR 4'!W10)</f>
      </c>
      <c r="Y32" s="236" t="str">
        <f>IF(ISBLANK('ONR 4'!I10),"",'ONR 4'!I10)</f>
      </c>
      <c r="Z32" s="236" t="str">
        <f>IF(ISBLANK('ONR 4'!D10),"",'ONR 4'!D10)</f>
      </c>
      <c r="AE32" s="206" t="n">
        <f>IF(ISNUMBER(T32),0,1)</f>
        <v>1</v>
      </c>
      <c r="AF32" s="206" t="n">
        <f t="shared" si="83">IF(L32=TRUE,1,0)</f>
        <v>0</v>
      </c>
      <c r="AG32" s="206" t="n">
        <f t="shared" si="83">IF(M32=TRUE,1,0)</f>
        <v>0</v>
      </c>
      <c r="AH32" s="206" t="n">
        <f t="shared" si="83">IF(N32=TRUE,1,0)</f>
        <v>0</v>
      </c>
      <c r="AI32" s="206" t="n">
        <f t="shared" si="83">IF(O32=TRUE,1,0)</f>
        <v>0</v>
      </c>
      <c r="AJ32" s="206" t="n">
        <f t="shared" si="83">IF(P32=TRUE,1,0)</f>
        <v>0</v>
      </c>
      <c r="AK32" s="206" t="n">
        <f t="shared" si="83">IF(Q32=TRUE,1,0)</f>
        <v>0</v>
      </c>
      <c r="AL32" s="206" t="n">
        <f t="shared" si="83">IF(R32=TRUE,1,0)</f>
        <v>0</v>
      </c>
      <c r="AM32" t="n">
        <f>IF(LEN(TRIM(W32))&gt;0,1,0)</f>
        <v>0</v>
      </c>
    </row>
    <row r="33" spans="1:38" s="116" customFormat="1" ht="23" thickBot="1">
      <c r="A33" s="115"/>
      <c r="B33" s="361" t="str">
        <f>'ONR 5'!B2</f>
        <v>ONR 5 : Management · Donner du sens au travail et préserver les personnes et les ressources nécessaires à nos activités</v>
      </c>
      <c r="C33" s="362"/>
      <c r="D33" s="362"/>
      <c r="E33" s="362"/>
      <c r="F33" s="362"/>
      <c r="G33" s="362"/>
      <c r="H33" s="362"/>
      <c r="I33" s="362"/>
      <c r="J33" s="362"/>
      <c r="K33" s="362"/>
      <c r="L33" s="362"/>
      <c r="M33" s="362"/>
      <c r="N33" s="362"/>
      <c r="O33" s="362"/>
      <c r="P33" s="362"/>
      <c r="Q33" s="362"/>
      <c r="R33" s="362"/>
      <c r="S33" s="362"/>
      <c r="T33" s="362"/>
      <c r="U33" s="362"/>
      <c r="V33" s="362"/>
      <c r="W33" s="362"/>
      <c r="X33" s="362"/>
      <c r="Y33" s="362"/>
      <c r="Z33" s="363"/>
      <c r="AB33" s="116" t="str">
        <f>B33</f>
        <v>ONR 5 : Management · Donner du sens au travail et préserver les personnes et les ressources nécessaires à nos activités</v>
      </c>
      <c r="AC33" s="116" t="n">
        <f>COUNTA('ONR 5'!B7:B13)</f>
        <v>7</v>
      </c>
      <c r="AD33" s="116" t="n">
        <f>COUNT(T34:T40)</f>
        <v>0</v>
      </c>
      <c r="AE33" s="117" t="n">
        <f>SUM(AE34:AE40)</f>
        <v>7</v>
      </c>
      <c r="AF33" s="117" t="n">
        <f>SUM(AF34:AF40)</f>
        <v>0</v>
      </c>
      <c r="AG33" s="117" t="n">
        <f>SUM(AG34:AG40)</f>
        <v>0</v>
      </c>
      <c r="AH33" s="117" t="n">
        <f>SUM(AH34:AH40)</f>
        <v>0</v>
      </c>
      <c r="AI33" s="117" t="n">
        <f>SUM(AI34:AI40)</f>
        <v>0</v>
      </c>
      <c r="AJ33" s="117" t="n">
        <f>SUM(AJ34:AJ40)</f>
        <v>0</v>
      </c>
      <c r="AK33" s="117" t="n">
        <f>SUM(AK34:AK40)</f>
        <v>0</v>
      </c>
      <c r="AL33" s="117" t="n">
        <f>SUM(AL34:AL40)</f>
        <v>0</v>
      </c>
    </row>
    <row r="34" spans="1:38" s="205" customFormat="1" ht="38">
      <c r="A34" s="199"/>
      <c r="B34" s="218" t="str">
        <f>IF(ISBLANK('ONR 5'!B7),"",'ONR 5'!B7)</f>
        <v>5.1</v>
      </c>
      <c r="C34" s="218" t="str">
        <f>IF(ISBLANK('ONR 5'!C7),"",'ONR 5'!C7)</f>
        <v>Concevoir les systèmes et les services numériques en intégrant de nouvelles façons de répondre aux besoins sociaux.</v>
      </c>
      <c r="D34" s="223" t="str">
        <f>IF(ISBLANK('ONR 5'!D7),"",'ONR 5'!D7)</f>
      </c>
      <c r="E34" s="272" t="str">
        <f>IF(ISBLANK('ONR 5'!E7),"",'ONR 5'!E7)</f>
      </c>
      <c r="F34" s="279" t="str">
        <f>IF(ISBLANK('ONR 5'!F7),"",'ONR 5'!F7)</f>
      </c>
      <c r="G34" s="200" t="str">
        <f>IF(ISBLANK('ONR 5'!G7),"",'ONR 5'!G7)</f>
      </c>
      <c r="H34" s="216" t="str">
        <f>IF(ISBLANK('ONR 5'!H7),"",'ONR 5'!H7)</f>
      </c>
      <c r="I34" s="225" t="str">
        <f>IF(ISBLANK('ONR 5'!I7),"",'ONR 5'!I7)</f>
      </c>
      <c r="J34" s="220" t="str">
        <f t="shared" si="84">IF(ISBLANK('ONR 5'!J7),"",'ONR 5'!J7)</f>
      </c>
      <c r="K37" s="227" t="str">
        <f t="shared" ref="K37:K38" si="105">E34*10+F34</f>
      </c>
      <c r="K34" t="str" s="362">
        <f>IF(ISBLANK('ONR 5'!K7),"",'ONR 5'!K7)</f>
      </c>
      <c r="L34" s="227" t="b">
        <f>IF(ISBLANK('ONR 5'!L7),"",'ONR 5'!L7)</f>
        <v>0</v>
      </c>
      <c r="M34" s="227" t="b">
        <f>IF(ISBLANK('ONR 5'!M7),"",'ONR 5'!M7)</f>
        <v>0</v>
      </c>
      <c r="N34" s="227" t="b">
        <f>IF(ISBLANK('ONR 5'!N7),"",'ONR 5'!N7)</f>
        <v>0</v>
      </c>
      <c r="O34" s="227" t="b">
        <f>IF(ISBLANK('ONR 5'!O7),"",'ONR 5'!O7)</f>
        <v>0</v>
      </c>
      <c r="P34" s="227" t="b">
        <f>IF(ISBLANK('ONR 5'!P7),"",'ONR 5'!P7)</f>
        <v>0</v>
      </c>
      <c r="Q34" s="227" t="b">
        <f>IF(ISBLANK('ONR 5'!Q7),"",'ONR 5'!Q7)</f>
        <v>0</v>
      </c>
      <c r="R34" s="227" t="b">
        <f>IF(ISBLANK('ONR 5'!R7),"",'ONR 5'!R7)</f>
        <v>0</v>
      </c>
      <c r="S34" s="228" t="str">
        <f t="shared" ref="S34:S38" si="106">IF(ISBLANK('ONR 5'!S7),"",'ONR 5'!S7)</f>
      </c>
      <c r="T34" s="226" t="str">
        <f t="shared" ref="T34:T38" si="107">IF(ISBLANK('ONR 5'!T7),"",'ONR 5'!T7)</f>
      </c>
      <c r="U34" s="242" t="str">
        <f t="shared" ref="U34:U38" si="108">IF(ISBLANK('ONR 5'!U7),"",'ONR 5'!U7)</f>
      </c>
      <c r="V34" s="229" t="str">
        <f t="shared" ref="V34:V38" si="109">IF(ISBLANK('ONR 5'!G7),"",'ONR 5'!G7)</f>
      </c>
      <c r="W34" s="203" t="str">
        <f>IF(ISBLANK('ONR 5'!V7),"",'ONR 5'!V7)</f>
      </c>
      <c r="X34" s="204" t="str">
        <f>IF(ISBLANK('ONR 5'!W7),"",'ONR 5'!W7)</f>
      </c>
      <c r="Y34" s="257" t="str">
        <f t="shared" ref="Y34:Y38" si="110">IF(ISBLANK('ONR 5'!I7),"",'ONR 5'!I7)</f>
      </c>
      <c r="Z34" s="256" t="str">
        <f>IF(ISBLANK('ONR 5'!D7),"",'ONR 5'!D7)</f>
      </c>
      <c r="AE34" s="206" t="n">
        <f t="shared" ref="AE34:AE38" si="111">IF(ISNUMBER(T34),0,1)</f>
        <v>1</v>
      </c>
      <c r="AF34" s="206" t="n">
        <f t="shared" ref="AF34:AF38" si="112">IF(L34=TRUE,1,0)</f>
        <v>0</v>
      </c>
      <c r="AG34" s="206" t="n">
        <f t="shared" ref="AG34:AG38" si="113">IF(M34=TRUE,1,0)</f>
        <v>0</v>
      </c>
      <c r="AH34" s="206" t="n">
        <f t="shared" ref="AH34:AH38" si="114">IF(N34=TRUE,1,0)</f>
        <v>0</v>
      </c>
      <c r="AI34" s="206" t="n">
        <f t="shared" ref="AI34:AI38" si="115">IF(O34=TRUE,1,0)</f>
        <v>0</v>
      </c>
      <c r="AJ34" s="206" t="n">
        <f t="shared" ref="AJ34:AJ38" si="116">IF(P34=TRUE,1,0)</f>
        <v>0</v>
      </c>
      <c r="AK34" s="206" t="n">
        <f t="shared" ref="AK34:AK38" si="117">IF(Q34=TRUE,1,0)</f>
        <v>0</v>
      </c>
      <c r="AL34" s="206" t="n">
        <f t="shared" ref="AL34:AL38" si="118">IF(R34=TRUE,1,0)</f>
        <v>0</v>
      </c>
      <c r="AM34" t="n">
        <f>IF(LEN(TRIM(W34))&gt;0,1,0)</f>
        <v>0</v>
      </c>
    </row>
    <row r="35" spans="1:38" s="205" customFormat="1" ht="38">
      <c r="A35" s="199"/>
      <c r="B35" s="219" t="str">
        <f>IF(ISBLANK('ONR 5'!B8),"",'ONR 5'!B8)</f>
        <v>5.2</v>
      </c>
      <c r="C35" s="218" t="str">
        <f>IF(ISBLANK('ONR 5'!C8),"",'ONR 5'!C8)</f>
        <v>Faire connaître et soutenir les initiatives des équipes qui encouragent l’engagement, la coopération entre services et le bien-être au travail.</v>
      </c>
      <c r="D35" s="231" t="str">
        <f>IF(ISBLANK('ONR 5'!D8),"",'ONR 5'!D8)</f>
      </c>
      <c r="E35" s="272" t="str">
        <f>IF(ISBLANK('ONR 5'!E8),"",'ONR 5'!E8)</f>
      </c>
      <c r="F35" s="279" t="str">
        <f>IF(ISBLANK('ONR 5'!F8),"",'ONR 5'!F8)</f>
      </c>
      <c r="G35" s="207" t="str">
        <f>IF(ISBLANK('ONR 5'!G8),"",'ONR 5'!G8)</f>
      </c>
      <c r="H35" s="216" t="str">
        <f>IF(ISBLANK('ONR 5'!H8),"",'ONR 5'!H8)</f>
      </c>
      <c r="I35" s="224" t="str">
        <f>IF(ISBLANK('ONR 5'!I8),"",'ONR 5'!I8)</f>
      </c>
      <c r="J35" s="220" t="str">
        <f t="shared" si="84">IF(ISBLANK('ONR 5'!J8),"",'ONR 5'!J8)</f>
      </c>
      <c r="K38" s="233" t="str">
        <f t="shared" si="105"/>
      </c>
      <c r="L38" s="233" t="b">
        <f t="shared" ref="L38:L38" si="119">OR(K35=31)</f>
        <v>0</v>
      </c>
      <c r="M35" s="233" t="b">
        <f t="shared" ref="M35:M38" si="120">IF(ISBLANK('ONR 5'!M8),"",'ONR 5'!M8)</f>
        <v>0</v>
      </c>
      <c r="N35" s="233" t="b">
        <f t="shared" ref="N35:N38" si="121">IF(ISBLANK('ONR 5'!N8),"",'ONR 5'!N8)</f>
        <v>0</v>
      </c>
      <c r="O35" s="233" t="b">
        <f t="shared" ref="O35:O38" si="122">IF(ISBLANK('ONR 5'!O8),"",'ONR 5'!O8)</f>
        <v>0</v>
      </c>
      <c r="P35" s="233" t="b">
        <f t="shared" ref="P35:P38" si="123">IF(ISBLANK('ONR 5'!P8),"",'ONR 5'!P8)</f>
        <v>0</v>
      </c>
      <c r="Q35" s="233" t="b">
        <f t="shared" ref="Q35:Q38" si="124">IF(ISBLANK('ONR 5'!Q8),"",'ONR 5'!Q8)</f>
        <v>0</v>
      </c>
      <c r="R35" s="233" t="b">
        <f t="shared" ref="R35:R38" si="125">IF(ISBLANK('ONR 5'!R8),"",'ONR 5'!R8)</f>
        <v>0</v>
      </c>
      <c r="S35" s="234" t="str">
        <f t="shared" si="106">IF(ISBLANK('ONR 5'!S8),"",'ONR 5'!S8)</f>
      </c>
      <c r="T38" s="232" t="str">
        <f t="shared" si="107"/>
      </c>
      <c r="U38" s="243" t="str">
        <f t="shared" si="108"/>
      </c>
      <c r="V38" s="235" t="str">
        <f t="shared" si="109"/>
      </c>
      <c r="W38" s="142" t="str">
        <f>'ONR 5'!V8</f>
      </c>
      <c r="W35" t="str" s="203">
        <f>IF(ISBLANK('ONR 5'!V8),"",'ONR 5'!V8)</f>
      </c>
      <c r="X35" s="204" t="str">
        <f>IF(ISBLANK('ONR 5'!W8),"",'ONR 5'!W8)</f>
      </c>
      <c r="Y35" s="258" t="str">
        <f t="shared" si="110">IF(ISBLANK('ONR 5'!I8),"",'ONR 5'!I8)</f>
      </c>
      <c r="Z38" s="256" t="str">
        <f t="shared" ref="Z38:Z38" si="126">D35</f>
      </c>
      <c r="Z35" t="str" s="256">
        <f>IF(ISBLANK('ONR 5'!D8),"",'ONR 5'!D8)</f>
      </c>
      <c r="AE35" s="206" t="n">
        <f t="shared" si="111">IF(ISNUMBER(T35),0,1)</f>
        <v>1</v>
      </c>
      <c r="AF35" s="206" t="n">
        <f t="shared" si="112">IF(L35=TRUE,1,0)</f>
        <v>0</v>
      </c>
      <c r="AG35" s="206" t="n">
        <f t="shared" si="113">IF(M35=TRUE,1,0)</f>
        <v>0</v>
      </c>
      <c r="AH35" s="206" t="n">
        <f t="shared" si="114">IF(N35=TRUE,1,0)</f>
        <v>0</v>
      </c>
      <c r="AI35" s="206" t="n">
        <f t="shared" si="115">IF(O35=TRUE,1,0)</f>
        <v>0</v>
      </c>
      <c r="AJ35" s="206" t="n">
        <f t="shared" si="116">IF(P35=TRUE,1,0)</f>
        <v>0</v>
      </c>
      <c r="AK35" s="206" t="n">
        <f t="shared" si="117">IF(Q35=TRUE,1,0)</f>
        <v>0</v>
      </c>
      <c r="AL35" s="206" t="n">
        <f t="shared" si="118">IF(R35=TRUE,1,0)</f>
        <v>0</v>
      </c>
      <c r="AM35" t="n">
        <f>IF(LEN(TRIM(W35))&gt;0,1,0)</f>
        <v>0</v>
      </c>
    </row>
    <row r="36" spans="1:38" s="205" customFormat="1" ht="38">
      <c r="A36" s="199"/>
      <c r="B36" s="219" t="str">
        <f>IF(ISBLANK('ONR 5'!B9),"",'ONR 5'!B9)</f>
        <v>5.3</v>
      </c>
      <c r="C36" s="218" t="str">
        <f>IF(ISBLANK('ONR 5'!C9),"",'ONR 5'!C9)</f>
        <v>Faire participer les personnes et les organisations concernées. S’appuyer sur leurs connaissances des questions d’environnement, de conditions de vie et de société.</v>
      </c>
      <c r="D36" s="231" t="str">
        <f>IF(ISBLANK('ONR 5'!D9),"",'ONR 5'!D9)</f>
      </c>
      <c r="E36" s="272" t="str">
        <f>IF(ISBLANK('ONR 5'!E9),"",'ONR 5'!E9)</f>
      </c>
      <c r="F36" s="279" t="str">
        <f>IF(ISBLANK('ONR 5'!F9),"",'ONR 5'!F9)</f>
      </c>
      <c r="G36" s="207" t="str">
        <f>IF(ISBLANK('ONR 5'!G9),"",'ONR 5'!G9)</f>
      </c>
      <c r="H36" s="216" t="str">
        <f>IF(ISBLANK('ONR 5'!H9),"",'ONR 5'!H9)</f>
      </c>
      <c r="I36" s="224" t="str">
        <f>IF(ISBLANK('ONR 5'!I9),"",'ONR 5'!I9)</f>
      </c>
      <c r="J36" s="220" t="str">
        <f t="shared" si="84">IF(ISBLANK('ONR 5'!J9),"",'ONR 5'!J9)</f>
      </c>
      <c r="K39" s="233" t="str">
        <f t="shared" si="105"/>
      </c>
      <c r="K36" t="str" s="233">
        <f>IF(ISBLANK('ONR 5'!K9),"",'ONR 5'!K9)</f>
      </c>
      <c r="L39" s="233" t="b">
        <f t="shared" si="119"/>
        <v>0</v>
      </c>
      <c r="L36" t="b" s="233">
        <f>IF(ISBLANK('ONR 5'!L9),"",'ONR 5'!L9)</f>
        <v>0</v>
      </c>
      <c r="M39" s="233" t="b">
        <f t="shared" si="120"/>
        <v>0</v>
      </c>
      <c r="M36" t="b" s="233">
        <f>IF(ISBLANK('ONR 5'!M9),"",'ONR 5'!M9)</f>
        <v>0</v>
      </c>
      <c r="N39" s="233" t="b">
        <f t="shared" si="121"/>
        <v>0</v>
      </c>
      <c r="N36" t="b" s="233">
        <f>IF(ISBLANK('ONR 5'!N9),"",'ONR 5'!N9)</f>
        <v>0</v>
      </c>
      <c r="O39" s="233" t="b">
        <f t="shared" si="122"/>
        <v>0</v>
      </c>
      <c r="O36" t="b" s="233">
        <f>IF(ISBLANK('ONR 5'!O9),"",'ONR 5'!O9)</f>
        <v>0</v>
      </c>
      <c r="P39" s="233" t="b">
        <f t="shared" si="123"/>
        <v>0</v>
      </c>
      <c r="P36" t="b" s="233">
        <f>IF(ISBLANK('ONR 5'!P9),"",'ONR 5'!P9)</f>
        <v>0</v>
      </c>
      <c r="Q39" s="233" t="b">
        <f t="shared" si="124"/>
        <v>0</v>
      </c>
      <c r="Q36" t="b" s="233">
        <f>IF(ISBLANK('ONR 5'!Q9),"",'ONR 5'!Q9)</f>
        <v>0</v>
      </c>
      <c r="R39" s="233" t="b">
        <f t="shared" si="125"/>
        <v>0</v>
      </c>
      <c r="R36" t="b" s="233">
        <f>IF(ISBLANK('ONR 5'!R9),"",'ONR 5'!R9)</f>
        <v>0</v>
      </c>
      <c r="S39" s="234" t="str">
        <f t="shared" si="106"/>
      </c>
      <c r="S36" t="str" s="234">
        <f>IF(ISBLANK('ONR 5'!S9),"",'ONR 5'!S9)</f>
      </c>
      <c r="T39" s="232" t="str">
        <f t="shared" si="107"/>
      </c>
      <c r="T36" t="str" s="232">
        <f>IF(ISBLANK('ONR 5'!T9),"",'ONR 5'!T9)</f>
      </c>
      <c r="U39" s="243" t="str">
        <f t="shared" si="108"/>
      </c>
      <c r="U36" t="str" s="243">
        <f>IF(ISBLANK('ONR 5'!U9),"",'ONR 5'!U9)</f>
      </c>
      <c r="V39" s="235" t="str">
        <f t="shared" si="109"/>
      </c>
      <c r="V36" t="str" s="235">
        <f>IF(ISBLANK('ONR 5'!G9),"",'ONR 5'!G9)</f>
      </c>
      <c r="W39" s="142" t="str">
        <f>'ONR 5'!V9</f>
      </c>
      <c r="W36" t="str" s="142">
        <f>IF(ISBLANK('ONR 5'!V9),"",'ONR 5'!V9)</f>
      </c>
      <c r="X36" s="204" t="str">
        <f>IF(ISBLANK('ONR 5'!W9),"",'ONR 5'!W9)</f>
      </c>
      <c r="Y36" s="258" t="str">
        <f t="shared" si="110">IF(ISBLANK('ONR 5'!I9),"",'ONR 5'!I9)</f>
      </c>
      <c r="Z36" s="256" t="str">
        <f t="shared" si="126">IF(ISBLANK('ONR 5'!D9),"",'ONR 5'!D9)</f>
      </c>
      <c r="AE36" s="206" t="n">
        <f t="shared" si="111">IF(ISNUMBER(T36),0,1)</f>
        <v>1</v>
      </c>
      <c r="AF36" s="206" t="n">
        <f t="shared" si="112">IF(L36=TRUE,1,0)</f>
        <v>0</v>
      </c>
      <c r="AG36" s="206" t="n">
        <f t="shared" si="113">IF(M36=TRUE,1,0)</f>
        <v>0</v>
      </c>
      <c r="AH36" s="206" t="n">
        <f t="shared" si="114">IF(N36=TRUE,1,0)</f>
        <v>0</v>
      </c>
      <c r="AI36" s="206" t="n">
        <f t="shared" si="115">IF(O36=TRUE,1,0)</f>
        <v>0</v>
      </c>
      <c r="AJ36" s="206" t="n">
        <f t="shared" si="116">IF(P36=TRUE,1,0)</f>
        <v>0</v>
      </c>
      <c r="AK36" s="206" t="n">
        <f t="shared" si="117">IF(Q36=TRUE,1,0)</f>
        <v>0</v>
      </c>
      <c r="AL36" s="206" t="n">
        <f t="shared" si="118">IF(R36=TRUE,1,0)</f>
        <v>0</v>
      </c>
      <c r="AM36" t="n">
        <f>IF(LEN(TRIM(W36))&gt;0,1,0)</f>
        <v>0</v>
      </c>
    </row>
    <row r="37" spans="1:38" s="205" customFormat="1" ht="57">
      <c r="A37" s="199"/>
      <c r="B37" s="219" t="str">
        <f>IF(ISBLANK('ONR 5'!B10),"",'ONR 5'!B10)</f>
        <v>5.4</v>
      </c>
      <c r="C37" s="218" t="str">
        <f>IF(ISBLANK('ONR 5'!C10),"",'ONR 5'!C10)</f>
        <v>Permettre aux générations futures d’innover pour mieux vivre ensemble, s’ouvrir aux autres et préserver l’équilibre de la nature.</v>
      </c>
      <c r="D37" s="231" t="str">
        <f>IF(ISBLANK('ONR 5'!D10),"",'ONR 5'!D10)</f>
      </c>
      <c r="E37" s="272" t="str">
        <f>IF(ISBLANK('ONR 5'!E10),"",'ONR 5'!E10)</f>
      </c>
      <c r="F37" s="279" t="str">
        <f>IF(ISBLANK('ONR 5'!F10),"",'ONR 5'!F10)</f>
      </c>
      <c r="G37" s="207" t="str">
        <f>IF(ISBLANK('ONR 5'!G10),"",'ONR 5'!G10)</f>
      </c>
      <c r="H37" s="216" t="str">
        <f>IF(ISBLANK('ONR 5'!H10),"",'ONR 5'!H10)</f>
      </c>
      <c r="I37" s="224" t="str">
        <f>IF(ISBLANK('ONR 5'!I10),"",'ONR 5'!I10)</f>
      </c>
      <c r="J37" s="220" t="str">
        <f t="shared" si="84">IF(ISBLANK('ONR 5'!J10),"",'ONR 5'!J10)</f>
      </c>
      <c r="K37" s="233" t="str">
        <f t="shared" ref="K37:K38" si="105">IF(ISBLANK('ONR 5'!K10),"",'ONR 5'!K10)</f>
      </c>
      <c r="L37" s="233" t="b">
        <f t="shared" si="119">IF(ISBLANK('ONR 5'!L10),"",'ONR 5'!L10)</f>
        <v>0</v>
      </c>
      <c r="M37" s="233" t="b">
        <f t="shared" si="120">IF(ISBLANK('ONR 5'!M10),"",'ONR 5'!M10)</f>
        <v>0</v>
      </c>
      <c r="N37" s="233" t="b">
        <f t="shared" si="121">IF(ISBLANK('ONR 5'!N10),"",'ONR 5'!N10)</f>
        <v>0</v>
      </c>
      <c r="O37" s="233" t="b">
        <f t="shared" si="122">IF(ISBLANK('ONR 5'!O10),"",'ONR 5'!O10)</f>
        <v>0</v>
      </c>
      <c r="P37" s="233" t="b">
        <f t="shared" si="123">IF(ISBLANK('ONR 5'!P10),"",'ONR 5'!P10)</f>
        <v>0</v>
      </c>
      <c r="Q37" s="233" t="b">
        <f t="shared" si="124">IF(ISBLANK('ONR 5'!Q10),"",'ONR 5'!Q10)</f>
        <v>0</v>
      </c>
      <c r="R37" s="233" t="b">
        <f t="shared" si="125">IF(ISBLANK('ONR 5'!R10),"",'ONR 5'!R10)</f>
        <v>0</v>
      </c>
      <c r="S37" s="234" t="str">
        <f t="shared" si="106">IF(ISBLANK('ONR 5'!S10),"",'ONR 5'!S10)</f>
      </c>
      <c r="T37" s="232" t="str">
        <f t="shared" si="107">IF(ISBLANK('ONR 5'!T10),"",'ONR 5'!T10)</f>
      </c>
      <c r="U37" s="243" t="str">
        <f t="shared" si="108">IF(ISBLANK('ONR 5'!U10),"",'ONR 5'!U10)</f>
      </c>
      <c r="V37" s="235" t="str">
        <f t="shared" si="109">IF(ISBLANK('ONR 5'!G10),"",'ONR 5'!G10)</f>
      </c>
      <c r="W37" s="142" t="str">
        <f>IF(ISBLANK('ONR 5'!V10),"",'ONR 5'!V10)</f>
      </c>
      <c r="X37" s="204" t="str">
        <f>IF(ISBLANK('ONR 5'!W10),"",'ONR 5'!W10)</f>
      </c>
      <c r="Y37" s="258" t="str">
        <f t="shared" si="110">IF(ISBLANK('ONR 5'!I10),"",'ONR 5'!I10)</f>
      </c>
      <c r="Z37" s="256" t="str">
        <f t="shared" si="126">IF(ISBLANK('ONR 5'!D10),"",'ONR 5'!D10)</f>
      </c>
      <c r="AE37" s="206" t="n">
        <f t="shared" si="111">IF(ISNUMBER(T37),0,1)</f>
        <v>1</v>
      </c>
      <c r="AF37" s="206" t="n">
        <f t="shared" si="112">IF(L37=TRUE,1,0)</f>
        <v>0</v>
      </c>
      <c r="AG37" s="206" t="n">
        <f t="shared" si="113">IF(M37=TRUE,1,0)</f>
        <v>0</v>
      </c>
      <c r="AH37" s="206" t="n">
        <f t="shared" si="114">IF(N37=TRUE,1,0)</f>
        <v>0</v>
      </c>
      <c r="AI37" s="206" t="n">
        <f t="shared" si="115">IF(O37=TRUE,1,0)</f>
        <v>0</v>
      </c>
      <c r="AJ37" s="206" t="n">
        <f t="shared" si="116">IF(P37=TRUE,1,0)</f>
        <v>0</v>
      </c>
      <c r="AK37" s="206" t="n">
        <f t="shared" si="117">IF(Q37=TRUE,1,0)</f>
        <v>0</v>
      </c>
      <c r="AL37" s="206" t="n">
        <f t="shared" si="118">IF(R37=TRUE,1,0)</f>
        <v>0</v>
      </c>
      <c r="AM37" t="n">
        <f>IF(LEN(TRIM(W37))&gt;0,1,0)</f>
        <v>0</v>
      </c>
    </row>
    <row r="38" spans="1:38" s="205" customFormat="1" ht="19">
      <c r="A38" s="199"/>
      <c r="B38" s="219" t="str">
        <f>IF(ISBLANK('ONR 5'!B11),"",'ONR 5'!B11)</f>
        <v>5.5</v>
      </c>
      <c r="C38" s="218" t="str">
        <f>IF(ISBLANK('ONR 5'!C11),"",'ONR 5'!C11)</f>
        <v>Suivre les résultats obtenus et le respect des règles à l’aide d’indicateurs.</v>
      </c>
      <c r="D38" s="231" t="str">
        <f>IF(ISBLANK('ONR 5'!D11),"",'ONR 5'!D11)</f>
      </c>
      <c r="E38" s="268" t="str">
        <f>IF(ISBLANK('ONR 5'!E11),"",'ONR 5'!E11)</f>
      </c>
      <c r="F38" s="275" t="str">
        <f>IF(ISBLANK('ONR 5'!F11),"",'ONR 5'!F11)</f>
      </c>
      <c r="G38" s="207" t="str">
        <f>IF(ISBLANK('ONR 5'!G11),"",'ONR 5'!G11)</f>
      </c>
      <c r="H38" s="201" t="str">
        <f>IF(ISBLANK('ONR 5'!H11),"",'ONR 5'!H11)</f>
      </c>
      <c r="I38" s="224" t="str">
        <f>IF(ISBLANK('ONR 5'!I11),"",'ONR 5'!I11)</f>
      </c>
      <c r="J38" s="219" t="str">
        <f t="shared" si="84">IF(ISBLANK('ONR 5'!J11),"",'ONR 5'!J11)</f>
      </c>
      <c r="K38" s="233" t="str">
        <f t="shared" si="105">IF(ISBLANK('ONR 5'!K11),"",'ONR 5'!K11)</f>
      </c>
      <c r="L38" s="233" t="b">
        <f t="shared" ref="L37:L38" si="119">IF(ISBLANK('ONR 5'!L11),"",'ONR 5'!L11)</f>
        <v>0</v>
      </c>
      <c r="M38" s="233" t="b">
        <f t="shared" si="120">IF(ISBLANK('ONR 5'!M11),"",'ONR 5'!M11)</f>
        <v>0</v>
      </c>
      <c r="N38" s="233" t="b">
        <f t="shared" si="121">IF(ISBLANK('ONR 5'!N11),"",'ONR 5'!N11)</f>
        <v>0</v>
      </c>
      <c r="O38" s="233" t="b">
        <f t="shared" si="122">IF(ISBLANK('ONR 5'!O11),"",'ONR 5'!O11)</f>
        <v>0</v>
      </c>
      <c r="P38" s="233" t="b">
        <f t="shared" si="123">IF(ISBLANK('ONR 5'!P11),"",'ONR 5'!P11)</f>
        <v>0</v>
      </c>
      <c r="Q38" s="233" t="b">
        <f t="shared" si="124">IF(ISBLANK('ONR 5'!Q11),"",'ONR 5'!Q11)</f>
        <v>0</v>
      </c>
      <c r="R38" s="233" t="b">
        <f t="shared" si="125">IF(ISBLANK('ONR 5'!R11),"",'ONR 5'!R11)</f>
        <v>0</v>
      </c>
      <c r="S38" s="234" t="str">
        <f t="shared" si="106">IF(ISBLANK('ONR 5'!S11),"",'ONR 5'!S11)</f>
      </c>
      <c r="T38" s="232" t="str">
        <f t="shared" si="107">IF(ISBLANK('ONR 5'!T11),"",'ONR 5'!T11)</f>
      </c>
      <c r="U38" s="243" t="str">
        <f t="shared" si="108">IF(ISBLANK('ONR 5'!U11),"",'ONR 5'!U11)</f>
      </c>
      <c r="V38" s="235" t="str">
        <f t="shared" si="109">IF(ISBLANK('ONR 5'!G11),"",'ONR 5'!G11)</f>
      </c>
      <c r="W38" s="142" t="str">
        <f>IF(ISBLANK('ONR 5'!V11),"",'ONR 5'!V11)</f>
      </c>
      <c r="X38" s="204" t="str">
        <f>IF(ISBLANK('ONR 5'!W11),"",'ONR 5'!W11)</f>
      </c>
      <c r="Y38" s="258" t="str">
        <f t="shared" si="110">IF(ISBLANK('ONR 5'!I11),"",'ONR 5'!I11)</f>
      </c>
      <c r="Z38" s="236" t="str">
        <f t="shared" ref="Z36:Z38" si="126">IF(ISBLANK('ONR 5'!D11),"",'ONR 5'!D11)</f>
      </c>
      <c r="AE38" s="206" t="n">
        <f t="shared" si="111">IF(ISNUMBER(T38),0,1)</f>
        <v>1</v>
      </c>
      <c r="AF38" s="206" t="n">
        <f t="shared" si="112">IF(L38=TRUE,1,0)</f>
        <v>0</v>
      </c>
      <c r="AG38" s="206" t="n">
        <f t="shared" si="113">IF(M38=TRUE,1,0)</f>
        <v>0</v>
      </c>
      <c r="AH38" s="206" t="n">
        <f t="shared" si="114">IF(N38=TRUE,1,0)</f>
        <v>0</v>
      </c>
      <c r="AI38" s="206" t="n">
        <f t="shared" si="115">IF(O38=TRUE,1,0)</f>
        <v>0</v>
      </c>
      <c r="AJ38" s="206" t="n">
        <f t="shared" si="116">IF(P38=TRUE,1,0)</f>
        <v>0</v>
      </c>
      <c r="AK38" s="206" t="n">
        <f t="shared" si="117">IF(Q38=TRUE,1,0)</f>
        <v>0</v>
      </c>
      <c r="AL38" s="206" t="n">
        <f t="shared" si="118">IF(R38=TRUE,1,0)</f>
        <v>0</v>
      </c>
      <c r="AM38" t="n">
        <f>IF(LEN(TRIM(W38))&gt;0,1,0)</f>
        <v>0</v>
      </c>
    </row>
    <row r="39" spans="1:38" ht="38">
      <c r="B39" s="219" t="str">
        <f>IF(ISBLANK('ONR 5'!B12),"",'ONR 5'!B12)</f>
        <v>5.6</v>
      </c>
      <c r="C39" s="218" t="str">
        <f>IF(ISBLANK('ONR 5'!C12),"",'ONR 5'!C12)</f>
        <v>Proposer des améliorations et de nouvelles idées pour un numérique responsable, y compris des solutions sans outils numériques.</v>
      </c>
      <c r="D39" s="231" t="str">
        <f>IF(ISBLANK('ONR 5'!D12),"",'ONR 5'!D12)</f>
      </c>
      <c r="E39" s="268" t="str">
        <f>IF(ISBLANK('ONR 5'!E12),"",'ONR 5'!E12)</f>
      </c>
      <c r="F39" s="275" t="str">
        <f>IF(ISBLANK('ONR 5'!F12),"",'ONR 5'!F12)</f>
      </c>
      <c r="G39" s="207" t="str">
        <f>IF(ISBLANK('ONR 5'!G12),"",'ONR 5'!G12)</f>
      </c>
      <c r="H39" s="201" t="str">
        <f>IF(ISBLANK('ONR 5'!H12),"",'ONR 5'!H12)</f>
      </c>
      <c r="I39" s="224" t="str">
        <f>IF(ISBLANK('ONR 5'!I12),"",'ONR 5'!I12)</f>
      </c>
      <c r="J39" s="219" t="str">
        <f t="shared" ref="J39" si="127">IF(ISBLANK('ONR 5'!J12),"",'ONR 5'!J12)</f>
      </c>
      <c r="K39" s="233" t="str">
        <f t="shared" ref="K39" si="128">IF(ISBLANK('ONR 5'!K12),"",'ONR 5'!K12)</f>
      </c>
      <c r="L39" s="233" t="b">
        <f t="shared" ref="L39" si="129">IF(ISBLANK('ONR 5'!L12),"",'ONR 5'!L12)</f>
        <v>0</v>
      </c>
      <c r="M39" s="233" t="b">
        <f t="shared" ref="M39" si="130">IF(ISBLANK('ONR 5'!M12),"",'ONR 5'!M12)</f>
        <v>0</v>
      </c>
      <c r="N39" s="233" t="b">
        <f t="shared" ref="N39" si="131">IF(ISBLANK('ONR 5'!N12),"",'ONR 5'!N12)</f>
        <v>0</v>
      </c>
      <c r="O39" s="233" t="b">
        <f t="shared" ref="O39" si="132">IF(ISBLANK('ONR 5'!O12),"",'ONR 5'!O12)</f>
        <v>0</v>
      </c>
      <c r="P39" s="233" t="b">
        <f t="shared" ref="P39" si="133">IF(ISBLANK('ONR 5'!P12),"",'ONR 5'!P12)</f>
        <v>0</v>
      </c>
      <c r="Q39" s="233" t="b">
        <f t="shared" ref="Q39" si="134">IF(ISBLANK('ONR 5'!Q12),"",'ONR 5'!Q12)</f>
        <v>0</v>
      </c>
      <c r="R39" s="233" t="b">
        <f t="shared" ref="R39" si="135">IF(ISBLANK('ONR 5'!R12),"",'ONR 5'!R12)</f>
        <v>0</v>
      </c>
      <c r="S39" s="234" t="str">
        <f t="shared" ref="S39" si="136">IF(ISBLANK('ONR 5'!S12),"",'ONR 5'!S12)</f>
      </c>
      <c r="T39" s="232" t="str">
        <f t="shared" ref="T39" si="137">IF(ISBLANK('ONR 5'!T12),"",'ONR 5'!T12)</f>
      </c>
      <c r="U39" s="243" t="str">
        <f t="shared" ref="U39" si="138">IF(ISBLANK('ONR 5'!U12),"",'ONR 5'!U12)</f>
      </c>
      <c r="V39" s="235" t="str">
        <f t="shared" ref="V39" si="139">IF(ISBLANK('ONR 5'!G12),"",'ONR 5'!G12)</f>
      </c>
      <c r="W39" s="142" t="str">
        <f>IF(ISBLANK('ONR 5'!V12),"",'ONR 5'!V12)</f>
      </c>
      <c r="X39" s="204" t="str">
        <f>IF(ISBLANK('ONR 5'!W12),"",'ONR 5'!W12)</f>
      </c>
      <c r="Y39" s="258" t="str">
        <f t="shared" ref="Y39" si="140">IF(ISBLANK('ONR 5'!I12),"",'ONR 5'!I12)</f>
      </c>
      <c r="Z39" s="236" t="str">
        <f t="shared" ref="Z39" si="141">IF(ISBLANK('ONR 5'!D12),"",'ONR 5'!D12)</f>
      </c>
      <c r="AE39" s="206" t="n">
        <f t="shared" ref="AE39" si="142">IF(ISNUMBER(T39),0,1)</f>
        <v>1</v>
      </c>
      <c r="AF39" s="206" t="n">
        <f t="shared" ref="AF39" si="143">IF(L39=TRUE,1,0)</f>
        <v>0</v>
      </c>
      <c r="AG39" s="206" t="n">
        <f t="shared" ref="AG39" si="144">IF(M39=TRUE,1,0)</f>
        <v>0</v>
      </c>
      <c r="AH39" s="206" t="n">
        <f t="shared" ref="AH39" si="145">IF(N39=TRUE,1,0)</f>
        <v>0</v>
      </c>
      <c r="AI39" s="206" t="n">
        <f t="shared" ref="AI39" si="146">IF(O39=TRUE,1,0)</f>
        <v>0</v>
      </c>
      <c r="AJ39" s="206" t="n">
        <f t="shared" ref="AJ39" si="147">IF(P39=TRUE,1,0)</f>
        <v>0</v>
      </c>
      <c r="AK39" s="206" t="n">
        <f t="shared" ref="AK39" si="148">IF(Q39=TRUE,1,0)</f>
        <v>0</v>
      </c>
      <c r="AL39" s="206" t="n">
        <f t="shared" ref="AL39" si="149">IF(R39=TRUE,1,0)</f>
        <v>0</v>
      </c>
      <c r="AM39" t="n">
        <f>IF(LEN(TRIM(W39))&gt;0,1,0)</f>
        <v>0</v>
      </c>
    </row>
    <row r="40" spans="1:38" ht="38">
      <c r="B40" s="219" t="str">
        <f>IF(ISBLANK('ONR 5'!B13),"",'ONR 5'!B13)</f>
        <v>5.7</v>
      </c>
      <c r="C40" s="218" t="str">
        <f>IF(ISBLANK('ONR 5'!C13),"",'ONR 5'!C13)</f>
        <v>Décider avec les équipes comment utiliser l’intelligence artificielle. Les former à ses limites et préserver le sens de leur travail.</v>
      </c>
      <c r="D40" s="231" t="str">
        <f>IF(ISBLANK('ONR 5'!D13),"",'ONR 5'!D13)</f>
      </c>
      <c r="E40" s="268" t="str">
        <f>IF(ISBLANK('ONR 5'!E13),"",'ONR 5'!E13)</f>
      </c>
      <c r="F40" s="275" t="str">
        <f>IF(ISBLANK('ONR 5'!F13),"",'ONR 5'!F13)</f>
      </c>
      <c r="G40" s="207" t="str">
        <f>IF(ISBLANK('ONR 5'!G13),"",'ONR 5'!G13)</f>
      </c>
      <c r="H40" s="201" t="str">
        <f>IF(ISBLANK('ONR 5'!H13),"",'ONR 5'!H13)</f>
      </c>
      <c r="I40" s="224" t="str">
        <f>IF(ISBLANK('ONR 5'!I13),"",'ONR 5'!I13)</f>
      </c>
      <c r="J40" s="219" t="n">
        <f>IF(ISBLANK('ONR 5'!J13),"",'ONR 5'!J13)</f>
        <v>0</v>
      </c>
      <c r="K40" s="233" t="str">
        <f>IF(ISBLANK('ONR 5'!K13),"",'ONR 5'!K13)</f>
      </c>
      <c r="L40" s="233" t="b">
        <f>IF(ISBLANK('ONR 5'!L13),"",'ONR 5'!L13)</f>
        <v>0</v>
      </c>
      <c r="M40" s="233" t="b">
        <f>IF(ISBLANK('ONR 5'!M13),"",'ONR 5'!M13)</f>
        <v>0</v>
      </c>
      <c r="N40" s="233" t="b">
        <f>IF(ISBLANK('ONR 5'!N13),"",'ONR 5'!N13)</f>
        <v>0</v>
      </c>
      <c r="O40" s="233" t="b">
        <f>IF(ISBLANK('ONR 5'!O13),"",'ONR 5'!O13)</f>
        <v>0</v>
      </c>
      <c r="P40" s="233" t="b">
        <f>IF(ISBLANK('ONR 5'!P13),"",'ONR 5'!P13)</f>
        <v>0</v>
      </c>
      <c r="Q40" s="233" t="b">
        <f>IF(ISBLANK('ONR 5'!Q13),"",'ONR 5'!Q13)</f>
        <v>0</v>
      </c>
      <c r="R40" s="233" t="b">
        <f>IF(ISBLANK('ONR 5'!R13),"",'ONR 5'!R13)</f>
        <v>0</v>
      </c>
      <c r="S40" s="234" t="str">
        <f>IF(ISBLANK('ONR 5'!S13),"",'ONR 5'!S13)</f>
      </c>
      <c r="T40" s="232" t="str">
        <f>IF(ISBLANK('ONR 5'!T13),"",'ONR 5'!T13)</f>
      </c>
      <c r="U40" s="243" t="str">
        <f>IF(ISBLANK('ONR 5'!U13),"",'ONR 5'!U13)</f>
      </c>
      <c r="V40" s="235" t="str">
        <f>IF(ISBLANK('ONR 5'!G13),"",'ONR 5'!G13)</f>
      </c>
      <c r="W40" s="142" t="str">
        <f>IF(ISBLANK('ONR 5'!V13),"",'ONR 5'!V13)</f>
      </c>
      <c r="X40" s="204" t="str">
        <f>IF(ISBLANK('ONR 5'!W13),"",'ONR 5'!W13)</f>
      </c>
      <c r="Y40" s="258" t="str">
        <f>IF(ISBLANK('ONR 5'!I13),"",'ONR 5'!I13)</f>
      </c>
      <c r="Z40" s="236" t="str">
        <f>IF(ISBLANK('ONR 5'!D13),"",'ONR 5'!D13)</f>
      </c>
      <c r="AE40" s="206" t="n">
        <f>IF(ISNUMBER(T40),0,1)</f>
        <v>1</v>
      </c>
      <c r="AF40" s="206" t="n">
        <f>IF(L40=TRUE,1,0)</f>
        <v>0</v>
      </c>
      <c r="AG40" s="206" t="n">
        <f>IF(M40=TRUE,1,0)</f>
        <v>0</v>
      </c>
      <c r="AH40" s="206" t="n">
        <f>IF(N40=TRUE,1,0)</f>
        <v>0</v>
      </c>
      <c r="AI40" s="206" t="n">
        <f>IF(O40=TRUE,1,0)</f>
        <v>0</v>
      </c>
      <c r="AJ40" s="206" t="n">
        <f>IF(P40=TRUE,1,0)</f>
        <v>0</v>
      </c>
      <c r="AK40" s="206" t="n">
        <f>IF(Q40=TRUE,1,0)</f>
        <v>0</v>
      </c>
      <c r="AL40" s="206" t="n">
        <f>IF(R40=TRUE,1,0)</f>
        <v>0</v>
      </c>
      <c r="AM40" t="n">
        <f>IF(LEN(TRIM(W40))&gt;0,1,0)</f>
        <v>0</v>
      </c>
    </row>
  </sheetData>
  <mergeCells count="11">
    <mergeCell ref="B33:Z33"/>
    <mergeCell ref="Y2:Z2"/>
    <mergeCell ref="B2:C3"/>
    <mergeCell ref="D2:E2"/>
    <mergeCell ref="F2:G2"/>
    <mergeCell ref="H2:I2"/>
    <mergeCell ref="V2:X2"/>
    <mergeCell ref="B28:Z28"/>
    <mergeCell ref="B19:Z19"/>
    <mergeCell ref="B13:Z13"/>
    <mergeCell ref="B4:Z4"/>
  </mergeCells>
  <conditionalFormatting sqref="A1">
    <cfRule type="expression" dxfId="95" priority="5428">
      <formula>FIND("Réagir",B1)</formula>
    </cfRule>
    <cfRule type="expression" dxfId="94" priority="5423" stopIfTrue="1">
      <formula>ISTEXT(A1)</formula>
    </cfRule>
    <cfRule type="expression" dxfId="93" priority="5424">
      <formula>FIND("Agir",B1)</formula>
    </cfRule>
    <cfRule type="expression" dxfId="92" priority="5425">
      <formula>FIND("Réagir",B1)</formula>
    </cfRule>
    <cfRule type="expression" dxfId="91" priority="5426" stopIfTrue="1">
      <formula>ISTEXT(A1)</formula>
    </cfRule>
    <cfRule type="expression" dxfId="90" priority="5427">
      <formula>FIND("Agir",B1)</formula>
    </cfRule>
  </conditionalFormatting>
  <conditionalFormatting sqref="A1:A2">
    <cfRule type="expression" dxfId="89" priority="5414" stopIfTrue="1">
      <formula>ISTEXT(A1)</formula>
    </cfRule>
    <cfRule type="expression" dxfId="88" priority="5415">
      <formula>FIND("Agir",B1)</formula>
    </cfRule>
    <cfRule type="expression" dxfId="87" priority="5416">
      <formula>FIND("Réagir",B1)</formula>
    </cfRule>
  </conditionalFormatting>
  <conditionalFormatting sqref="A2">
    <cfRule type="expression" dxfId="86" priority="5409">
      <formula>FIND("Agir",B2)</formula>
    </cfRule>
    <cfRule type="expression" dxfId="85" priority="5413">
      <formula>FIND("Réagir",B2)</formula>
    </cfRule>
    <cfRule type="expression" dxfId="84" priority="5412">
      <formula>FIND("Agir",B2)</formula>
    </cfRule>
    <cfRule type="expression" dxfId="83" priority="5411" stopIfTrue="1">
      <formula>ISTEXT(A2)</formula>
    </cfRule>
    <cfRule type="expression" dxfId="82" priority="5410">
      <formula>FIND("Réagir",B2)</formula>
    </cfRule>
    <cfRule type="expression" dxfId="81" priority="5408" stopIfTrue="1">
      <formula>ISTEXT(A2)</formula>
    </cfRule>
  </conditionalFormatting>
  <conditionalFormatting sqref="D5:D12 D14:D18 D36:D40">
    <cfRule type="expression" dxfId="80" priority="5235">
      <formula>FIND("Conforter",F5)</formula>
    </cfRule>
  </conditionalFormatting>
  <conditionalFormatting sqref="D5:D12 D36:D40 V20:Z27 V29:Z32 D14:D18">
    <cfRule type="expression" dxfId="79" priority="5234" stopIfTrue="1">
      <formula>ISTEXT(D5)</formula>
    </cfRule>
  </conditionalFormatting>
  <conditionalFormatting sqref="D7:D12">
    <cfRule type="expression" dxfId="78" priority="5227">
      <formula>FIND("Conforter",F7)</formula>
    </cfRule>
    <cfRule type="expression" dxfId="77" priority="5226" stopIfTrue="1">
      <formula>ISTEXT(D7)</formula>
    </cfRule>
  </conditionalFormatting>
  <conditionalFormatting sqref="D8">
    <cfRule type="expression" dxfId="76" priority="350" stopIfTrue="1">
      <formula>ISTEXT(D8)</formula>
    </cfRule>
    <cfRule type="expression" dxfId="75" priority="351">
      <formula>FIND("Conforter",F8)</formula>
    </cfRule>
  </conditionalFormatting>
  <conditionalFormatting sqref="D14:D18 I14:I18 D20:D27 I20:I27 D29:D32 I29:I32 D34:D40 I34:I40">
    <cfRule type="expression" dxfId="74" priority="5554">
      <formula>FIND("Réagir",E13)</formula>
    </cfRule>
    <cfRule type="expression" dxfId="73" priority="5553">
      <formula>FIND("Agir",E13)</formula>
    </cfRule>
  </conditionalFormatting>
  <conditionalFormatting sqref="D20">
    <cfRule type="expression" dxfId="72" priority="5129">
      <formula>FIND("Conforter",F18)</formula>
    </cfRule>
    <cfRule type="expression" dxfId="71" priority="5128" stopIfTrue="1">
      <formula>ISTEXT(D18)</formula>
    </cfRule>
  </conditionalFormatting>
  <conditionalFormatting sqref="D20:D27 D29:D32 D34:D40">
    <cfRule type="expression" dxfId="70" priority="5497">
      <formula>FIND("Conforter",F18)</formula>
    </cfRule>
  </conditionalFormatting>
  <conditionalFormatting sqref="D20:D27">
    <cfRule type="expression" dxfId="69" priority="5118" stopIfTrue="1">
      <formula>ISTEXT(D18)</formula>
    </cfRule>
    <cfRule type="expression" dxfId="68" priority="5119">
      <formula>FIND("Conforter",F18)</formula>
    </cfRule>
  </conditionalFormatting>
  <conditionalFormatting sqref="D22:D25">
    <cfRule type="expression" dxfId="67" priority="5121">
      <formula>FIND("Conforter",F20)</formula>
    </cfRule>
    <cfRule type="expression" dxfId="66" priority="5120" stopIfTrue="1">
      <formula>ISTEXT(D20)</formula>
    </cfRule>
  </conditionalFormatting>
  <conditionalFormatting sqref="D23">
    <cfRule type="expression" dxfId="65" priority="4990" stopIfTrue="1">
      <formula>ISTEXT(D21)</formula>
    </cfRule>
    <cfRule type="expression" dxfId="64" priority="4991">
      <formula>FIND("Conforter",F21)</formula>
    </cfRule>
  </conditionalFormatting>
  <conditionalFormatting sqref="D29">
    <cfRule type="expression" dxfId="63" priority="4860" stopIfTrue="1">
      <formula>ISTEXT(D26)</formula>
    </cfRule>
    <cfRule type="expression" dxfId="62" priority="4861">
      <formula>FIND("Conforter",F26)</formula>
    </cfRule>
  </conditionalFormatting>
  <conditionalFormatting sqref="D34">
    <cfRule type="expression" dxfId="61" priority="4573">
      <formula>FIND("Conforter",F31)</formula>
    </cfRule>
    <cfRule type="expression" dxfId="60" priority="4572" stopIfTrue="1">
      <formula>ISTEXT(D31)</formula>
    </cfRule>
  </conditionalFormatting>
  <conditionalFormatting sqref="D34:D40 D20:D27 D29:D32">
    <cfRule type="expression" dxfId="59" priority="5496" stopIfTrue="1">
      <formula>ISTEXT(D18)</formula>
    </cfRule>
  </conditionalFormatting>
  <conditionalFormatting sqref="D38:D40">
    <cfRule type="expression" dxfId="58" priority="4435">
      <formula>FIND("Conforter",F35)</formula>
    </cfRule>
    <cfRule type="expression" dxfId="57" priority="4434" stopIfTrue="1">
      <formula>ISTEXT(D35)</formula>
    </cfRule>
  </conditionalFormatting>
  <conditionalFormatting sqref="F14:H18 F34:H40">
    <cfRule type="expression" dxfId="56" priority="7">
      <formula>FIND("Conforter",I13)</formula>
    </cfRule>
  </conditionalFormatting>
  <conditionalFormatting sqref="F20:H27 F29:H32">
    <cfRule type="expression" dxfId="55" priority="5547" stopIfTrue="1">
      <formula>ISTEXT(F18)</formula>
    </cfRule>
    <cfRule type="expression" dxfId="54" priority="5548">
      <formula>FIND("Conforter",I18)</formula>
    </cfRule>
  </conditionalFormatting>
  <conditionalFormatting sqref="F34:H40 F14:H18">
    <cfRule type="expression" dxfId="53" priority="6" stopIfTrue="1">
      <formula>ISTEXT(F13)</formula>
    </cfRule>
  </conditionalFormatting>
  <conditionalFormatting sqref="G14:H18 G29:H32 G34:H40 G20:H27">
    <cfRule type="expression" dxfId="52" priority="5545">
      <formula>FIND("Agir",I13)</formula>
    </cfRule>
    <cfRule type="expression" dxfId="51" priority="5546">
      <formula>FIND("Réagir",I13)</formula>
    </cfRule>
  </conditionalFormatting>
  <conditionalFormatting sqref="G20:H27">
    <cfRule type="expression" dxfId="50" priority="5150" stopIfTrue="1">
      <formula>ISTEXT(G18)</formula>
    </cfRule>
    <cfRule type="expression" dxfId="49" priority="5151">
      <formula>FIND("Conforter",J18)</formula>
    </cfRule>
  </conditionalFormatting>
  <conditionalFormatting sqref="G34:H40 G14:H18 G29:H32">
    <cfRule type="expression" dxfId="48" priority="5544" stopIfTrue="1">
      <formula>ISTEXT(G13)</formula>
    </cfRule>
  </conditionalFormatting>
  <conditionalFormatting sqref="G36:H40">
    <cfRule type="expression" dxfId="47" priority="5393">
      <formula>FIND("Conforter",J33)</formula>
    </cfRule>
  </conditionalFormatting>
  <conditionalFormatting sqref="G38:H40">
    <cfRule type="expression" dxfId="46" priority="4437">
      <formula>FIND("Conforter",J35)</formula>
    </cfRule>
  </conditionalFormatting>
  <conditionalFormatting sqref="G20:I27">
    <cfRule type="expression" dxfId="45" priority="5152" stopIfTrue="1">
      <formula>ISTEXT(G18)</formula>
    </cfRule>
  </conditionalFormatting>
  <conditionalFormatting sqref="G36:I40">
    <cfRule type="expression" dxfId="44" priority="4594" stopIfTrue="1">
      <formula>ISTEXT(G33)</formula>
    </cfRule>
  </conditionalFormatting>
  <conditionalFormatting sqref="G38:I40">
    <cfRule type="expression" dxfId="43" priority="4436" stopIfTrue="1">
      <formula>ISTEXT(G35)</formula>
    </cfRule>
  </conditionalFormatting>
  <conditionalFormatting sqref="H14:H18">
    <cfRule type="expression" dxfId="42" priority="5327" stopIfTrue="1">
      <formula>ISTEXT(H13)</formula>
    </cfRule>
    <cfRule type="expression" dxfId="41" priority="5328">
      <formula>FIND("Conforter",J13)</formula>
    </cfRule>
  </conditionalFormatting>
  <conditionalFormatting sqref="H29">
    <cfRule type="expression" dxfId="40" priority="4838">
      <formula>FIND("Conforter",J26)</formula>
    </cfRule>
    <cfRule type="expression" dxfId="39" priority="4837" stopIfTrue="1">
      <formula>ISTEXT(H26)</formula>
    </cfRule>
  </conditionalFormatting>
  <conditionalFormatting sqref="H34:H40">
    <cfRule type="expression" dxfId="38" priority="4" stopIfTrue="1">
      <formula>ISTEXT(H31)</formula>
    </cfRule>
    <cfRule type="expression" dxfId="37" priority="5">
      <formula>FIND("Conforter",K31)</formula>
    </cfRule>
    <cfRule type="expression" dxfId="36" priority="4550">
      <formula>FIND("Conforter",J31)</formula>
    </cfRule>
    <cfRule type="expression" dxfId="35" priority="4549" stopIfTrue="1">
      <formula>ISTEXT(H31)</formula>
    </cfRule>
  </conditionalFormatting>
  <conditionalFormatting sqref="I5:I12">
    <cfRule type="expression" dxfId="34" priority="2">
      <formula>FIND("Agir",J5)</formula>
    </cfRule>
    <cfRule type="expression" dxfId="33" priority="3">
      <formula>FIND("Réagir",J5)</formula>
    </cfRule>
    <cfRule type="expression" dxfId="32" priority="1" stopIfTrue="1">
      <formula>ISTEXT(I5)</formula>
    </cfRule>
  </conditionalFormatting>
  <conditionalFormatting sqref="I14:I18 I20:I27 I29:I32 I34:I40 D20:D27 D29:D32 D34:D40 D14:D18">
    <cfRule type="expression" dxfId="31" priority="5552" stopIfTrue="1">
      <formula>ISTEXT(D13)</formula>
    </cfRule>
  </conditionalFormatting>
  <conditionalFormatting sqref="I20:I27">
    <cfRule type="expression" dxfId="30" priority="5153">
      <formula>FIND("Agir",J18)</formula>
    </cfRule>
    <cfRule type="expression" dxfId="29" priority="5154">
      <formula>FIND("Réagir",J18)</formula>
    </cfRule>
  </conditionalFormatting>
  <conditionalFormatting sqref="I30:I32">
    <cfRule type="expression" dxfId="28" priority="4876">
      <formula>FIND("Réagir",J27)</formula>
    </cfRule>
    <cfRule type="expression" dxfId="27" priority="4875">
      <formula>FIND("Agir",J27)</formula>
    </cfRule>
    <cfRule type="expression" dxfId="26" priority="4874" stopIfTrue="1">
      <formula>ISTEXT(I27)</formula>
    </cfRule>
  </conditionalFormatting>
  <conditionalFormatting sqref="I35">
    <cfRule type="expression" dxfId="25" priority="4586" stopIfTrue="1">
      <formula>ISTEXT(I32)</formula>
    </cfRule>
    <cfRule type="expression" dxfId="24" priority="4588">
      <formula>FIND("Réagir",J32)</formula>
    </cfRule>
    <cfRule type="expression" dxfId="23" priority="4587">
      <formula>FIND("Agir",J32)</formula>
    </cfRule>
  </conditionalFormatting>
  <conditionalFormatting sqref="I38:I40">
    <cfRule type="expression" dxfId="22" priority="4439">
      <formula>FIND("Agir",J35)</formula>
    </cfRule>
    <cfRule type="expression" dxfId="21" priority="4440">
      <formula>FIND("Réagir",J35)</formula>
    </cfRule>
  </conditionalFormatting>
  <conditionalFormatting sqref="I5:J12 I20:J27 I29:J32 I34:J40 V20:Z27 V29:Z32 V3:Z3 V5:Z12 V14:Z18 V34:Y40 V1:V2 I3:J3 I14:I18">
    <cfRule type="containsText" dxfId="20" priority="5549" stopIfTrue="1" operator="containsText" text="Première">
      <formula>NOT(ISERROR(SEARCH("Première",I1)))</formula>
    </cfRule>
  </conditionalFormatting>
  <conditionalFormatting sqref="J5:J12 J14:J18 J20:J27 J29:J32 J34:J40">
    <cfRule type="containsText" dxfId="19" priority="5501" operator="containsText" text="Intervention prioritaire">
      <formula>NOT(ISERROR(SEARCH("Intervention prioritaire",J5)))</formula>
    </cfRule>
    <cfRule type="containsText" dxfId="18" priority="5502" stopIfTrue="1" operator="containsText" text="Non pertinent">
      <formula>NOT(ISERROR(SEARCH("Non pertinent",J5)))</formula>
    </cfRule>
    <cfRule type="containsText" dxfId="17" priority="5503" stopIfTrue="1" operator="containsText" text="consolidation">
      <formula>NOT(ISERROR(SEARCH("consolidation",J5)))</formula>
    </cfRule>
    <cfRule type="containsText" dxfId="16" priority="5504" stopIfTrue="1" operator="containsText" text="Non Prioritaire">
      <formula>NOT(ISERROR(SEARCH("Non Prioritaire",J5)))</formula>
    </cfRule>
    <cfRule type="containsText" dxfId="15" priority="5505" stopIfTrue="1" operator="containsText" text="Urgent">
      <formula>NOT(ISERROR(SEARCH("Urgent",J5)))</formula>
    </cfRule>
    <cfRule type="containsText" dxfId="14" priority="5506" stopIfTrue="1" operator="containsText" text="moyen">
      <formula>NOT(ISERROR(SEARCH("moyen",J5)))</formula>
    </cfRule>
    <cfRule type="containsText" dxfId="13" priority="5507" stopIfTrue="1" operator="containsText" text="long">
      <formula>NOT(ISERROR(SEARCH("long",J5)))</formula>
    </cfRule>
  </conditionalFormatting>
  <conditionalFormatting sqref="J6:J12 J20:J27 J29:J32 J34:J40">
    <cfRule type="containsText" dxfId="12" priority="5541" stopIfTrue="1" operator="containsText" text="Non">
      <formula>NOT(ISERROR(SEARCH("Non",J6)))</formula>
    </cfRule>
  </conditionalFormatting>
  <conditionalFormatting sqref="V1:V2 I3:J3 I5:J12 I14:I18 I20:J27 I29:J32 I34:J40">
    <cfRule type="containsText" dxfId="11" priority="5551" stopIfTrue="1" operator="containsText" text="Terme">
      <formula>NOT(ISERROR(SEARCH("Terme",I1)))</formula>
    </cfRule>
    <cfRule type="containsText" dxfId="10" priority="5550" stopIfTrue="1" operator="containsText" text="Seconde">
      <formula>NOT(ISERROR(SEARCH("Seconde",I1)))</formula>
    </cfRule>
  </conditionalFormatting>
  <conditionalFormatting sqref="V3:Z3 V5:Z12 V14:Z18 V20:Z27 V29:Z32 V34:Y40">
    <cfRule type="containsText" dxfId="9" priority="94" stopIfTrue="1" operator="containsText" text="Terme">
      <formula>NOT(ISERROR(SEARCH("Terme",V3)))</formula>
    </cfRule>
  </conditionalFormatting>
  <conditionalFormatting sqref="V20:Z27 V29:Z32 V5:Z12 V14:Z18 V34:Y40 V3:Z3">
    <cfRule type="containsText" dxfId="6" priority="93" stopIfTrue="1" operator="containsText" text="Seconde">
      <formula>NOT(ISERROR(SEARCH("Seconde",V3)))</formula>
    </cfRule>
  </conditionalFormatting>
  <conditionalFormatting sqref="V34:Z40 V5:Z12 V14:Z18">
    <cfRule type="expression" dxfId="3" priority="83" stopIfTrue="1">
      <formula>ISTEXT(V5)</formula>
    </cfRule>
  </conditionalFormatting>
  <conditionalFormatting sqref="Z34:Z40">
    <cfRule type="containsText" dxfId="2" priority="17" stopIfTrue="1" operator="containsText" text="Première">
      <formula>NOT(ISERROR(SEARCH("Première",Z31)))</formula>
    </cfRule>
    <cfRule type="containsText" dxfId="1" priority="18" stopIfTrue="1" operator="containsText" text="Seconde">
      <formula>NOT(ISERROR(SEARCH("Seconde",Z31)))</formula>
    </cfRule>
    <cfRule type="containsText" dxfId="0" priority="19" stopIfTrue="1" operator="containsText" text="Terme">
      <formula>NOT(ISERROR(SEARCH("Terme",Z31)))</formula>
    </cfRule>
  </conditionalFormatting>
  <dataValidations count="3">
    <dataValidation type="custom" allowBlank="1" showInputMessage="1" showErrorMessage="0" errorTitle="Valeur invalide" error="La valeur doit être contenue entre 1 et 4" promptTitle="Compétences mobilisées" prompt="Valeur calculée. Modifier la note dans l’onglet ONR correspondant.&#10;1 : équipe NR / RSE&#10;2 : NR / RSE et DSI&#10;3 : NR / RSE et équipe hors DSI&#10;4 : intervention extérieure" sqref="H29 H14:H18" xr:uid="{00000000-0002-0000-1400-000000000000}">
      <formula1>TRUE</formula1>
    </dataValidation>
    <dataValidation type="custom" allowBlank="1" showInputMessage="1" showErrorMessage="0" errorTitle="Valeur invalide" error="La valeur doit être contenue entre 1 et 4" promptTitle="Performance actuelle" prompt="Valeur calculée. Modifier la note dans l’onglet ONR correspondant.&#10;1 : pas du tout atteinte&#10;2 : atteinte en partie&#10;3 : en voie d’être atteinte&#10;4 : atteinte&#10;Laisser vide si non évaluée ou non applicable." sqref="F14:F18 F20:F27 F29:F40 F5:F12" xr:uid="{00000000-0002-0000-1400-000001000000}">
      <formula1>TRUE</formula1>
    </dataValidation>
    <dataValidation type="custom" allowBlank="1" showInputMessage="1" showErrorMessage="0" errorTitle="Valeur invalide" error="Les valeurs permises pour l'importance sont 0, 1, 2 ou 3" promptTitle="Importance de la cible" prompt="Valeur calculée. Modifier la note dans l’onglet ONR correspondant.&#10;0 : non applicable&#10;1 : peu importante&#10;2 : importante&#10;3 : très importante&#10;Si 0, la performance peut rester vide." sqref="E14:E18 E20:E27 E29:E40 E5:E12" xr:uid="{00000000-0002-0000-1400-000002000000}">
      <formula1>TRUE</formula1>
    </dataValidation>
  </dataValidations>
  <pageMargins left="0.70866141732283472" right="0.70866141732283472" top="0.74803149606299213" bottom="0.74803149606299213" header="0.31496062992125984" footer="0.31496062992125984"/>
  <pageSetup paperSize="5" scale="42" fitToHeight="20" orientation="landscape" r:id="rId1"/>
  <drawing r:id="logoINR20261007"/>
  <legacyDrawing r:id="rId2"/>
</worksheet>
</file>

<file path=xl/worksheets/sheet11.xml><?xml version="1.0" encoding="utf-8"?>
<x:worksheet xmlns:x="http://schemas.openxmlformats.org/spreadsheetml/2006/main">
  <x:sheetPr>
    <x:pageSetUpPr fitToPage="1"/>
  </x:sheetPr>
  <x:sheetViews>
    <x:sheetView showGridLines="0" workbookViewId="0" zoomScale="85" topLeftCell="A1"/>
  </x:sheetViews>
  <x:sheetFormatPr baseColWidth="10" defaultColWidth="11.5" defaultRowHeight="13"/>
  <x:cols>
    <x:col min="1" max="1" width="3" hidden="0" customWidth="1"/>
    <x:col min="2" max="2" width="25" hidden="0" customWidth="1"/>
    <x:col min="3" max="3" width="12" hidden="0" customWidth="1"/>
    <x:col min="4" max="4" width="12.6640625" hidden="0" customWidth="1"/>
    <x:col min="5" max="5" width="12.6640625" hidden="0" customWidth="1"/>
    <x:col min="6" max="6" width="12" hidden="0" customWidth="1"/>
    <x:col min="7" max="7" width="12.6640625" hidden="0" customWidth="1"/>
    <x:col min="8" max="8" width="12.6640625" hidden="0" customWidth="1"/>
    <x:col min="9" max="9" width="12.6640625" hidden="0" customWidth="1"/>
    <x:col min="10" max="10" width="12.6640625" hidden="0" customWidth="1"/>
    <x:col min="11" max="11" width="12.6640625" hidden="0" customWidth="1"/>
    <x:col min="12" max="12" width="12.6640625" hidden="0" customWidth="1"/>
    <x:col min="13" max="13" width="12.6640625" hidden="0" customWidth="1"/>
    <x:col min="14" max="14" width="3" style="1214" hidden="1" customWidth="1"/>
    <x:col min="15" max="15" width="11.5" style="1214" hidden="1" customWidth="0"/>
    <x:col min="16" max="16" width="11.5" style="1214" hidden="1" customWidth="0"/>
    <x:col min="17" max="17" width="11.5" style="1214" hidden="1" customWidth="0"/>
    <x:col min="18" max="18" width="11.5" style="1214" hidden="1" customWidth="0"/>
    <x:col min="19" max="19" width="11.5" style="1214" hidden="1" customWidth="0"/>
    <x:col min="20" max="20" width="11.5" style="1214" hidden="1" customWidth="0"/>
    <x:col min="21" max="21" width="11.5" style="1214" hidden="1" customWidth="0"/>
    <x:col min="22" max="22" width="11.5" style="1214" hidden="1" customWidth="0"/>
    <x:col min="23" max="23" width="11.5" style="1214" hidden="1" customWidth="0"/>
    <x:col min="24" max="24" width="11.5" style="1214" hidden="1" customWidth="0"/>
    <x:col min="25" max="25" width="11.5" style="1214" hidden="1" customWidth="0"/>
    <x:col min="26" max="26" width="11.5" style="1214" hidden="1" customWidth="0"/>
    <x:col min="27" max="27" width="11.5" style="1214" hidden="1" customWidth="0"/>
    <x:col min="28" max="28" width="11.5" style="1214" hidden="1" customWidth="0"/>
    <x:col min="29" max="29" width="11.5" style="1214" hidden="1" customWidth="0"/>
    <x:col min="30" max="30" width="11.5" style="1214" hidden="1" customWidth="0"/>
    <x:col min="31" max="31" width="11.5" style="1214" hidden="1" customWidth="0"/>
    <x:col min="32" max="32" width="11.5" style="1214" hidden="1" customWidth="0"/>
    <x:col width="8.43" customWidth="1" min="33" max="33" hidden="1"/>
    <x:col width="8.43" customWidth="1" min="34" max="34" hidden="1"/>
    <x:col width="8.43" customWidth="1" min="35" max="35" hidden="1"/>
    <x:col width="8.43" customWidth="1" min="36" max="36" hidden="1"/>
    <x:col width="8.43" customWidth="1" min="37" max="37" hidden="1"/>
    <x:col width="8.43" customWidth="1" min="38" max="38" hidden="1"/>
    <x:col width="8.43" customWidth="1" min="39" max="39" hidden="1"/>
    <x:col width="8.43" customWidth="1" min="40" max="40" hidden="1"/>
    <x:col width="8.43" customWidth="1" min="41" max="41" hidden="1"/>
    <x:col width="8.43" customWidth="1" min="42" max="42" hidden="1"/>
    <x:col width="8.43" customWidth="1" min="43" max="43" hidden="1"/>
    <x:col width="8.43" customWidth="1" min="44" max="44" hidden="1"/>
    <x:col width="8.43" customWidth="1" min="45" max="45" hidden="1"/>
  </x:cols>
  <x:sheetData>
    <x:row r="1" s="1274" customFormat="1" ht="24" customHeight="1">
      <x:c r="A1"/>
      <x:c r="B1"/>
      <x:c r="C1"/>
      <x:c r="D1"/>
      <x:c r="E1"/>
      <x:c r="F1"/>
      <x:c r="G1"/>
      <x:c r="H1"/>
      <x:c r="I1"/>
      <x:c r="J1"/>
      <x:c r="K1"/>
      <x:c r="L1"/>
      <x:c r="M1"/>
      <x:c r="N1"/>
      <x:c r="O1"/>
      <x:c r="P1"/>
      <x:c r="Q1"/>
      <x:c r="R1"/>
      <x:c r="S1"/>
      <x:c r="T1"/>
      <x:c r="U1"/>
      <x:c r="V1"/>
      <x:c r="W1"/>
      <x:c r="X1"/>
      <x:c r="Y1"/>
      <x:c r="Z1"/>
      <x:c r="AA1"/>
      <x:c r="AB1"/>
      <x:c r="AC1"/>
      <x:c r="AD1"/>
      <x:c r="AE1"/>
      <x:c r="AF1"/>
    </x:row>
    <x:row r="2" ht="44" customHeight="1">
      <x:c r="A2"/>
      <x:c r="B2" s="1932" t="str">
        <x:v>Résultats de synthèse</x:v>
      </x:c>
      <x:c r="C2" s="1933"/>
      <x:c r="D2" s="1933"/>
      <x:c r="E2" s="1933"/>
      <x:c r="F2" s="1933"/>
      <x:c r="G2" s="1933"/>
      <x:c r="H2" s="1933"/>
      <x:c r="I2" s="1933"/>
      <x:c r="J2" s="1934"/>
      <x:c r="K2" s="1927"/>
      <x:c r="L2" s="1927"/>
      <x:c r="M2" s="1927"/>
    </x:row>
    <x:row r="3" ht="30" customHeight="1">
      <x:c r="A3"/>
      <x:c r="B3" s="1935" t="str">
        <x:v>Vue d’ensemble des 32 cibles. Saisir les informations dans les onglets ONR 1 à 5.</x:v>
      </x:c>
      <x:c r="C3" s="1935"/>
      <x:c r="D3" s="1935">
        <x:f t="shared" ref="D3:M3" si="0">SUM(D4:D8)</x:f>
      </x:c>
      <x:c r="E3" s="1935">
        <x:f t="shared" si="0"/>
      </x:c>
      <x:c r="F3" s="1935">
        <x:f t="shared" si="0"/>
      </x:c>
      <x:c r="G3" s="1935">
        <x:f t="shared" si="0"/>
      </x:c>
      <x:c r="H3" s="1935">
        <x:f t="shared" si="0"/>
      </x:c>
      <x:c r="I3" s="1935">
        <x:f t="shared" si="0"/>
      </x:c>
      <x:c r="J3" s="1935">
        <x:f t="shared" si="0"/>
      </x:c>
      <x:c r="K3" s="1927">
        <x:f t="shared" si="0"/>
      </x:c>
      <x:c r="L3" s="1927">
        <x:f t="shared" si="0"/>
      </x:c>
      <x:c r="M3" s="1927">
        <x:f t="shared" si="0"/>
      </x:c>
    </x:row>
    <x:row r="4" ht="24" customHeight="1">
      <x:c r="A4"/>
      <x:c r="B4" s="1927"/>
      <x:c r="C4" s="1927"/>
      <x:c r="D4" s="1927"/>
      <x:c r="E4" s="1927"/>
      <x:c r="F4" s="1927"/>
      <x:c r="G4" s="1927"/>
      <x:c r="H4" s="1927"/>
      <x:c r="I4" s="1927"/>
      <x:c r="J4" s="1927"/>
      <x:c r="K4" s="1927"/>
      <x:c r="L4" s="1927"/>
      <x:c r="M4" s="1927"/>
    </x:row>
    <x:row r="5" ht="38" customHeight="1">
      <x:c r="A5"/>
      <x:c r="B5" s="1936" t="str">
        <x:v>Cibles à évaluer</x:v>
      </x:c>
      <x:c r="C5" s="1936"/>
      <x:c r="D5" s="1936" t="str">
        <x:v>Cibles évaluées</x:v>
      </x:c>
      <x:c r="E5" s="1936"/>
      <x:c r="F5" s="1936" t="str">
        <x:v>Part évaluée</x:v>
      </x:c>
      <x:c r="G5" s="1936"/>
      <x:c r="H5" s="1941" t="str">
        <x:v>Urgentes ou prioritaires</x:v>
      </x:c>
      <x:c r="I5" s="1941"/>
      <x:c r="J5" s="1945" t="str">
        <x:v>Part des cibles atteintes</x:v>
      </x:c>
      <x:c r="K5" s="1945"/>
      <x:c r="L5" s="1950" t="str">
        <x:v>Priorités avec une action proposée</x:v>
      </x:c>
      <x:c r="M5" s="1950"/>
      <x:c r="AA5" t="str">
        <x:v>ONR</x:v>
      </x:c>
      <x:c r="AB5" t="str">
        <x:v>Score de priorité</x:v>
      </x:c>
      <x:c r="AC5" t="str">
        <x:v>Clé de classement</x:v>
      </x:c>
      <x:c r="AD5" t="str">
        <x:v>Cible</x:v>
      </x:c>
      <x:c r="AE5" t="str">
        <x:v>Texte de la cible</x:v>
      </x:c>
      <x:c r="AF5" t="str">
        <x:v>Importance</x:v>
      </x:c>
      <x:c r="AG5" t="str">
        <x:v>Niveau atteint</x:v>
      </x:c>
      <x:c r="AH5" t="str">
        <x:v>Compétences</x:v>
      </x:c>
      <x:c r="AI5" t="str">
        <x:v>Action proposée</x:v>
      </x:c>
      <x:c r="AJ5" t="str">
        <x:v>Action renseignée</x:v>
      </x:c>
      <x:c r="AK5" t="str">
        <x:v>Justification renseignée</x:v>
      </x:c>
      <x:c r="AL5" t="str">
        <x:v>Note hors échelle</x:v>
      </x:c>
      <x:c r="AM5" t="str">
        <x:v>Justification manquante</x:v>
      </x:c>
      <x:c r="AN5" t="str">
        <x:v>Ligne source</x:v>
      </x:c>
      <x:c r="AO5" t="str">
        <x:v>Applicabilité</x:v>
      </x:c>
      <x:c r="AP5" t="str">
        <x:v>Compétences à préciser</x:v>
      </x:c>
      <x:c r="AQ5" t="str">
        <x:v>Priorité sans action</x:v>
      </x:c>
      <x:c r="AR5" t="str">
        <x:v>Cible évaluée</x:v>
      </x:c>
    </x:row>
    <x:row r="6" ht="38" customHeight="1">
      <x:c r="A6"/>
      <x:c r="B6" s="1937" t="n">
        <x:f>E16</x:f>
        <x:v>27</x:v>
      </x:c>
      <x:c r="C6" s="1937"/>
      <x:c r="D6" s="1937" t="n">
        <x:f>D16</x:f>
        <x:v>5</x:v>
      </x:c>
      <x:c r="E6" s="1937"/>
      <x:c r="F6" s="1938" t="n">
        <x:f>F16</x:f>
        <x:v>0.15625</x:v>
      </x:c>
      <x:c r="G6" s="1937"/>
      <x:c r="H6" s="1942" t="n">
        <x:f>H16+I16</x:f>
        <x:v>4</x:v>
      </x:c>
      <x:c r="I6" s="1942"/>
      <x:c r="J6" s="1947" t="n">
        <x:f>J16</x:f>
        <x:v>0</x:v>
      </x:c>
      <x:c r="K6" s="1946"/>
      <x:c r="L6" s="1952" t="n">
        <x:f>K16</x:f>
        <x:v>1</x:v>
      </x:c>
      <x:c r="M6" s="1951"/>
      <x:c r="AA6" t="n">
        <x:v>1</x:v>
      </x:c>
      <x:c r="AB6" t="n">
        <x:f>IF(ISNUMBER('Résultats détaillés'!T5),'Résultats détaillés'!T5,"")</x:f>
        <x:v>6</x:v>
      </x:c>
      <x:c r="AC6" t="n">
        <x:f>IF(AND(ISNUMBER(AB6),AB6&gt;=5),AB6*100+32,0)</x:f>
        <x:v>632</x:v>
      </x:c>
      <x:c r="AD6" t="str">
        <x:f>IF(ISBLANK('Résultats détaillés'!B5),"",'Résultats détaillés'!B5)</x:f>
        <x:v>1.1</x:v>
      </x:c>
      <x:c r="AE6" t="str">
        <x:f>IF(ISBLANK('Résultats détaillés'!C5),"",'Résultats détaillés'!C5)</x:f>
        <x:v>Prendre en compte toutes les étapes de la vie des équipements et des logiciels, de leur création à leur fin de vie, pour contribuer à la transition énergétique.</x:v>
      </x:c>
      <x:c r="AF6" t="n">
        <x:f>IF(ISBLANK('Résultats détaillés'!E5),"",'Résultats détaillés'!E5)</x:f>
        <x:v>3</x:v>
      </x:c>
      <x:c r="AG6" t="n">
        <x:f>IF(ISBLANK('Résultats détaillés'!F5),"",'Résultats détaillés'!F5)</x:f>
        <x:v>1</x:v>
      </x:c>
      <x:c r="AH6" t="n">
        <x:f>IF(ISNUMBER('Résultats détaillés'!H5),IF(AND('Résultats détaillés'!H5&gt;=1,'Résultats détaillés'!H5&lt;=4,MOD('Résultats détaillés'!H5,1)=0),'Résultats détaillés'!H5,0),0)</x:f>
        <x:v>3</x:v>
      </x:c>
      <x:c r="AI6" t="str">
        <x:f>IF(ISBLANK('Résultats détaillés'!W5),"",'Résultats détaillés'!W5)</x:f>
        <x:v>Former l’équipe Achats aux critères du numérique responsable et aux labels TCO et EPEAT. Dans les prochains appels d’offres pour remplacer les serveurs, faire compter les critères environnementaux pour 15 % de la note.</x:v>
      </x:c>
      <x:c r="AJ6" t="n">
        <x:f>IF(LEN(TRIM(AI6))&gt;0,1,0)</x:f>
        <x:v>1</x:v>
      </x:c>
      <x:c r="AK6" t="n">
        <x:f>IF(LEN(TRIM('Résultats détaillés'!G5))&gt;0,1,0)</x:f>
        <x:v>1</x:v>
      </x:c>
      <x:c r="AL6" t="n">
        <x:f>IF(OR(IF(LEN('Résultats détaillés'!E5)=0,FALSE,NOT(IF(ISNUMBER('Résultats détaillés'!E5),AND('Résultats détaillés'!E5&gt;=0,'Résultats détaillés'!E5&lt;=3,MOD('Résultats détaillés'!E5,1)=0),FALSE))),IF(LEN('Résultats détaillés'!F5)=0,FALSE,NOT(IF(ISNUMBER('Résultats détaillés'!F5),AND('Résultats détaillés'!F5&gt;=1,'Résultats détaillés'!F5&lt;=4,MOD('Résultats détaillés'!F5,1)=0),FALSE))),IF(LEN('Résultats détaillés'!H5)=0,FALSE,NOT(IF(ISNUMBER('Résultats détaillés'!H5),AND('Résultats détaillés'!H5&gt;=1,'Résultats détaillés'!H5&lt;=4,MOD('Résultats détaillés'!H5,1)=0),FALSE)))),1,0)</x:f>
        <x:v>0</x:v>
      </x:c>
      <x:c r="AM6" t="n">
        <x:f>IF(AND(ISNUMBER(AB6),AB6&gt;0,AK6=0),1,0)</x:f>
        <x:v>0</x:v>
      </x:c>
      <x:c r="AN6" t="n">
        <x:v>5</x:v>
      </x:c>
      <x:c r="AO6" t="n">
        <x:f>IF(AND(ISNUMBER(AB6),AB6&gt;0),1,0)</x:f>
        <x:v>1</x:v>
      </x:c>
      <x:c r="AP6" t="n">
        <x:f>IF(AND(AC6&gt;0,AH6=0),1,0)</x:f>
        <x:v>0</x:v>
      </x:c>
      <x:c r="AQ6" t="n">
        <x:f>IF(AND(AC6&gt;0,AJ6=0),1,0)</x:f>
        <x:v>0</x:v>
      </x:c>
      <x:c r="AR6" t="n">
        <x:f>IF(ISNUMBER(AB6),1,0)</x:f>
        <x:v>1</x:v>
      </x:c>
    </x:row>
    <x:row r="7" ht="24" customHeight="1">
      <x:c r="A7"/>
      <x:c r="B7" s="1953" t="str">
        <x:v>Les taux d’atteinte portent sur les cibles applicables évaluées. Une action proposée ne signifie pas qu’elle a été réalisée.</x:v>
      </x:c>
      <x:c r="C7" s="1953"/>
      <x:c r="D7" s="1953"/>
      <x:c r="E7" s="1953"/>
      <x:c r="F7" s="1953"/>
      <x:c r="G7" s="1953"/>
      <x:c r="H7" s="1953"/>
      <x:c r="I7" s="1953"/>
      <x:c r="J7" s="1953"/>
      <x:c r="K7" s="1953"/>
      <x:c r="L7" s="1953"/>
      <x:c r="M7" s="1953"/>
      <x:c r="AA7" t="n">
        <x:v>1</x:v>
      </x:c>
      <x:c r="AB7" t="n">
        <x:f>IF(ISNUMBER('Résultats détaillés'!T6),'Résultats détaillés'!T6,"")</x:f>
        <x:v>4</x:v>
      </x:c>
      <x:c r="AC7" t="n">
        <x:f>IF(AND(ISNUMBER(AB7),AB7&gt;=5),AB7*100+31,0)</x:f>
        <x:v>0</x:v>
      </x:c>
      <x:c r="AD7" t="str">
        <x:f>IF(ISBLANK('Résultats détaillés'!B6),"",'Résultats détaillés'!B6)</x:f>
        <x:v>1.2</x:v>
      </x:c>
      <x:c r="AE7" t="str">
        <x:f>IF(ISBLANK('Résultats détaillés'!C6),"",'Résultats détaillés'!C6)</x:f>
        <x:v>Utiliser les équipements plus longtemps, même après la fin de leur amortissement, c’est-à-dire la période sur laquelle leur coût est réparti dans les comptes.</x:v>
      </x:c>
      <x:c r="AF7" t="n">
        <x:f>IF(ISBLANK('Résultats détaillés'!E6),"",'Résultats détaillés'!E6)</x:f>
        <x:v>3</x:v>
      </x:c>
      <x:c r="AG7" t="n">
        <x:f>IF(ISBLANK('Résultats détaillés'!F6),"",'Résultats détaillés'!F6)</x:f>
        <x:v>3</x:v>
      </x:c>
      <x:c r="AH7" t="n">
        <x:f>IF(ISNUMBER('Résultats détaillés'!H6),IF(AND('Résultats détaillés'!H6&gt;=1,'Résultats détaillés'!H6&lt;=4,MOD('Résultats détaillés'!H6,1)=0),'Résultats détaillés'!H6,0),0)</x:f>
        <x:v>2</x:v>
      </x:c>
      <x:c r="AI7" t="str">
        <x:f>IF(ISBLANK('Résultats détaillés'!W6),"",'Résultats détaillés'!W6)</x:f>
        <x:v>Répartir le coût des équipements dans les comptes sur cinq ans au minimum : c’est la durée d’amortissement. Prévoir un stock de pièces détachées pour faciliter les réparations. Expliquer aux équipes comment garder leur ordinateur plus longtemps permet d’éviter des émissions de gaz à effet de serre.</x:v>
      </x:c>
      <x:c r="AJ7" t="n">
        <x:f>IF(LEN(TRIM(AI7))&gt;0,1,0)</x:f>
        <x:v>1</x:v>
      </x:c>
      <x:c r="AK7" t="n">
        <x:f>IF(LEN(TRIM('Résultats détaillés'!G6))&gt;0,1,0)</x:f>
        <x:v>1</x:v>
      </x:c>
      <x:c r="AL7" t="n">
        <x:f>IF(OR(IF(LEN('Résultats détaillés'!E6)=0,FALSE,NOT(IF(ISNUMBER('Résultats détaillés'!E6),AND('Résultats détaillés'!E6&gt;=0,'Résultats détaillés'!E6&lt;=3,MOD('Résultats détaillés'!E6,1)=0),FALSE))),IF(LEN('Résultats détaillés'!F6)=0,FALSE,NOT(IF(ISNUMBER('Résultats détaillés'!F6),AND('Résultats détaillés'!F6&gt;=1,'Résultats détaillés'!F6&lt;=4,MOD('Résultats détaillés'!F6,1)=0),FALSE))),IF(LEN('Résultats détaillés'!H6)=0,FALSE,NOT(IF(ISNUMBER('Résultats détaillés'!H6),AND('Résultats détaillés'!H6&gt;=1,'Résultats détaillés'!H6&lt;=4,MOD('Résultats détaillés'!H6,1)=0),FALSE)))),1,0)</x:f>
        <x:v>0</x:v>
      </x:c>
      <x:c r="AM7" t="n">
        <x:f>IF(AND(ISNUMBER(AB7),AB7&gt;0,AK7=0),1,0)</x:f>
        <x:v>0</x:v>
      </x:c>
      <x:c r="AN7" t="n">
        <x:v>6</x:v>
      </x:c>
      <x:c r="AO7" t="n">
        <x:f>IF(AND(ISNUMBER(AB7),AB7&gt;0),1,0)</x:f>
        <x:v>1</x:v>
      </x:c>
      <x:c r="AP7" t="n">
        <x:f>IF(AND(AC7&gt;0,AH7=0),1,0)</x:f>
        <x:v>0</x:v>
      </x:c>
      <x:c r="AQ7" t="n">
        <x:f>IF(AND(AC7&gt;0,AJ7=0),1,0)</x:f>
        <x:v>0</x:v>
      </x:c>
      <x:c r="AR7" t="n">
        <x:f>IF(ISNUMBER(AB7),1,0)</x:f>
        <x:v>1</x:v>
      </x:c>
    </x:row>
    <x:row r="8" ht="24" customHeight="1">
      <x:c r="A8"/>
      <x:c r="B8" s="1927"/>
      <x:c r="C8" s="1927"/>
      <x:c r="D8" s="1927"/>
      <x:c r="E8" s="1927"/>
      <x:c r="F8" s="1927"/>
      <x:c r="G8" s="1927"/>
      <x:c r="H8" s="1927"/>
      <x:c r="I8" s="1927"/>
      <x:c r="J8" s="1927"/>
      <x:c r="K8" s="1927"/>
      <x:c r="L8" s="1927"/>
      <x:c r="M8" s="1927"/>
      <x:c r="AA8" t="n">
        <x:v>1</x:v>
      </x:c>
      <x:c r="AB8" t="n">
        <x:f>IF(ISNUMBER('Résultats détaillés'!T7),'Résultats détaillés'!T7,"")</x:f>
        <x:v>5</x:v>
      </x:c>
      <x:c r="AC8" t="n">
        <x:f>IF(AND(ISNUMBER(AB8),AB8&gt;=5),AB8*100+30,0)</x:f>
        <x:v>530</x:v>
      </x:c>
      <x:c r="AD8" t="str">
        <x:f>IF(ISBLANK('Résultats détaillés'!B7),"",'Résultats détaillés'!B7)</x:f>
        <x:v>1.3</x:v>
      </x:c>
      <x:c r="AE8" t="str">
        <x:f>IF(ISBLANK('Résultats détaillés'!C7),"",'Résultats détaillés'!C7)</x:f>
        <x:v>Concevoir des services numériques qui limitent leurs effets sur l’environnement. Choisir des technologies qui contribuent aux Objectifs de développement durable (ODD).</x:v>
      </x:c>
      <x:c r="AF8" t="n">
        <x:f>IF(ISBLANK('Résultats détaillés'!E7),"",'Résultats détaillés'!E7)</x:f>
        <x:v>3</x:v>
      </x:c>
      <x:c r="AG8" t="n">
        <x:f>IF(ISBLANK('Résultats détaillés'!F7),"",'Résultats détaillés'!F7)</x:f>
        <x:v>2</x:v>
      </x:c>
      <x:c r="AH8" t="n">
        <x:f>IF(ISNUMBER('Résultats détaillés'!H7),IF(AND('Résultats détaillés'!H7&gt;=1,'Résultats détaillés'!H7&lt;=4,MOD('Résultats détaillés'!H7,1)=0),'Résultats détaillés'!H7,0),0)</x:f>
        <x:v>2</x:v>
      </x:c>
      <x:c r="AI8" t="str">
        <x:f>IF(ISBLANK('Résultats détaillés'!W7),"",'Résultats détaillés'!W7)</x:f>
        <x:v>1. Former les équipes de conception, de développement et de gestion de projet à créer des services numériques qui limitent leurs effets sur l’environnement.
2. Ajouter des exigences environnementales aux cahiers des charges, comme limiter le poids des images et réduire les demandes envoyées aux serveurs.
3. Pour chaque nouveau projet, préciser à quels Objectifs de développement durable il contribue.</x:v>
      </x:c>
      <x:c r="AJ8" t="n">
        <x:f>IF(LEN(TRIM(AI8))&gt;0,1,0)</x:f>
        <x:v>1</x:v>
      </x:c>
      <x:c r="AK8" t="n">
        <x:f>IF(LEN(TRIM('Résultats détaillés'!G7))&gt;0,1,0)</x:f>
        <x:v>1</x:v>
      </x:c>
      <x:c r="AL8" t="n">
        <x:f>IF(OR(IF(LEN('Résultats détaillés'!E7)=0,FALSE,NOT(IF(ISNUMBER('Résultats détaillés'!E7),AND('Résultats détaillés'!E7&gt;=0,'Résultats détaillés'!E7&lt;=3,MOD('Résultats détaillés'!E7,1)=0),FALSE))),IF(LEN('Résultats détaillés'!F7)=0,FALSE,NOT(IF(ISNUMBER('Résultats détaillés'!F7),AND('Résultats détaillés'!F7&gt;=1,'Résultats détaillés'!F7&lt;=4,MOD('Résultats détaillés'!F7,1)=0),FALSE))),IF(LEN('Résultats détaillés'!H7)=0,FALSE,NOT(IF(ISNUMBER('Résultats détaillés'!H7),AND('Résultats détaillés'!H7&gt;=1,'Résultats détaillés'!H7&lt;=4,MOD('Résultats détaillés'!H7,1)=0),FALSE)))),1,0)</x:f>
        <x:v>0</x:v>
      </x:c>
      <x:c r="AM8" t="n">
        <x:f>IF(AND(ISNUMBER(AB8),AB8&gt;0,AK8=0),1,0)</x:f>
        <x:v>0</x:v>
      </x:c>
      <x:c r="AN8" t="n">
        <x:v>7</x:v>
      </x:c>
      <x:c r="AO8" t="n">
        <x:f>IF(AND(ISNUMBER(AB8),AB8&gt;0),1,0)</x:f>
        <x:v>1</x:v>
      </x:c>
      <x:c r="AP8" t="n">
        <x:f>IF(AND(AC8&gt;0,AH8=0),1,0)</x:f>
        <x:v>0</x:v>
      </x:c>
      <x:c r="AQ8" t="n">
        <x:f>IF(AND(AC8&gt;0,AJ8=0),1,0)</x:f>
        <x:v>0</x:v>
      </x:c>
      <x:c r="AR8" t="n">
        <x:f>IF(ISNUMBER(AB8),1,0)</x:f>
        <x:v>1</x:v>
      </x:c>
    </x:row>
    <x:row r="9" s="1214" customFormat="1" ht="30" customHeight="1">
      <x:c r="A9"/>
      <x:c r="B9" s="1954" t="str">
        <x:v>Comparaison des cinq ONR</x:v>
      </x:c>
      <x:c r="C9" s="1955"/>
      <x:c r="D9" s="1955"/>
      <x:c r="E9" s="1955"/>
      <x:c r="F9" s="1955"/>
      <x:c r="G9" s="1955"/>
      <x:c r="H9" s="1955"/>
      <x:c r="I9" s="1955"/>
      <x:c r="J9" s="1955"/>
      <x:c r="K9" s="1955"/>
      <x:c r="L9" s="1955"/>
      <x:c r="M9" s="1956"/>
      <x:c r="AA9" t="n">
        <x:v>1</x:v>
      </x:c>
      <x:c r="AB9" t="str">
        <x:f>IF(ISNUMBER('Résultats détaillés'!T8),'Résultats détaillés'!T8,"")</x:f>
      </x:c>
      <x:c r="AC9" t="n">
        <x:f>IF(AND(ISNUMBER(AB9),AB9&gt;=5),AB9*100+29,0)</x:f>
        <x:v>0</x:v>
      </x:c>
      <x:c r="AD9" t="str">
        <x:f>IF(ISBLANK('Résultats détaillés'!B8),"",'Résultats détaillés'!B8)</x:f>
        <x:v>1.4</x:v>
      </x:c>
      <x:c r="AE9" t="str">
        <x:f>IF(ISBLANK('Résultats détaillés'!C8),"",'Résultats détaillés'!C8)</x:f>
        <x:v>Adopter des pratiques qui consomment moins de matériel, de ressources, d’énergie et de consommables, comme le papier ou l’encre.</x:v>
      </x:c>
      <x:c r="AF9" t="str">
        <x:f>IF(ISBLANK('Résultats détaillés'!E8),"",'Résultats détaillés'!E8)</x:f>
      </x:c>
      <x:c r="AG9" t="str">
        <x:f>IF(ISBLANK('Résultats détaillés'!F8),"",'Résultats détaillés'!F8)</x:f>
      </x:c>
      <x:c r="AH9" t="n">
        <x:f>IF(ISNUMBER('Résultats détaillés'!H8),IF(AND('Résultats détaillés'!H8&gt;=1,'Résultats détaillés'!H8&lt;=4,MOD('Résultats détaillés'!H8,1)=0),'Résultats détaillés'!H8,0),0)</x:f>
        <x:v>0</x:v>
      </x:c>
      <x:c r="AI9" t="str">
        <x:f>IF(ISBLANK('Résultats détaillés'!W8),"",'Résultats détaillés'!W8)</x:f>
      </x:c>
      <x:c r="AJ9" t="n">
        <x:f>IF(LEN(TRIM(AI9))&gt;0,1,0)</x:f>
        <x:v>0</x:v>
      </x:c>
      <x:c r="AK9" t="n">
        <x:f>IF(LEN(TRIM('Résultats détaillés'!G8))&gt;0,1,0)</x:f>
        <x:v>0</x:v>
      </x:c>
      <x:c r="AL9" t="n">
        <x:f>IF(OR(IF(LEN('Résultats détaillés'!E8)=0,FALSE,NOT(IF(ISNUMBER('Résultats détaillés'!E8),AND('Résultats détaillés'!E8&gt;=0,'Résultats détaillés'!E8&lt;=3,MOD('Résultats détaillés'!E8,1)=0),FALSE))),IF(LEN('Résultats détaillés'!F8)=0,FALSE,NOT(IF(ISNUMBER('Résultats détaillés'!F8),AND('Résultats détaillés'!F8&gt;=1,'Résultats détaillés'!F8&lt;=4,MOD('Résultats détaillés'!F8,1)=0),FALSE))),IF(LEN('Résultats détaillés'!H8)=0,FALSE,NOT(IF(ISNUMBER('Résultats détaillés'!H8),AND('Résultats détaillés'!H8&gt;=1,'Résultats détaillés'!H8&lt;=4,MOD('Résultats détaillés'!H8,1)=0),FALSE)))),1,0)</x:f>
        <x:v>0</x:v>
      </x:c>
      <x:c r="AM9" t="n">
        <x:f>IF(AND(ISNUMBER(AB9),AB9&gt;0,AK9=0),1,0)</x:f>
        <x:v>0</x:v>
      </x:c>
      <x:c r="AN9" t="n">
        <x:v>8</x:v>
      </x:c>
      <x:c r="AO9" t="n">
        <x:f>IF(AND(ISNUMBER(AB9),AB9&gt;0),1,0)</x:f>
        <x:v>0</x:v>
      </x:c>
      <x:c r="AP9" t="n">
        <x:f>IF(AND(AC9&gt;0,AH9=0),1,0)</x:f>
        <x:v>0</x:v>
      </x:c>
      <x:c r="AQ9" t="n">
        <x:f>IF(AND(AC9&gt;0,AJ9=0),1,0)</x:f>
        <x:v>0</x:v>
      </x:c>
      <x:c r="AR9" t="n">
        <x:f>IF(ISNUMBER(AB9),1,0)</x:f>
        <x:v>0</x:v>
      </x:c>
    </x:row>
    <x:row r="10" s="1214" customFormat="1" ht="58" customHeight="1">
      <x:c r="A10"/>
      <x:c r="B10" s="1961" t="str">
        <x:v>ONR</x:v>
      </x:c>
      <x:c r="C10" s="1961" t="str">
        <x:v>Total</x:v>
      </x:c>
      <x:c r="D10" s="1961" t="str">
        <x:v>Évaluées</x:v>
      </x:c>
      <x:c r="E10" s="1961" t="str">
        <x:v>À évaluer</x:v>
      </x:c>
      <x:c r="F10" s="1961" t="str">
        <x:v>Part évaluée</x:v>
      </x:c>
      <x:c r="G10" s="1962" t="str">
        <x:v>Applicables évaluées</x:v>
      </x:c>
      <x:c r="H10" s="1963" t="str">
        <x:v>Urgentes</x:v>
      </x:c>
      <x:c r="I10" s="1963" t="str">
        <x:v>Prioritaires</x:v>
      </x:c>
      <x:c r="J10" s="1962" t="str">
        <x:v>Part atteinte</x:v>
      </x:c>
      <x:c r="K10" s="1964" t="str">
        <x:v>Priorités avec action</x:v>
      </x:c>
      <x:c r="L10" s="1964" t="str">
        <x:v>Priorités sans action</x:v>
      </x:c>
      <x:c r="M10" s="1961" t="str">
        <x:v>Part prioritaire</x:v>
      </x:c>
      <x:c r="AA10" t="n">
        <x:v>1</x:v>
      </x:c>
      <x:c r="AB10" t="str">
        <x:f>IF(ISNUMBER('Résultats détaillés'!T9),'Résultats détaillés'!T9,"")</x:f>
      </x:c>
      <x:c r="AC10" t="n">
        <x:f>IF(AND(ISNUMBER(AB10),AB10&gt;=5),AB10*100+28,0)</x:f>
        <x:v>0</x:v>
      </x:c>
      <x:c r="AD10" t="str">
        <x:f>IF(ISBLANK('Résultats détaillés'!B9),"",'Résultats détaillés'!B9)</x:f>
        <x:v>1.5</x:v>
      </x:c>
      <x:c r="AE10" t="str">
        <x:f>IF(ISBLANK('Résultats détaillés'!C9),"",'Résultats détaillés'!C9)</x:f>
        <x:v>Réutiliser ou recycler les déchets pour en faire de nouvelles ressources. Soutenir les emplois liés à leur traitement et à l’économie circulaire.</x:v>
      </x:c>
      <x:c r="AF10" t="str">
        <x:f>IF(ISBLANK('Résultats détaillés'!E9),"",'Résultats détaillés'!E9)</x:f>
      </x:c>
      <x:c r="AG10" t="str">
        <x:f>IF(ISBLANK('Résultats détaillés'!F9),"",'Résultats détaillés'!F9)</x:f>
      </x:c>
      <x:c r="AH10" t="n">
        <x:f>IF(ISNUMBER('Résultats détaillés'!H9),IF(AND('Résultats détaillés'!H9&gt;=1,'Résultats détaillés'!H9&lt;=4,MOD('Résultats détaillés'!H9,1)=0),'Résultats détaillés'!H9,0),0)</x:f>
        <x:v>0</x:v>
      </x:c>
      <x:c r="AI10" t="str">
        <x:f>IF(ISBLANK('Résultats détaillés'!W9),"",'Résultats détaillés'!W9)</x:f>
      </x:c>
      <x:c r="AJ10" t="n">
        <x:f>IF(LEN(TRIM(AI10))&gt;0,1,0)</x:f>
        <x:v>0</x:v>
      </x:c>
      <x:c r="AK10" t="n">
        <x:f>IF(LEN(TRIM('Résultats détaillés'!G9))&gt;0,1,0)</x:f>
        <x:v>0</x:v>
      </x:c>
      <x:c r="AL10" t="n">
        <x:f>IF(OR(IF(LEN('Résultats détaillés'!E9)=0,FALSE,NOT(IF(ISNUMBER('Résultats détaillés'!E9),AND('Résultats détaillés'!E9&gt;=0,'Résultats détaillés'!E9&lt;=3,MOD('Résultats détaillés'!E9,1)=0),FALSE))),IF(LEN('Résultats détaillés'!F9)=0,FALSE,NOT(IF(ISNUMBER('Résultats détaillés'!F9),AND('Résultats détaillés'!F9&gt;=1,'Résultats détaillés'!F9&lt;=4,MOD('Résultats détaillés'!F9,1)=0),FALSE))),IF(LEN('Résultats détaillés'!H9)=0,FALSE,NOT(IF(ISNUMBER('Résultats détaillés'!H9),AND('Résultats détaillés'!H9&gt;=1,'Résultats détaillés'!H9&lt;=4,MOD('Résultats détaillés'!H9,1)=0),FALSE)))),1,0)</x:f>
        <x:v>0</x:v>
      </x:c>
      <x:c r="AM10" t="n">
        <x:f>IF(AND(ISNUMBER(AB10),AB10&gt;0,AK10=0),1,0)</x:f>
        <x:v>0</x:v>
      </x:c>
      <x:c r="AN10" t="n">
        <x:v>9</x:v>
      </x:c>
      <x:c r="AO10" t="n">
        <x:f>IF(AND(ISNUMBER(AB10),AB10&gt;0),1,0)</x:f>
        <x:v>0</x:v>
      </x:c>
      <x:c r="AP10" t="n">
        <x:f>IF(AND(AC10&gt;0,AH10=0),1,0)</x:f>
        <x:v>0</x:v>
      </x:c>
      <x:c r="AQ10" t="n">
        <x:f>IF(AND(AC10&gt;0,AJ10=0),1,0)</x:f>
        <x:v>0</x:v>
      </x:c>
      <x:c r="AR10" t="n">
        <x:f>IF(ISNUMBER(AB10),1,0)</x:f>
        <x:v>0</x:v>
      </x:c>
    </x:row>
    <x:row r="11" s="1214" customFormat="1" ht="32" customHeight="1">
      <x:c r="A11"/>
      <x:c r="B11" s="1976" t="str">
        <x:v>1. Sobriété</x:v>
      </x:c>
      <x:c r="C11" s="1977" t="n">
        <x:f>'Résultats détaillés'!AC4</x:f>
        <x:v>8</x:v>
      </x:c>
      <x:c r="D11" s="1977" t="n">
        <x:f>'Résultats détaillés'!AD4</x:f>
        <x:v>5</x:v>
      </x:c>
      <x:c r="E11" s="1977" t="n">
        <x:f>C11-D11</x:f>
        <x:v>3</x:v>
      </x:c>
      <x:c r="F11" s="1987" t="n">
        <x:f>D11/C11</x:f>
        <x:v>0.625</x:v>
      </x:c>
      <x:c r="G11" s="1977" t="n">
        <x:f>SUMIFS($AO$6:$AO$37,$AA$6:$AA$37,1)</x:f>
        <x:v>5</x:v>
      </x:c>
      <x:c r="H11" s="1977" t="n">
        <x:f>'Résultats détaillés'!AF4</x:f>
        <x:v>3</x:v>
      </x:c>
      <x:c r="I11" s="1977" t="n">
        <x:f>'Résultats détaillés'!AG4</x:f>
        <x:v>1</x:v>
      </x:c>
      <x:c r="J11" s="1987" t="n">
        <x:f>IF(G11=0,"",COUNTIFS($AA$6:$AA$37,1,$AO$6:$AO$37,1,$AG$6:$AG$37,4)/G11)</x:f>
        <x:v>0</x:v>
      </x:c>
      <x:c r="K11" s="1987" t="n">
        <x:f>IF(H11+I11=0,"",SUMIFS($AJ$6:$AJ$37,$AA$6:$AA$37,1,$AC$6:$AC$37,"&gt;0")/(H11+I11))</x:f>
        <x:v>1</x:v>
      </x:c>
      <x:c r="L11" s="1977" t="n">
        <x:f>SUMIFS($AQ$6:$AQ$37,$AA$6:$AA$37,1)</x:f>
        <x:v>0</x:v>
      </x:c>
      <x:c r="M11" s="1987" t="n">
        <x:f>IF(G11=0,"",(H11+I11)/G11)</x:f>
        <x:v>0.8</x:v>
      </x:c>
      <x:c r="AA11" t="n">
        <x:v>1</x:v>
      </x:c>
      <x:c r="AB11" t="str">
        <x:f>IF(ISNUMBER('Résultats détaillés'!T10),'Résultats détaillés'!T10,"")</x:f>
      </x:c>
      <x:c r="AC11" t="n">
        <x:f>IF(AND(ISNUMBER(AB11),AB11&gt;=5),AB11*100+27,0)</x:f>
        <x:v>0</x:v>
      </x:c>
      <x:c r="AD11" t="str">
        <x:f>IF(ISBLANK('Résultats détaillés'!B10),"",'Résultats détaillés'!B10)</x:f>
        <x:v>1.6</x:v>
      </x:c>
      <x:c r="AE11" t="str">
        <x:f>IF(ISBLANK('Résultats détaillés'!C10),"",'Résultats détaillés'!C10)</x:f>
        <x:v>Choisir des énergies renouvelables et encourager leur utilisation.</x:v>
      </x:c>
      <x:c r="AF11" t="str">
        <x:f>IF(ISBLANK('Résultats détaillés'!E10),"",'Résultats détaillés'!E10)</x:f>
      </x:c>
      <x:c r="AG11" t="str">
        <x:f>IF(ISBLANK('Résultats détaillés'!F10),"",'Résultats détaillés'!F10)</x:f>
      </x:c>
      <x:c r="AH11" t="n">
        <x:f>IF(ISNUMBER('Résultats détaillés'!H10),IF(AND('Résultats détaillés'!H10&gt;=1,'Résultats détaillés'!H10&lt;=4,MOD('Résultats détaillés'!H10,1)=0),'Résultats détaillés'!H10,0),0)</x:f>
        <x:v>0</x:v>
      </x:c>
      <x:c r="AI11" t="str">
        <x:f>IF(ISBLANK('Résultats détaillés'!W10),"",'Résultats détaillés'!W10)</x:f>
      </x:c>
      <x:c r="AJ11" t="n">
        <x:f>IF(LEN(TRIM(AI11))&gt;0,1,0)</x:f>
        <x:v>0</x:v>
      </x:c>
      <x:c r="AK11" t="n">
        <x:f>IF(LEN(TRIM('Résultats détaillés'!G10))&gt;0,1,0)</x:f>
        <x:v>0</x:v>
      </x:c>
      <x:c r="AL11" t="n">
        <x:f>IF(OR(IF(LEN('Résultats détaillés'!E10)=0,FALSE,NOT(IF(ISNUMBER('Résultats détaillés'!E10),AND('Résultats détaillés'!E10&gt;=0,'Résultats détaillés'!E10&lt;=3,MOD('Résultats détaillés'!E10,1)=0),FALSE))),IF(LEN('Résultats détaillés'!F10)=0,FALSE,NOT(IF(ISNUMBER('Résultats détaillés'!F10),AND('Résultats détaillés'!F10&gt;=1,'Résultats détaillés'!F10&lt;=4,MOD('Résultats détaillés'!F10,1)=0),FALSE))),IF(LEN('Résultats détaillés'!H10)=0,FALSE,NOT(IF(ISNUMBER('Résultats détaillés'!H10),AND('Résultats détaillés'!H10&gt;=1,'Résultats détaillés'!H10&lt;=4,MOD('Résultats détaillés'!H10,1)=0),FALSE)))),1,0)</x:f>
        <x:v>0</x:v>
      </x:c>
      <x:c r="AM11" t="n">
        <x:f>IF(AND(ISNUMBER(AB11),AB11&gt;0,AK11=0),1,0)</x:f>
        <x:v>0</x:v>
      </x:c>
      <x:c r="AN11" t="n">
        <x:v>10</x:v>
      </x:c>
      <x:c r="AO11" t="n">
        <x:f>IF(AND(ISNUMBER(AB11),AB11&gt;0),1,0)</x:f>
        <x:v>0</x:v>
      </x:c>
      <x:c r="AP11" t="n">
        <x:f>IF(AND(AC11&gt;0,AH11=0),1,0)</x:f>
        <x:v>0</x:v>
      </x:c>
      <x:c r="AQ11" t="n">
        <x:f>IF(AND(AC11&gt;0,AJ11=0),1,0)</x:f>
        <x:v>0</x:v>
      </x:c>
      <x:c r="AR11" t="n">
        <x:f>IF(ISNUMBER(AB11),1,0)</x:f>
        <x:v>0</x:v>
      </x:c>
    </x:row>
    <x:row r="12" s="1214" customFormat="1" ht="32" customHeight="1">
      <x:c r="A12"/>
      <x:c r="B12" s="1978" t="str">
        <x:v>2. Inclusion</x:v>
      </x:c>
      <x:c r="C12" s="1977" t="n">
        <x:f>'Résultats détaillés'!AC13</x:f>
        <x:v>5</x:v>
      </x:c>
      <x:c r="D12" s="1977" t="n">
        <x:f>'Résultats détaillés'!AD13</x:f>
        <x:v>0</x:v>
      </x:c>
      <x:c r="E12" s="1977" t="n">
        <x:f>C12-D12</x:f>
        <x:v>5</x:v>
      </x:c>
      <x:c r="F12" s="1987" t="n">
        <x:f>D12/C12</x:f>
        <x:v>0</x:v>
      </x:c>
      <x:c r="G12" s="1977" t="n">
        <x:f>SUMIFS($AO$6:$AO$37,$AA$6:$AA$37,2)</x:f>
        <x:v>0</x:v>
      </x:c>
      <x:c r="H12" s="1977" t="n">
        <x:f>'Résultats détaillés'!AF13</x:f>
        <x:v>0</x:v>
      </x:c>
      <x:c r="I12" s="1977" t="n">
        <x:f>'Résultats détaillés'!AG13</x:f>
        <x:v>0</x:v>
      </x:c>
      <x:c r="J12" s="1987" t="str">
        <x:f>IF(G12=0,"",COUNTIFS($AA$6:$AA$37,2,$AO$6:$AO$37,1,$AG$6:$AG$37,4)/G12)</x:f>
      </x:c>
      <x:c r="K12" s="1987" t="str">
        <x:f>IF(H12+I12=0,"",SUMIFS($AJ$6:$AJ$37,$AA$6:$AA$37,2,$AC$6:$AC$37,"&gt;0")/(H12+I12))</x:f>
      </x:c>
      <x:c r="L12" s="1977" t="n">
        <x:f>SUMIFS($AQ$6:$AQ$37,$AA$6:$AA$37,2)</x:f>
        <x:v>0</x:v>
      </x:c>
      <x:c r="M12" s="1987" t="str">
        <x:f>IF(G12=0,"",(H12+I12)/G12)</x:f>
      </x:c>
      <x:c r="AA12" t="n">
        <x:v>1</x:v>
      </x:c>
      <x:c r="AB12" t="n">
        <x:f>IF(ISNUMBER('Résultats détaillés'!T11),'Résultats détaillés'!T11,"")</x:f>
        <x:v>6</x:v>
      </x:c>
      <x:c r="AC12" t="n">
        <x:f>IF(AND(ISNUMBER(AB12),AB12&gt;=5),AB12*100+26,0)</x:f>
        <x:v>626</x:v>
      </x:c>
      <x:c r="AD12" t="str">
        <x:f>IF(ISBLANK('Résultats détaillés'!B11),"",'Résultats détaillés'!B11)</x:f>
        <x:v>1.7</x:v>
      </x:c>
      <x:c r="AE12" t="str">
        <x:f>IF(ISBLANK('Résultats détaillés'!C11),"",'Résultats détaillés'!C11)</x:f>
        <x:v>Réserver l’intelligence artificielle aux besoins qui la justifient et privilégier des solutions sobres en ressources.</x:v>
      </x:c>
      <x:c r="AF12" t="n">
        <x:f>IF(ISBLANK('Résultats détaillés'!E11),"",'Résultats détaillés'!E11)</x:f>
        <x:v>3</x:v>
      </x:c>
      <x:c r="AG12" t="n">
        <x:f>IF(ISBLANK('Résultats détaillés'!F11),"",'Résultats détaillés'!F11)</x:f>
        <x:v>1</x:v>
      </x:c>
      <x:c r="AH12" t="n">
        <x:f>IF(ISNUMBER('Résultats détaillés'!H11),IF(AND('Résultats détaillés'!H11&gt;=1,'Résultats détaillés'!H11&lt;=4,MOD('Résultats détaillés'!H11,1)=0),'Résultats détaillés'!H11,0),0)</x:f>
        <x:v>2</x:v>
      </x:c>
      <x:c r="AI12" t="str">
        <x:f>IF(ISBLANK('Résultats détaillés'!W11),"",'Résultats détaillés'!W11)</x:f>
        <x:v>1. Vérifier le besoin avant chaque projet : faut-il de l’IA ou un outil informatique classique suffit-il ?
2. Choisir de petits modèles spécialisés quand ils répondent au besoin.
3. Former les développeurs et les spécialistes des données à réduire la consommation de l’IA, en améliorant le code et en évitant les calculs répétés.</x:v>
      </x:c>
      <x:c r="AJ12" t="n">
        <x:f>IF(LEN(TRIM(AI12))&gt;0,1,0)</x:f>
        <x:v>1</x:v>
      </x:c>
      <x:c r="AK12" t="n">
        <x:f>IF(LEN(TRIM('Résultats détaillés'!G11))&gt;0,1,0)</x:f>
        <x:v>1</x:v>
      </x:c>
      <x:c r="AL12" t="n">
        <x:f>IF(OR(IF(LEN('Résultats détaillés'!E11)=0,FALSE,NOT(IF(ISNUMBER('Résultats détaillés'!E11),AND('Résultats détaillés'!E11&gt;=0,'Résultats détaillés'!E11&lt;=3,MOD('Résultats détaillés'!E11,1)=0),FALSE))),IF(LEN('Résultats détaillés'!F11)=0,FALSE,NOT(IF(ISNUMBER('Résultats détaillés'!F11),AND('Résultats détaillés'!F11&gt;=1,'Résultats détaillés'!F11&lt;=4,MOD('Résultats détaillés'!F11,1)=0),FALSE))),IF(LEN('Résultats détaillés'!H11)=0,FALSE,NOT(IF(ISNUMBER('Résultats détaillés'!H11),AND('Résultats détaillés'!H11&gt;=1,'Résultats détaillés'!H11&lt;=4,MOD('Résultats détaillés'!H11,1)=0),FALSE)))),1,0)</x:f>
        <x:v>0</x:v>
      </x:c>
      <x:c r="AM12" t="n">
        <x:f>IF(AND(ISNUMBER(AB12),AB12&gt;0,AK12=0),1,0)</x:f>
        <x:v>0</x:v>
      </x:c>
      <x:c r="AN12" t="n">
        <x:v>11</x:v>
      </x:c>
      <x:c r="AO12" t="n">
        <x:f>IF(AND(ISNUMBER(AB12),AB12&gt;0),1,0)</x:f>
        <x:v>1</x:v>
      </x:c>
      <x:c r="AP12" t="n">
        <x:f>IF(AND(AC12&gt;0,AH12=0),1,0)</x:f>
        <x:v>0</x:v>
      </x:c>
      <x:c r="AQ12" t="n">
        <x:f>IF(AND(AC12&gt;0,AJ12=0),1,0)</x:f>
        <x:v>0</x:v>
      </x:c>
      <x:c r="AR12" t="n">
        <x:f>IF(ISNUMBER(AB12),1,0)</x:f>
        <x:v>1</x:v>
      </x:c>
    </x:row>
    <x:row r="13" s="1214" customFormat="1" ht="32" customHeight="1">
      <x:c r="A13"/>
      <x:c r="B13" s="1979" t="str">
        <x:v>3. RSE et éthique</x:v>
      </x:c>
      <x:c r="C13" s="1977" t="n">
        <x:f>'Résultats détaillés'!AC19</x:f>
        <x:v>8</x:v>
      </x:c>
      <x:c r="D13" s="1977" t="n">
        <x:f>'Résultats détaillés'!AD19</x:f>
        <x:v>0</x:v>
      </x:c>
      <x:c r="E13" s="1977" t="n">
        <x:f>C13-D13</x:f>
        <x:v>8</x:v>
      </x:c>
      <x:c r="F13" s="1987" t="n">
        <x:f>D13/C13</x:f>
        <x:v>0</x:v>
      </x:c>
      <x:c r="G13" s="1977" t="n">
        <x:f>SUMIFS($AO$6:$AO$37,$AA$6:$AA$37,3)</x:f>
        <x:v>0</x:v>
      </x:c>
      <x:c r="H13" s="1977" t="n">
        <x:f>'Résultats détaillés'!AF19</x:f>
        <x:v>0</x:v>
      </x:c>
      <x:c r="I13" s="1977" t="n">
        <x:f>'Résultats détaillés'!AG19</x:f>
        <x:v>0</x:v>
      </x:c>
      <x:c r="J13" s="1987" t="str">
        <x:f>IF(G13=0,"",COUNTIFS($AA$6:$AA$37,3,$AO$6:$AO$37,1,$AG$6:$AG$37,4)/G13)</x:f>
      </x:c>
      <x:c r="K13" s="1987" t="str">
        <x:f>IF(H13+I13=0,"",SUMIFS($AJ$6:$AJ$37,$AA$6:$AA$37,3,$AC$6:$AC$37,"&gt;0")/(H13+I13))</x:f>
      </x:c>
      <x:c r="L13" s="1977" t="n">
        <x:f>SUMIFS($AQ$6:$AQ$37,$AA$6:$AA$37,3)</x:f>
        <x:v>0</x:v>
      </x:c>
      <x:c r="M13" s="1987" t="str">
        <x:f>IF(G13=0,"",(H13+I13)/G13)</x:f>
      </x:c>
      <x:c r="AA13" t="n">
        <x:v>1</x:v>
      </x:c>
      <x:c r="AB13" t="n">
        <x:f>IF(ISNUMBER('Résultats détaillés'!T12),'Résultats détaillés'!T12,"")</x:f>
        <x:v>6</x:v>
      </x:c>
      <x:c r="AC13" t="n">
        <x:f>IF(AND(ISNUMBER(AB13),AB13&gt;=5),AB13*100+25,0)</x:f>
        <x:v>625</x:v>
      </x:c>
      <x:c r="AD13" t="str">
        <x:f>IF(ISBLANK('Résultats détaillés'!B12),"",'Résultats détaillés'!B12)</x:f>
        <x:v>1.8</x:v>
      </x:c>
      <x:c r="AE13" t="str">
        <x:f>IF(ISBLANK('Résultats détaillés'!C12),"",'Résultats détaillés'!C12)</x:f>
        <x:v>Mesurer et réduire ce que consomme l’intelligence artificielle, pendant son entraînement comme pendant son utilisation.</x:v>
      </x:c>
      <x:c r="AF13" t="n">
        <x:f>IF(ISBLANK('Résultats détaillés'!E12),"",'Résultats détaillés'!E12)</x:f>
        <x:v>3</x:v>
      </x:c>
      <x:c r="AG13" t="n">
        <x:f>IF(ISBLANK('Résultats détaillés'!F12),"",'Résultats détaillés'!F12)</x:f>
        <x:v>1</x:v>
      </x:c>
      <x:c r="AH13" t="n">
        <x:f>IF(ISNUMBER('Résultats détaillés'!H12),IF(AND('Résultats détaillés'!H12&gt;=1,'Résultats détaillés'!H12&lt;=4,MOD('Résultats détaillés'!H12,1)=0),'Résultats détaillés'!H12,0),0)</x:f>
        <x:v>2</x:v>
      </x:c>
      <x:c r="AI13" t="str">
        <x:f>IF(ISBLANK('Résultats détaillés'!W12),"",'Résultats détaillés'!W12)</x:f>
        <x:v>1. Vérifier le besoin avant chaque projet : faut-il de l’IA ou un outil informatique classique suffit-il ?
2. Choisir de petits modèles spécialisés quand ils répondent au besoin.
3. Former les développeurs et les spécialistes des données à réduire la consommation de l’IA, en améliorant le code et en évitant les calculs répétés.</x:v>
      </x:c>
      <x:c r="AJ13" t="n">
        <x:f>IF(LEN(TRIM(AI13))&gt;0,1,0)</x:f>
        <x:v>1</x:v>
      </x:c>
      <x:c r="AK13" t="n">
        <x:f>IF(LEN(TRIM('Résultats détaillés'!G12))&gt;0,1,0)</x:f>
        <x:v>1</x:v>
      </x:c>
      <x:c r="AL13" t="n">
        <x:f>IF(OR(IF(LEN('Résultats détaillés'!E12)=0,FALSE,NOT(IF(ISNUMBER('Résultats détaillés'!E12),AND('Résultats détaillés'!E12&gt;=0,'Résultats détaillés'!E12&lt;=3,MOD('Résultats détaillés'!E12,1)=0),FALSE))),IF(LEN('Résultats détaillés'!F12)=0,FALSE,NOT(IF(ISNUMBER('Résultats détaillés'!F12),AND('Résultats détaillés'!F12&gt;=1,'Résultats détaillés'!F12&lt;=4,MOD('Résultats détaillés'!F12,1)=0),FALSE))),IF(LEN('Résultats détaillés'!H12)=0,FALSE,NOT(IF(ISNUMBER('Résultats détaillés'!H12),AND('Résultats détaillés'!H12&gt;=1,'Résultats détaillés'!H12&lt;=4,MOD('Résultats détaillés'!H12,1)=0),FALSE)))),1,0)</x:f>
        <x:v>0</x:v>
      </x:c>
      <x:c r="AM13" t="n">
        <x:f>IF(AND(ISNUMBER(AB13),AB13&gt;0,AK13=0),1,0)</x:f>
        <x:v>0</x:v>
      </x:c>
      <x:c r="AN13" t="n">
        <x:v>12</x:v>
      </x:c>
      <x:c r="AO13" t="n">
        <x:f>IF(AND(ISNUMBER(AB13),AB13&gt;0),1,0)</x:f>
        <x:v>1</x:v>
      </x:c>
      <x:c r="AP13" t="n">
        <x:f>IF(AND(AC13&gt;0,AH13=0),1,0)</x:f>
        <x:v>0</x:v>
      </x:c>
      <x:c r="AQ13" t="n">
        <x:f>IF(AND(AC13&gt;0,AJ13=0),1,0)</x:f>
        <x:v>0</x:v>
      </x:c>
      <x:c r="AR13" t="n">
        <x:f>IF(ISNUMBER(AB13),1,0)</x:f>
        <x:v>1</x:v>
      </x:c>
    </x:row>
    <x:row r="14" s="1214" customFormat="1" ht="32" customHeight="1">
      <x:c r="A14"/>
      <x:c r="B14" s="1980" t="str">
        <x:v>4. Résilience</x:v>
      </x:c>
      <x:c r="C14" s="1977" t="n">
        <x:f>'Résultats détaillés'!AC28</x:f>
        <x:v>4</x:v>
      </x:c>
      <x:c r="D14" s="1977" t="n">
        <x:f>'Résultats détaillés'!AD28</x:f>
        <x:v>0</x:v>
      </x:c>
      <x:c r="E14" s="1977" t="n">
        <x:f>C14-D14</x:f>
        <x:v>4</x:v>
      </x:c>
      <x:c r="F14" s="1987" t="n">
        <x:f>D14/C14</x:f>
        <x:v>0</x:v>
      </x:c>
      <x:c r="G14" s="1977" t="n">
        <x:f>SUMIFS($AO$6:$AO$37,$AA$6:$AA$37,4)</x:f>
        <x:v>0</x:v>
      </x:c>
      <x:c r="H14" s="1977" t="n">
        <x:f>'Résultats détaillés'!AF28</x:f>
        <x:v>0</x:v>
      </x:c>
      <x:c r="I14" s="1977" t="n">
        <x:f>'Résultats détaillés'!AG28</x:f>
        <x:v>0</x:v>
      </x:c>
      <x:c r="J14" s="1987" t="str">
        <x:f>IF(G14=0,"",COUNTIFS($AA$6:$AA$37,4,$AO$6:$AO$37,1,$AG$6:$AG$37,4)/G14)</x:f>
      </x:c>
      <x:c r="K14" s="1987" t="str">
        <x:f>IF(H14+I14=0,"",SUMIFS($AJ$6:$AJ$37,$AA$6:$AA$37,4,$AC$6:$AC$37,"&gt;0")/(H14+I14))</x:f>
      </x:c>
      <x:c r="L14" s="1977" t="n">
        <x:f>SUMIFS($AQ$6:$AQ$37,$AA$6:$AA$37,4)</x:f>
        <x:v>0</x:v>
      </x:c>
      <x:c r="M14" s="1987" t="str">
        <x:f>IF(G14=0,"",(H14+I14)/G14)</x:f>
      </x:c>
      <x:c r="AA14" t="n">
        <x:v>2</x:v>
      </x:c>
      <x:c r="AB14" t="str">
        <x:f>IF(ISNUMBER('Résultats détaillés'!T14),'Résultats détaillés'!T14,"")</x:f>
      </x:c>
      <x:c r="AC14" t="n">
        <x:f>IF(AND(ISNUMBER(AB14),AB14&gt;=5),AB14*100+24,0)</x:f>
        <x:v>0</x:v>
      </x:c>
      <x:c r="AD14" t="str">
        <x:f>IF(ISBLANK('Résultats détaillés'!B14),"",'Résultats détaillés'!B14)</x:f>
        <x:v>2.1</x:v>
      </x:c>
      <x:c r="AE14" t="str">
        <x:f>IF(ISBLANK('Résultats détaillés'!C14),"",'Résultats détaillés'!C14)</x:f>
        <x:v>Intégrer dans tous les achats des exigences qui tiennent compte de leurs effets sur la société et l’environnement.</x:v>
      </x:c>
      <x:c r="AF14" t="str">
        <x:f>IF(ISBLANK('Résultats détaillés'!E14),"",'Résultats détaillés'!E14)</x:f>
      </x:c>
      <x:c r="AG14" t="str">
        <x:f>IF(ISBLANK('Résultats détaillés'!F14),"",'Résultats détaillés'!F14)</x:f>
      </x:c>
      <x:c r="AH14" t="n">
        <x:f>IF(ISNUMBER('Résultats détaillés'!H14),IF(AND('Résultats détaillés'!H14&gt;=1,'Résultats détaillés'!H14&lt;=4,MOD('Résultats détaillés'!H14,1)=0),'Résultats détaillés'!H14,0),0)</x:f>
        <x:v>0</x:v>
      </x:c>
      <x:c r="AI14" t="str">
        <x:f>IF(ISBLANK('Résultats détaillés'!W14),"",'Résultats détaillés'!W14)</x:f>
      </x:c>
      <x:c r="AJ14" t="n">
        <x:f>IF(LEN(TRIM(AI14))&gt;0,1,0)</x:f>
        <x:v>0</x:v>
      </x:c>
      <x:c r="AK14" t="n">
        <x:f>IF(LEN(TRIM('Résultats détaillés'!G14))&gt;0,1,0)</x:f>
        <x:v>0</x:v>
      </x:c>
      <x:c r="AL14" t="n">
        <x:f>IF(OR(IF(LEN('Résultats détaillés'!E14)=0,FALSE,NOT(IF(ISNUMBER('Résultats détaillés'!E14),AND('Résultats détaillés'!E14&gt;=0,'Résultats détaillés'!E14&lt;=3,MOD('Résultats détaillés'!E14,1)=0),FALSE))),IF(LEN('Résultats détaillés'!F14)=0,FALSE,NOT(IF(ISNUMBER('Résultats détaillés'!F14),AND('Résultats détaillés'!F14&gt;=1,'Résultats détaillés'!F14&lt;=4,MOD('Résultats détaillés'!F14,1)=0),FALSE))),IF(LEN('Résultats détaillés'!H14)=0,FALSE,NOT(IF(ISNUMBER('Résultats détaillés'!H14),AND('Résultats détaillés'!H14&gt;=1,'Résultats détaillés'!H14&lt;=4,MOD('Résultats détaillés'!H14,1)=0),FALSE)))),1,0)</x:f>
        <x:v>0</x:v>
      </x:c>
      <x:c r="AM14" t="n">
        <x:f>IF(AND(ISNUMBER(AB14),AB14&gt;0,AK14=0),1,0)</x:f>
        <x:v>0</x:v>
      </x:c>
      <x:c r="AN14" t="n">
        <x:v>14</x:v>
      </x:c>
      <x:c r="AO14" t="n">
        <x:f>IF(AND(ISNUMBER(AB14),AB14&gt;0),1,0)</x:f>
        <x:v>0</x:v>
      </x:c>
      <x:c r="AP14" t="n">
        <x:f>IF(AND(AC14&gt;0,AH14=0),1,0)</x:f>
        <x:v>0</x:v>
      </x:c>
      <x:c r="AQ14" t="n">
        <x:f>IF(AND(AC14&gt;0,AJ14=0),1,0)</x:f>
        <x:v>0</x:v>
      </x:c>
      <x:c r="AR14" t="n">
        <x:f>IF(ISNUMBER(AB14),1,0)</x:f>
        <x:v>0</x:v>
      </x:c>
    </x:row>
    <x:row r="15" s="1214" customFormat="1" ht="32" customHeight="1">
      <x:c r="A15"/>
      <x:c r="B15" s="1981" t="str">
        <x:v>5. Management</x:v>
      </x:c>
      <x:c r="C15" s="1977" t="n">
        <x:f>'Résultats détaillés'!AC33</x:f>
        <x:v>7</x:v>
      </x:c>
      <x:c r="D15" s="1977" t="n">
        <x:f>'Résultats détaillés'!AD33</x:f>
        <x:v>0</x:v>
      </x:c>
      <x:c r="E15" s="1977" t="n">
        <x:f>C15-D15</x:f>
        <x:v>7</x:v>
      </x:c>
      <x:c r="F15" s="1987" t="n">
        <x:f>D15/C15</x:f>
        <x:v>0</x:v>
      </x:c>
      <x:c r="G15" s="1977" t="n">
        <x:f>SUMIFS($AO$6:$AO$37,$AA$6:$AA$37,5)</x:f>
        <x:v>0</x:v>
      </x:c>
      <x:c r="H15" s="1977" t="n">
        <x:f>'Résultats détaillés'!AF33</x:f>
        <x:v>0</x:v>
      </x:c>
      <x:c r="I15" s="1977" t="n">
        <x:f>'Résultats détaillés'!AG33</x:f>
        <x:v>0</x:v>
      </x:c>
      <x:c r="J15" s="1987" t="str">
        <x:f>IF(G15=0,"",COUNTIFS($AA$6:$AA$37,5,$AO$6:$AO$37,1,$AG$6:$AG$37,4)/G15)</x:f>
      </x:c>
      <x:c r="K15" s="1987" t="str">
        <x:f>IF(H15+I15=0,"",SUMIFS($AJ$6:$AJ$37,$AA$6:$AA$37,5,$AC$6:$AC$37,"&gt;0")/(H15+I15))</x:f>
      </x:c>
      <x:c r="L15" s="1977" t="n">
        <x:f>SUMIFS($AQ$6:$AQ$37,$AA$6:$AA$37,5)</x:f>
        <x:v>0</x:v>
      </x:c>
      <x:c r="M15" s="1987" t="str">
        <x:f>IF(G15=0,"",(H15+I15)/G15)</x:f>
      </x:c>
      <x:c r="AA15" t="n">
        <x:v>2</x:v>
      </x:c>
      <x:c r="AB15" t="str">
        <x:f>IF(ISNUMBER('Résultats détaillés'!T15),'Résultats détaillés'!T15,"")</x:f>
      </x:c>
      <x:c r="AC15" t="n">
        <x:f>IF(AND(ISNUMBER(AB15),AB15&gt;=5),AB15*100+23,0)</x:f>
        <x:v>0</x:v>
      </x:c>
      <x:c r="AD15" t="str">
        <x:f>IF(ISBLANK('Résultats détaillés'!B15),"",'Résultats détaillés'!B15)</x:f>
        <x:v>2.2</x:v>
      </x:c>
      <x:c r="AE15" t="str">
        <x:f>IF(ISBLANK('Résultats détaillés'!C15),"",'Résultats détaillés'!C15)</x:f>
        <x:v>Rendre les services numériques accessibles à toutes et tous. Mesurer leur respect du RGAA, le référentiel français sur l’accessibilité numérique.</x:v>
      </x:c>
      <x:c r="AF15" t="str">
        <x:f>IF(ISBLANK('Résultats détaillés'!E15),"",'Résultats détaillés'!E15)</x:f>
      </x:c>
      <x:c r="AG15" t="str">
        <x:f>IF(ISBLANK('Résultats détaillés'!F15),"",'Résultats détaillés'!F15)</x:f>
      </x:c>
      <x:c r="AH15" t="n">
        <x:f>IF(ISNUMBER('Résultats détaillés'!H15),IF(AND('Résultats détaillés'!H15&gt;=1,'Résultats détaillés'!H15&lt;=4,MOD('Résultats détaillés'!H15,1)=0),'Résultats détaillés'!H15,0),0)</x:f>
        <x:v>0</x:v>
      </x:c>
      <x:c r="AI15" t="str">
        <x:f>IF(ISBLANK('Résultats détaillés'!W15),"",'Résultats détaillés'!W15)</x:f>
      </x:c>
      <x:c r="AJ15" t="n">
        <x:f>IF(LEN(TRIM(AI15))&gt;0,1,0)</x:f>
        <x:v>0</x:v>
      </x:c>
      <x:c r="AK15" t="n">
        <x:f>IF(LEN(TRIM('Résultats détaillés'!G15))&gt;0,1,0)</x:f>
        <x:v>0</x:v>
      </x:c>
      <x:c r="AL15" t="n">
        <x:f>IF(OR(IF(LEN('Résultats détaillés'!E15)=0,FALSE,NOT(IF(ISNUMBER('Résultats détaillés'!E15),AND('Résultats détaillés'!E15&gt;=0,'Résultats détaillés'!E15&lt;=3,MOD('Résultats détaillés'!E15,1)=0),FALSE))),IF(LEN('Résultats détaillés'!F15)=0,FALSE,NOT(IF(ISNUMBER('Résultats détaillés'!F15),AND('Résultats détaillés'!F15&gt;=1,'Résultats détaillés'!F15&lt;=4,MOD('Résultats détaillés'!F15,1)=0),FALSE))),IF(LEN('Résultats détaillés'!H15)=0,FALSE,NOT(IF(ISNUMBER('Résultats détaillés'!H15),AND('Résultats détaillés'!H15&gt;=1,'Résultats détaillés'!H15&lt;=4,MOD('Résultats détaillés'!H15,1)=0),FALSE)))),1,0)</x:f>
        <x:v>0</x:v>
      </x:c>
      <x:c r="AM15" t="n">
        <x:f>IF(AND(ISNUMBER(AB15),AB15&gt;0,AK15=0),1,0)</x:f>
        <x:v>0</x:v>
      </x:c>
      <x:c r="AN15" t="n">
        <x:v>15</x:v>
      </x:c>
      <x:c r="AO15" t="n">
        <x:f>IF(AND(ISNUMBER(AB15),AB15&gt;0),1,0)</x:f>
        <x:v>0</x:v>
      </x:c>
      <x:c r="AP15" t="n">
        <x:f>IF(AND(AC15&gt;0,AH15=0),1,0)</x:f>
        <x:v>0</x:v>
      </x:c>
      <x:c r="AQ15" t="n">
        <x:f>IF(AND(AC15&gt;0,AJ15=0),1,0)</x:f>
        <x:v>0</x:v>
      </x:c>
      <x:c r="AR15" t="n">
        <x:f>IF(ISNUMBER(AB15),1,0)</x:f>
        <x:v>0</x:v>
      </x:c>
    </x:row>
    <x:row r="16" s="1214" customFormat="1" ht="32" customHeight="1">
      <x:c r="A16"/>
      <x:c r="B16" s="1985" t="str">
        <x:v>TOTAL</x:v>
      </x:c>
      <x:c r="C16" s="1986" t="n">
        <x:f>SUM(C11:C15)</x:f>
        <x:v>32</x:v>
      </x:c>
      <x:c r="D16" s="1986" t="n">
        <x:f>SUM(D11:D15)</x:f>
        <x:v>5</x:v>
      </x:c>
      <x:c r="E16" s="1986" t="n">
        <x:f>SUM(E11:E15)</x:f>
        <x:v>27</x:v>
      </x:c>
      <x:c r="F16" s="1988" t="n">
        <x:f>D16/C16</x:f>
        <x:v>0.15625</x:v>
      </x:c>
      <x:c r="G16" s="1986" t="n">
        <x:f>SUM(G11:G15)</x:f>
        <x:v>5</x:v>
      </x:c>
      <x:c r="H16" s="1986" t="n">
        <x:f>SUM(H11:H15)</x:f>
        <x:v>3</x:v>
      </x:c>
      <x:c r="I16" s="1986" t="n">
        <x:f>SUM(I11:I15)</x:f>
        <x:v>1</x:v>
      </x:c>
      <x:c r="J16" s="1988" t="n">
        <x:f>IF(G16=0,"",COUNTIFS($AO$6:$AO$37,1,$AG$6:$AG$37,4)/G16)</x:f>
        <x:v>0</x:v>
      </x:c>
      <x:c r="K16" s="1988" t="n">
        <x:f>IF(H16+I16=0,"",SUMIFS($AJ$6:$AJ$37,$AC$6:$AC$37,"&gt;0")/(H16+I16))</x:f>
        <x:v>1</x:v>
      </x:c>
      <x:c r="L16" s="1986" t="n">
        <x:f>SUM(L11:L15)</x:f>
        <x:v>0</x:v>
      </x:c>
      <x:c r="M16" s="1988" t="n">
        <x:f>IF(G16=0,"",(H16+I16)/G16)</x:f>
        <x:v>0.8</x:v>
      </x:c>
      <x:c r="AA16" t="n">
        <x:v>2</x:v>
      </x:c>
      <x:c r="AB16" t="str">
        <x:f>IF(ISNUMBER('Résultats détaillés'!T16),'Résultats détaillés'!T16,"")</x:f>
      </x:c>
      <x:c r="AC16" t="n">
        <x:f>IF(AND(ISNUMBER(AB16),AB16&gt;=5),AB16*100+22,0)</x:f>
        <x:v>0</x:v>
      </x:c>
      <x:c r="AD16" t="str">
        <x:f>IF(ISBLANK('Résultats détaillés'!B16),"",'Résultats détaillés'!B16)</x:f>
        <x:v>2.3</x:v>
      </x:c>
      <x:c r="AE16" t="str">
        <x:f>IF(ISBLANK('Résultats détaillés'!C16),"",'Résultats détaillés'!C16)</x:f>
        <x:v>Créer des applications utiles, faciles à utiliser et réellement utilisées : les « 3 U ». Les rendre accessibles pour permettre à chacun d’utiliser le numérique.</x:v>
      </x:c>
      <x:c r="AF16" t="str">
        <x:f>IF(ISBLANK('Résultats détaillés'!E16),"",'Résultats détaillés'!E16)</x:f>
      </x:c>
      <x:c r="AG16" t="str">
        <x:f>IF(ISBLANK('Résultats détaillés'!F16),"",'Résultats détaillés'!F16)</x:f>
      </x:c>
      <x:c r="AH16" t="n">
        <x:f>IF(ISNUMBER('Résultats détaillés'!H16),IF(AND('Résultats détaillés'!H16&gt;=1,'Résultats détaillés'!H16&lt;=4,MOD('Résultats détaillés'!H16,1)=0),'Résultats détaillés'!H16,0),0)</x:f>
        <x:v>0</x:v>
      </x:c>
      <x:c r="AI16" t="str">
        <x:f>IF(ISBLANK('Résultats détaillés'!W16),"",'Résultats détaillés'!W16)</x:f>
      </x:c>
      <x:c r="AJ16" t="n">
        <x:f>IF(LEN(TRIM(AI16))&gt;0,1,0)</x:f>
        <x:v>0</x:v>
      </x:c>
      <x:c r="AK16" t="n">
        <x:f>IF(LEN(TRIM('Résultats détaillés'!G16))&gt;0,1,0)</x:f>
        <x:v>0</x:v>
      </x:c>
      <x:c r="AL16" t="n">
        <x:f>IF(OR(IF(LEN('Résultats détaillés'!E16)=0,FALSE,NOT(IF(ISNUMBER('Résultats détaillés'!E16),AND('Résultats détaillés'!E16&gt;=0,'Résultats détaillés'!E16&lt;=3,MOD('Résultats détaillés'!E16,1)=0),FALSE))),IF(LEN('Résultats détaillés'!F16)=0,FALSE,NOT(IF(ISNUMBER('Résultats détaillés'!F16),AND('Résultats détaillés'!F16&gt;=1,'Résultats détaillés'!F16&lt;=4,MOD('Résultats détaillés'!F16,1)=0),FALSE))),IF(LEN('Résultats détaillés'!H16)=0,FALSE,NOT(IF(ISNUMBER('Résultats détaillés'!H16),AND('Résultats détaillés'!H16&gt;=1,'Résultats détaillés'!H16&lt;=4,MOD('Résultats détaillés'!H16,1)=0),FALSE)))),1,0)</x:f>
        <x:v>0</x:v>
      </x:c>
      <x:c r="AM16" t="n">
        <x:f>IF(AND(ISNUMBER(AB16),AB16&gt;0,AK16=0),1,0)</x:f>
        <x:v>0</x:v>
      </x:c>
      <x:c r="AN16" t="n">
        <x:v>16</x:v>
      </x:c>
      <x:c r="AO16" t="n">
        <x:f>IF(AND(ISNUMBER(AB16),AB16&gt;0),1,0)</x:f>
        <x:v>0</x:v>
      </x:c>
      <x:c r="AP16" t="n">
        <x:f>IF(AND(AC16&gt;0,AH16=0),1,0)</x:f>
        <x:v>0</x:v>
      </x:c>
      <x:c r="AQ16" t="n">
        <x:f>IF(AND(AC16&gt;0,AJ16=0),1,0)</x:f>
        <x:v>0</x:v>
      </x:c>
      <x:c r="AR16" t="n">
        <x:f>IF(ISNUMBER(AB16),1,0)</x:f>
        <x:v>0</x:v>
      </x:c>
    </x:row>
    <x:row r="17" s="1214" customFormat="1" ht="24" customHeight="1">
      <x:c r="A17"/>
      <x:c r="B17" s="1927"/>
      <x:c r="C17" s="1927"/>
      <x:c r="D17" s="1927"/>
      <x:c r="E17" s="1927"/>
      <x:c r="F17" s="1927"/>
      <x:c r="G17" s="1927"/>
      <x:c r="H17" s="1927"/>
      <x:c r="I17" s="1927"/>
      <x:c r="J17" s="1927"/>
      <x:c r="K17" s="1927"/>
      <x:c r="L17" s="1927"/>
      <x:c r="M17" s="1927"/>
      <x:c r="AA17" t="n">
        <x:v>2</x:v>
      </x:c>
      <x:c r="AB17" t="str">
        <x:f>IF(ISNUMBER('Résultats détaillés'!T17),'Résultats détaillés'!T17,"")</x:f>
      </x:c>
      <x:c r="AC17" t="n">
        <x:f>IF(AND(ISNUMBER(AB17),AB17&gt;=5),AB17*100+21,0)</x:f>
        <x:v>0</x:v>
      </x:c>
      <x:c r="AD17" t="str">
        <x:f>IF(ISBLANK('Résultats détaillés'!B17),"",'Résultats détaillés'!B17)</x:f>
        <x:v>2.4</x:v>
      </x:c>
      <x:c r="AE17" t="str">
        <x:f>IF(ISBLANK('Résultats détaillés'!C17),"",'Résultats détaillés'!C17)</x:f>
        <x:v>Concevoir les services avec leurs utilisateurs et utilisatrices, en se concentrant sur leurs besoins réels.</x:v>
      </x:c>
      <x:c r="AF17" t="str">
        <x:f>IF(ISBLANK('Résultats détaillés'!E17),"",'Résultats détaillés'!E17)</x:f>
      </x:c>
      <x:c r="AG17" t="str">
        <x:f>IF(ISBLANK('Résultats détaillés'!F17),"",'Résultats détaillés'!F17)</x:f>
      </x:c>
      <x:c r="AH17" t="n">
        <x:f>IF(ISNUMBER('Résultats détaillés'!H17),IF(AND('Résultats détaillés'!H17&gt;=1,'Résultats détaillés'!H17&lt;=4,MOD('Résultats détaillés'!H17,1)=0),'Résultats détaillés'!H17,0),0)</x:f>
        <x:v>0</x:v>
      </x:c>
      <x:c r="AI17" t="str">
        <x:f>IF(ISBLANK('Résultats détaillés'!W17),"",'Résultats détaillés'!W17)</x:f>
      </x:c>
      <x:c r="AJ17" t="n">
        <x:f>IF(LEN(TRIM(AI17))&gt;0,1,0)</x:f>
        <x:v>0</x:v>
      </x:c>
      <x:c r="AK17" t="n">
        <x:f>IF(LEN(TRIM('Résultats détaillés'!G17))&gt;0,1,0)</x:f>
        <x:v>0</x:v>
      </x:c>
      <x:c r="AL17" t="n">
        <x:f>IF(OR(IF(LEN('Résultats détaillés'!E17)=0,FALSE,NOT(IF(ISNUMBER('Résultats détaillés'!E17),AND('Résultats détaillés'!E17&gt;=0,'Résultats détaillés'!E17&lt;=3,MOD('Résultats détaillés'!E17,1)=0),FALSE))),IF(LEN('Résultats détaillés'!F17)=0,FALSE,NOT(IF(ISNUMBER('Résultats détaillés'!F17),AND('Résultats détaillés'!F17&gt;=1,'Résultats détaillés'!F17&lt;=4,MOD('Résultats détaillés'!F17,1)=0),FALSE))),IF(LEN('Résultats détaillés'!H17)=0,FALSE,NOT(IF(ISNUMBER('Résultats détaillés'!H17),AND('Résultats détaillés'!H17&gt;=1,'Résultats détaillés'!H17&lt;=4,MOD('Résultats détaillés'!H17,1)=0),FALSE)))),1,0)</x:f>
        <x:v>0</x:v>
      </x:c>
      <x:c r="AM17" t="n">
        <x:f>IF(AND(ISNUMBER(AB17),AB17&gt;0,AK17=0),1,0)</x:f>
        <x:v>0</x:v>
      </x:c>
      <x:c r="AN17" t="n">
        <x:v>17</x:v>
      </x:c>
      <x:c r="AO17" t="n">
        <x:f>IF(AND(ISNUMBER(AB17),AB17&gt;0),1,0)</x:f>
        <x:v>0</x:v>
      </x:c>
      <x:c r="AP17" t="n">
        <x:f>IF(AND(AC17&gt;0,AH17=0),1,0)</x:f>
        <x:v>0</x:v>
      </x:c>
      <x:c r="AQ17" t="n">
        <x:f>IF(AND(AC17&gt;0,AJ17=0),1,0)</x:f>
        <x:v>0</x:v>
      </x:c>
      <x:c r="AR17" t="n">
        <x:f>IF(ISNUMBER(AB17),1,0)</x:f>
        <x:v>0</x:v>
      </x:c>
    </x:row>
    <x:row r="18" s="1214" customFormat="1" ht="24" customHeight="1">
      <x:c r="A18"/>
      <x:c r="B18" s="1953" t="str">
        <x:v>Part prioritaire = urgentes + prioritaires / applicables évaluées. « Avec action » = une proposition écrite pour ces priorités.</x:v>
      </x:c>
      <x:c r="C18" s="1953"/>
      <x:c r="D18" s="1953"/>
      <x:c r="E18" s="1953"/>
      <x:c r="F18" s="1953"/>
      <x:c r="G18" s="1953"/>
      <x:c r="H18" s="1953"/>
      <x:c r="I18" s="1953"/>
      <x:c r="J18" s="1953"/>
      <x:c r="K18" s="1953"/>
      <x:c r="L18" s="1953"/>
      <x:c r="M18" s="1953"/>
      <x:c r="AA18" t="n">
        <x:v>2</x:v>
      </x:c>
      <x:c r="AB18" t="str">
        <x:f>IF(ISNUMBER('Résultats détaillés'!T18),'Résultats détaillés'!T18,"")</x:f>
      </x:c>
      <x:c r="AC18" t="n">
        <x:f>IF(AND(ISNUMBER(AB18),AB18&gt;=5),AB18*100+20,0)</x:f>
        <x:v>0</x:v>
      </x:c>
      <x:c r="AD18" t="str">
        <x:f>IF(ISBLANK('Résultats détaillés'!B18),"",'Résultats détaillés'!B18)</x:f>
        <x:v>2.5</x:v>
      </x:c>
      <x:c r="AE18" t="str">
        <x:f>IF(ISBLANK('Résultats détaillés'!C18),"",'Résultats détaillés'!C18)</x:f>
        <x:v>Vérifier que l’intelligence artificielle ne discrimine personne et que ses services peuvent être utilisés par toutes et tous.</x:v>
      </x:c>
      <x:c r="AF18" t="str">
        <x:f>IF(ISBLANK('Résultats détaillés'!E18),"",'Résultats détaillés'!E18)</x:f>
      </x:c>
      <x:c r="AG18" t="str">
        <x:f>IF(ISBLANK('Résultats détaillés'!F18),"",'Résultats détaillés'!F18)</x:f>
      </x:c>
      <x:c r="AH18" t="n">
        <x:f>IF(ISNUMBER('Résultats détaillés'!H18),IF(AND('Résultats détaillés'!H18&gt;=1,'Résultats détaillés'!H18&lt;=4,MOD('Résultats détaillés'!H18,1)=0),'Résultats détaillés'!H18,0),0)</x:f>
        <x:v>0</x:v>
      </x:c>
      <x:c r="AI18" t="str">
        <x:f>IF(ISBLANK('Résultats détaillés'!W18),"",'Résultats détaillés'!W18)</x:f>
      </x:c>
      <x:c r="AJ18" t="n">
        <x:f>IF(LEN(TRIM(AI18))&gt;0,1,0)</x:f>
        <x:v>0</x:v>
      </x:c>
      <x:c r="AK18" t="n">
        <x:f>IF(LEN(TRIM('Résultats détaillés'!G18))&gt;0,1,0)</x:f>
        <x:v>0</x:v>
      </x:c>
      <x:c r="AL18" t="n">
        <x:f>IF(OR(IF(LEN('Résultats détaillés'!E18)=0,FALSE,NOT(IF(ISNUMBER('Résultats détaillés'!E18),AND('Résultats détaillés'!E18&gt;=0,'Résultats détaillés'!E18&lt;=3,MOD('Résultats détaillés'!E18,1)=0),FALSE))),IF(LEN('Résultats détaillés'!F18)=0,FALSE,NOT(IF(ISNUMBER('Résultats détaillés'!F18),AND('Résultats détaillés'!F18&gt;=1,'Résultats détaillés'!F18&lt;=4,MOD('Résultats détaillés'!F18,1)=0),FALSE))),IF(LEN('Résultats détaillés'!H18)=0,FALSE,NOT(IF(ISNUMBER('Résultats détaillés'!H18),AND('Résultats détaillés'!H18&gt;=1,'Résultats détaillés'!H18&lt;=4,MOD('Résultats détaillés'!H18,1)=0),FALSE)))),1,0)</x:f>
        <x:v>0</x:v>
      </x:c>
      <x:c r="AM18" t="n">
        <x:f>IF(AND(ISNUMBER(AB18),AB18&gt;0,AK18=0),1,0)</x:f>
        <x:v>0</x:v>
      </x:c>
      <x:c r="AN18" t="n">
        <x:v>18</x:v>
      </x:c>
      <x:c r="AO18" t="n">
        <x:f>IF(AND(ISNUMBER(AB18),AB18&gt;0),1,0)</x:f>
        <x:v>0</x:v>
      </x:c>
      <x:c r="AP18" t="n">
        <x:f>IF(AND(AC18&gt;0,AH18=0),1,0)</x:f>
        <x:v>0</x:v>
      </x:c>
      <x:c r="AQ18" t="n">
        <x:f>IF(AND(AC18&gt;0,AJ18=0),1,0)</x:f>
        <x:v>0</x:v>
      </x:c>
      <x:c r="AR18" t="n">
        <x:f>IF(ISNUMBER(AB18),1,0)</x:f>
        <x:v>0</x:v>
      </x:c>
    </x:row>
    <x:row r="19" s="1214" customFormat="1" ht="24" customHeight="1">
      <x:c r="A19"/>
      <x:c r="B19" s="1953" t="str">
        <x:f>IF(D16=0,"Commencer par renseigner les notes dans les onglets ONR.",E16&amp;" cibles restent à évaluer. "&amp;(D16-G16)&amp;" sont non applicables. Les résultats portent sur "&amp;G16&amp;" cibles applicables évaluées.")</x:f>
        <x:v>27 cibles restent à évaluer. 0 sont non applicables. Les résultats portent sur 5 cibles applicables évaluées.</x:v>
      </x:c>
      <x:c r="C19" s="1953"/>
      <x:c r="D19" s="1953"/>
      <x:c r="E19" s="1953"/>
      <x:c r="F19" s="1953"/>
      <x:c r="G19" s="1953"/>
      <x:c r="H19" s="1953"/>
      <x:c r="I19" s="1953"/>
      <x:c r="J19" s="1953"/>
      <x:c r="K19" s="1953"/>
      <x:c r="L19" s="1953"/>
      <x:c r="M19" s="1953"/>
      <x:c r="AA19" t="n">
        <x:v>3</x:v>
      </x:c>
      <x:c r="AB19" t="str">
        <x:f>IF(ISNUMBER('Résultats détaillés'!T20),'Résultats détaillés'!T20,"")</x:f>
      </x:c>
      <x:c r="AC19" t="n">
        <x:f>IF(AND(ISNUMBER(AB19),AB19&gt;=5),AB19*100+19,0)</x:f>
        <x:v>0</x:v>
      </x:c>
      <x:c r="AD19" t="str">
        <x:f>IF(ISBLANK('Résultats détaillés'!B20),"",'Résultats détaillés'!B20)</x:f>
        <x:v>3.1</x:v>
      </x:c>
      <x:c r="AE19" t="str">
        <x:f>IF(ISBLANK('Résultats détaillés'!C20),"",'Résultats détaillés'!C20)</x:f>
        <x:v>Utiliser les données et les services numériques avec mesure, en respectant les personnes et l’environnement.</x:v>
      </x:c>
      <x:c r="AF19" t="str">
        <x:f>IF(ISBLANK('Résultats détaillés'!E20),"",'Résultats détaillés'!E20)</x:f>
      </x:c>
      <x:c r="AG19" t="str">
        <x:f>IF(ISBLANK('Résultats détaillés'!F20),"",'Résultats détaillés'!F20)</x:f>
      </x:c>
      <x:c r="AH19" t="n">
        <x:f>IF(ISNUMBER('Résultats détaillés'!H20),IF(AND('Résultats détaillés'!H20&gt;=1,'Résultats détaillés'!H20&lt;=4,MOD('Résultats détaillés'!H20,1)=0),'Résultats détaillés'!H20,0),0)</x:f>
        <x:v>0</x:v>
      </x:c>
      <x:c r="AI19" t="str">
        <x:f>IF(ISBLANK('Résultats détaillés'!W20),"",'Résultats détaillés'!W20)</x:f>
      </x:c>
      <x:c r="AJ19" t="n">
        <x:f>IF(LEN(TRIM(AI19))&gt;0,1,0)</x:f>
        <x:v>0</x:v>
      </x:c>
      <x:c r="AK19" t="n">
        <x:f>IF(LEN(TRIM('Résultats détaillés'!G20))&gt;0,1,0)</x:f>
        <x:v>0</x:v>
      </x:c>
      <x:c r="AL19" t="n">
        <x:f>IF(OR(IF(LEN('Résultats détaillés'!E20)=0,FALSE,NOT(IF(ISNUMBER('Résultats détaillés'!E20),AND('Résultats détaillés'!E20&gt;=0,'Résultats détaillés'!E20&lt;=3,MOD('Résultats détaillés'!E20,1)=0),FALSE))),IF(LEN('Résultats détaillés'!F20)=0,FALSE,NOT(IF(ISNUMBER('Résultats détaillés'!F20),AND('Résultats détaillés'!F20&gt;=1,'Résultats détaillés'!F20&lt;=4,MOD('Résultats détaillés'!F20,1)=0),FALSE))),IF(LEN('Résultats détaillés'!H20)=0,FALSE,NOT(IF(ISNUMBER('Résultats détaillés'!H20),AND('Résultats détaillés'!H20&gt;=1,'Résultats détaillés'!H20&lt;=4,MOD('Résultats détaillés'!H20,1)=0),FALSE)))),1,0)</x:f>
        <x:v>0</x:v>
      </x:c>
      <x:c r="AM19" t="n">
        <x:f>IF(AND(ISNUMBER(AB19),AB19&gt;0,AK19=0),1,0)</x:f>
        <x:v>0</x:v>
      </x:c>
      <x:c r="AN19" t="n">
        <x:v>20</x:v>
      </x:c>
      <x:c r="AO19" t="n">
        <x:f>IF(AND(ISNUMBER(AB19),AB19&gt;0),1,0)</x:f>
        <x:v>0</x:v>
      </x:c>
      <x:c r="AP19" t="n">
        <x:f>IF(AND(AC19&gt;0,AH19=0),1,0)</x:f>
        <x:v>0</x:v>
      </x:c>
      <x:c r="AQ19" t="n">
        <x:f>IF(AND(AC19&gt;0,AJ19=0),1,0)</x:f>
        <x:v>0</x:v>
      </x:c>
      <x:c r="AR19" t="n">
        <x:f>IF(ISNUMBER(AB19),1,0)</x:f>
        <x:v>0</x:v>
      </x:c>
    </x:row>
    <x:row r="20" s="1214" customFormat="1" ht="24" customHeight="1">
      <x:c r="A20"/>
      <x:c r="B20" s="1927"/>
      <x:c r="C20" s="1927"/>
      <x:c r="D20" s="1927"/>
      <x:c r="E20" s="1927"/>
      <x:c r="F20" s="1927"/>
      <x:c r="G20" s="1927"/>
      <x:c r="H20" s="1927"/>
      <x:c r="I20" s="1927"/>
      <x:c r="J20" s="1927"/>
      <x:c r="K20" s="1927"/>
      <x:c r="L20" s="1927"/>
      <x:c r="M20" s="1927"/>
      <x:c r="AA20" t="n">
        <x:v>3</x:v>
      </x:c>
      <x:c r="AB20" t="str">
        <x:f>IF(ISNUMBER('Résultats détaillés'!T21),'Résultats détaillés'!T21,"")</x:f>
      </x:c>
      <x:c r="AC20" t="n">
        <x:f>IF(AND(ISNUMBER(AB20),AB20&gt;=5),AB20*100+18,0)</x:f>
        <x:v>0</x:v>
      </x:c>
      <x:c r="AD20" t="str">
        <x:f>IF(ISBLANK('Résultats détaillés'!B21),"",'Résultats détaillés'!B21)</x:f>
        <x:v>3.2</x:v>
      </x:c>
      <x:c r="AE20" t="str">
        <x:f>IF(ISBLANK('Résultats détaillés'!C21),"",'Résultats détaillés'!C21)</x:f>
        <x:v>Supprimer les pratiques et les interfaces qui trompent les utilisateurs sur les sites web, aussi appelées « dark patterns ». Respecter la réglementation.</x:v>
      </x:c>
      <x:c r="AF20" t="str">
        <x:f>IF(ISBLANK('Résultats détaillés'!E21),"",'Résultats détaillés'!E21)</x:f>
      </x:c>
      <x:c r="AG20" t="str">
        <x:f>IF(ISBLANK('Résultats détaillés'!F21),"",'Résultats détaillés'!F21)</x:f>
      </x:c>
      <x:c r="AH20" t="n">
        <x:f>IF(ISNUMBER('Résultats détaillés'!H21),IF(AND('Résultats détaillés'!H21&gt;=1,'Résultats détaillés'!H21&lt;=4,MOD('Résultats détaillés'!H21,1)=0),'Résultats détaillés'!H21,0),0)</x:f>
        <x:v>0</x:v>
      </x:c>
      <x:c r="AI20" t="str">
        <x:f>IF(ISBLANK('Résultats détaillés'!W21),"",'Résultats détaillés'!W21)</x:f>
      </x:c>
      <x:c r="AJ20" t="n">
        <x:f>IF(LEN(TRIM(AI20))&gt;0,1,0)</x:f>
        <x:v>0</x:v>
      </x:c>
      <x:c r="AK20" t="n">
        <x:f>IF(LEN(TRIM('Résultats détaillés'!G21))&gt;0,1,0)</x:f>
        <x:v>0</x:v>
      </x:c>
      <x:c r="AL20" t="n">
        <x:f>IF(OR(IF(LEN('Résultats détaillés'!E21)=0,FALSE,NOT(IF(ISNUMBER('Résultats détaillés'!E21),AND('Résultats détaillés'!E21&gt;=0,'Résultats détaillés'!E21&lt;=3,MOD('Résultats détaillés'!E21,1)=0),FALSE))),IF(LEN('Résultats détaillés'!F21)=0,FALSE,NOT(IF(ISNUMBER('Résultats détaillés'!F21),AND('Résultats détaillés'!F21&gt;=1,'Résultats détaillés'!F21&lt;=4,MOD('Résultats détaillés'!F21,1)=0),FALSE))),IF(LEN('Résultats détaillés'!H21)=0,FALSE,NOT(IF(ISNUMBER('Résultats détaillés'!H21),AND('Résultats détaillés'!H21&gt;=1,'Résultats détaillés'!H21&lt;=4,MOD('Résultats détaillés'!H21,1)=0),FALSE)))),1,0)</x:f>
        <x:v>0</x:v>
      </x:c>
      <x:c r="AM20" t="n">
        <x:f>IF(AND(ISNUMBER(AB20),AB20&gt;0,AK20=0),1,0)</x:f>
        <x:v>0</x:v>
      </x:c>
      <x:c r="AN20" t="n">
        <x:v>21</x:v>
      </x:c>
      <x:c r="AO20" t="n">
        <x:f>IF(AND(ISNUMBER(AB20),AB20&gt;0),1,0)</x:f>
        <x:v>0</x:v>
      </x:c>
      <x:c r="AP20" t="n">
        <x:f>IF(AND(AC20&gt;0,AH20=0),1,0)</x:f>
        <x:v>0</x:v>
      </x:c>
      <x:c r="AQ20" t="n">
        <x:f>IF(AND(AC20&gt;0,AJ20=0),1,0)</x:f>
        <x:v>0</x:v>
      </x:c>
      <x:c r="AR20" t="n">
        <x:f>IF(ISNUMBER(AB20),1,0)</x:f>
        <x:v>0</x:v>
      </x:c>
    </x:row>
    <x:row r="21" s="1214" customFormat="1" ht="30" customHeight="1">
      <x:c r="A21"/>
      <x:c r="B21" s="1954" t="str">
        <x:v>Où concentrer les efforts ?</x:v>
      </x:c>
      <x:c r="C21" s="1955"/>
      <x:c r="D21" s="1955"/>
      <x:c r="E21" s="1955"/>
      <x:c r="F21" s="1955"/>
      <x:c r="G21" s="1955"/>
      <x:c r="H21" s="1955"/>
      <x:c r="I21" s="1955"/>
      <x:c r="J21" s="1955"/>
      <x:c r="K21" s="1955"/>
      <x:c r="L21" s="1955"/>
      <x:c r="M21" s="1956"/>
      <x:c r="AA21" t="n">
        <x:v>3</x:v>
      </x:c>
      <x:c r="AB21" t="str">
        <x:f>IF(ISNUMBER('Résultats détaillés'!T22),'Résultats détaillés'!T22,"")</x:f>
      </x:c>
      <x:c r="AC21" t="n">
        <x:f>IF(AND(ISNUMBER(AB21),AB21&gt;=5),AB21*100+17,0)</x:f>
        <x:v>0</x:v>
      </x:c>
      <x:c r="AD21" t="str">
        <x:f>IF(ISBLANK('Résultats détaillés'!B22),"",'Résultats détaillés'!B22)</x:f>
        <x:v>3.3</x:v>
      </x:c>
      <x:c r="AE21" t="str">
        <x:f>IF(ISBLANK('Résultats détaillés'!C22),"",'Résultats détaillés'!C22)</x:f>
        <x:v>Collecter seulement les données nécessaires au service rendu. Protéger la vie privée, réduire les effets sur l’environnement et respecter le RGPD, le règlement sur la protection des données personnelles.</x:v>
      </x:c>
      <x:c r="AF21" t="str">
        <x:f>IF(ISBLANK('Résultats détaillés'!E22),"",'Résultats détaillés'!E22)</x:f>
      </x:c>
      <x:c r="AG21" t="str">
        <x:f>IF(ISBLANK('Résultats détaillés'!F22),"",'Résultats détaillés'!F22)</x:f>
      </x:c>
      <x:c r="AH21" t="n">
        <x:f>IF(ISNUMBER('Résultats détaillés'!H22),IF(AND('Résultats détaillés'!H22&gt;=1,'Résultats détaillés'!H22&lt;=4,MOD('Résultats détaillés'!H22,1)=0),'Résultats détaillés'!H22,0),0)</x:f>
        <x:v>0</x:v>
      </x:c>
      <x:c r="AI21" t="str">
        <x:f>IF(ISBLANK('Résultats détaillés'!W22),"",'Résultats détaillés'!W22)</x:f>
      </x:c>
      <x:c r="AJ21" t="n">
        <x:f>IF(LEN(TRIM(AI21))&gt;0,1,0)</x:f>
        <x:v>0</x:v>
      </x:c>
      <x:c r="AK21" t="n">
        <x:f>IF(LEN(TRIM('Résultats détaillés'!G22))&gt;0,1,0)</x:f>
        <x:v>0</x:v>
      </x:c>
      <x:c r="AL21" t="n">
        <x:f>IF(OR(IF(LEN('Résultats détaillés'!E22)=0,FALSE,NOT(IF(ISNUMBER('Résultats détaillés'!E22),AND('Résultats détaillés'!E22&gt;=0,'Résultats détaillés'!E22&lt;=3,MOD('Résultats détaillés'!E22,1)=0),FALSE))),IF(LEN('Résultats détaillés'!F22)=0,FALSE,NOT(IF(ISNUMBER('Résultats détaillés'!F22),AND('Résultats détaillés'!F22&gt;=1,'Résultats détaillés'!F22&lt;=4,MOD('Résultats détaillés'!F22,1)=0),FALSE))),IF(LEN('Résultats détaillés'!H22)=0,FALSE,NOT(IF(ISNUMBER('Résultats détaillés'!H22),AND('Résultats détaillés'!H22&gt;=1,'Résultats détaillés'!H22&lt;=4,MOD('Résultats détaillés'!H22,1)=0),FALSE)))),1,0)</x:f>
        <x:v>0</x:v>
      </x:c>
      <x:c r="AM21" t="n">
        <x:f>IF(AND(ISNUMBER(AB21),AB21&gt;0,AK21=0),1,0)</x:f>
        <x:v>0</x:v>
      </x:c>
      <x:c r="AN21" t="n">
        <x:v>22</x:v>
      </x:c>
      <x:c r="AO21" t="n">
        <x:f>IF(AND(ISNUMBER(AB21),AB21&gt;0),1,0)</x:f>
        <x:v>0</x:v>
      </x:c>
      <x:c r="AP21" t="n">
        <x:f>IF(AND(AC21&gt;0,AH21=0),1,0)</x:f>
        <x:v>0</x:v>
      </x:c>
      <x:c r="AQ21" t="n">
        <x:f>IF(AND(AC21&gt;0,AJ21=0),1,0)</x:f>
        <x:v>0</x:v>
      </x:c>
      <x:c r="AR21" t="n">
        <x:f>IF(ISNUMBER(AB21),1,0)</x:f>
        <x:v>0</x:v>
      </x:c>
    </x:row>
    <x:row r="22" s="1214" customFormat="1" ht="24" customHeight="1">
      <x:c r="A22"/>
      <x:c r="B22" s="1927"/>
      <x:c r="C22" s="1927"/>
      <x:c r="D22" s="1927"/>
      <x:c r="E22" s="1927"/>
      <x:c r="F22" s="1927"/>
      <x:c r="G22" s="1927"/>
      <x:c r="H22" s="1927"/>
      <x:c r="I22" s="1927"/>
      <x:c r="J22" s="1927"/>
      <x:c r="K22" s="1927"/>
      <x:c r="L22" s="1927"/>
      <x:c r="M22" s="1927"/>
      <x:c r="AA22" t="n">
        <x:v>3</x:v>
      </x:c>
      <x:c r="AB22" t="str">
        <x:f>IF(ISNUMBER('Résultats détaillés'!T23),'Résultats détaillés'!T23,"")</x:f>
      </x:c>
      <x:c r="AC22" t="n">
        <x:f>IF(AND(ISNUMBER(AB22),AB22&gt;=5),AB22*100+16,0)</x:f>
        <x:v>0</x:v>
      </x:c>
      <x:c r="AD22" t="str">
        <x:f>IF(ISBLANK('Résultats détaillés'!B23),"",'Résultats détaillés'!B23)</x:f>
        <x:v>3.4</x:v>
      </x:c>
      <x:c r="AE22" t="str">
        <x:f>IF(ISBLANK('Résultats détaillés'!C23),"",'Résultats détaillés'!C23)</x:f>
        <x:v>Recruter des personnes aux profils variés dans les métiers du numérique.</x:v>
      </x:c>
      <x:c r="AF22" t="str">
        <x:f>IF(ISBLANK('Résultats détaillés'!E23),"",'Résultats détaillés'!E23)</x:f>
      </x:c>
      <x:c r="AG22" t="str">
        <x:f>IF(ISBLANK('Résultats détaillés'!F23),"",'Résultats détaillés'!F23)</x:f>
      </x:c>
      <x:c r="AH22" t="n">
        <x:f>IF(ISNUMBER('Résultats détaillés'!H23),IF(AND('Résultats détaillés'!H23&gt;=1,'Résultats détaillés'!H23&lt;=4,MOD('Résultats détaillés'!H23,1)=0),'Résultats détaillés'!H23,0),0)</x:f>
        <x:v>0</x:v>
      </x:c>
      <x:c r="AI22" t="str">
        <x:f>IF(ISBLANK('Résultats détaillés'!W23),"",'Résultats détaillés'!W23)</x:f>
      </x:c>
      <x:c r="AJ22" t="n">
        <x:f>IF(LEN(TRIM(AI22))&gt;0,1,0)</x:f>
        <x:v>0</x:v>
      </x:c>
      <x:c r="AK22" t="n">
        <x:f>IF(LEN(TRIM('Résultats détaillés'!G23))&gt;0,1,0)</x:f>
        <x:v>0</x:v>
      </x:c>
      <x:c r="AL22" t="n">
        <x:f>IF(OR(IF(LEN('Résultats détaillés'!E23)=0,FALSE,NOT(IF(ISNUMBER('Résultats détaillés'!E23),AND('Résultats détaillés'!E23&gt;=0,'Résultats détaillés'!E23&lt;=3,MOD('Résultats détaillés'!E23,1)=0),FALSE))),IF(LEN('Résultats détaillés'!F23)=0,FALSE,NOT(IF(ISNUMBER('Résultats détaillés'!F23),AND('Résultats détaillés'!F23&gt;=1,'Résultats détaillés'!F23&lt;=4,MOD('Résultats détaillés'!F23,1)=0),FALSE))),IF(LEN('Résultats détaillés'!H23)=0,FALSE,NOT(IF(ISNUMBER('Résultats détaillés'!H23),AND('Résultats détaillés'!H23&gt;=1,'Résultats détaillés'!H23&lt;=4,MOD('Résultats détaillés'!H23,1)=0),FALSE)))),1,0)</x:f>
        <x:v>0</x:v>
      </x:c>
      <x:c r="AM22" t="n">
        <x:f>IF(AND(ISNUMBER(AB22),AB22&gt;0,AK22=0),1,0)</x:f>
        <x:v>0</x:v>
      </x:c>
      <x:c r="AN22" t="n">
        <x:v>23</x:v>
      </x:c>
      <x:c r="AO22" t="n">
        <x:f>IF(AND(ISNUMBER(AB22),AB22&gt;0),1,0)</x:f>
        <x:v>0</x:v>
      </x:c>
      <x:c r="AP22" t="n">
        <x:f>IF(AND(AC22&gt;0,AH22=0),1,0)</x:f>
        <x:v>0</x:v>
      </x:c>
      <x:c r="AQ22" t="n">
        <x:f>IF(AND(AC22&gt;0,AJ22=0),1,0)</x:f>
        <x:v>0</x:v>
      </x:c>
      <x:c r="AR22" t="n">
        <x:f>IF(ISNUMBER(AB22),1,0)</x:f>
        <x:v>0</x:v>
      </x:c>
    </x:row>
    <x:row r="23" s="1214" customFormat="1" ht="24" customHeight="1">
      <x:c r="A23"/>
      <x:c r="B23" s="1927"/>
      <x:c r="C23" s="1927"/>
      <x:c r="D23" s="1927"/>
      <x:c r="E23" s="1927"/>
      <x:c r="F23" s="1927"/>
      <x:c r="G23" s="1927"/>
      <x:c r="H23" s="1927"/>
      <x:c r="I23" s="1927"/>
      <x:c r="J23" s="1927"/>
      <x:c r="K23" s="1927"/>
      <x:c r="L23" s="1927"/>
      <x:c r="M23" s="1927"/>
      <x:c r="AA23" t="n">
        <x:v>3</x:v>
      </x:c>
      <x:c r="AB23" t="str">
        <x:f>IF(ISNUMBER('Résultats détaillés'!T24),'Résultats détaillés'!T24,"")</x:f>
      </x:c>
      <x:c r="AC23" t="n">
        <x:f>IF(AND(ISNUMBER(AB23),AB23&gt;=5),AB23*100+15,0)</x:f>
        <x:v>0</x:v>
      </x:c>
      <x:c r="AD23" t="str">
        <x:f>IF(ISBLANK('Résultats détaillés'!B24),"",'Résultats détaillés'!B24)</x:f>
        <x:v>3.5</x:v>
      </x:c>
      <x:c r="AE23" t="str">
        <x:f>IF(ISBLANK('Résultats détaillés'!C24),"",'Résultats détaillés'!C24)</x:f>
        <x:v>Améliorer les conditions de travail des personnes qui travaillent dans le numérique.</x:v>
      </x:c>
      <x:c r="AF23" t="str">
        <x:f>IF(ISBLANK('Résultats détaillés'!E24),"",'Résultats détaillés'!E24)</x:f>
      </x:c>
      <x:c r="AG23" t="str">
        <x:f>IF(ISBLANK('Résultats détaillés'!F24),"",'Résultats détaillés'!F24)</x:f>
      </x:c>
      <x:c r="AH23" t="n">
        <x:f>IF(ISNUMBER('Résultats détaillés'!H24),IF(AND('Résultats détaillés'!H24&gt;=1,'Résultats détaillés'!H24&lt;=4,MOD('Résultats détaillés'!H24,1)=0),'Résultats détaillés'!H24,0),0)</x:f>
        <x:v>0</x:v>
      </x:c>
      <x:c r="AI23" t="str">
        <x:f>IF(ISBLANK('Résultats détaillés'!W24),"",'Résultats détaillés'!W24)</x:f>
      </x:c>
      <x:c r="AJ23" t="n">
        <x:f>IF(LEN(TRIM(AI23))&gt;0,1,0)</x:f>
        <x:v>0</x:v>
      </x:c>
      <x:c r="AK23" t="n">
        <x:f>IF(LEN(TRIM('Résultats détaillés'!G24))&gt;0,1,0)</x:f>
        <x:v>0</x:v>
      </x:c>
      <x:c r="AL23" t="n">
        <x:f>IF(OR(IF(LEN('Résultats détaillés'!E24)=0,FALSE,NOT(IF(ISNUMBER('Résultats détaillés'!E24),AND('Résultats détaillés'!E24&gt;=0,'Résultats détaillés'!E24&lt;=3,MOD('Résultats détaillés'!E24,1)=0),FALSE))),IF(LEN('Résultats détaillés'!F24)=0,FALSE,NOT(IF(ISNUMBER('Résultats détaillés'!F24),AND('Résultats détaillés'!F24&gt;=1,'Résultats détaillés'!F24&lt;=4,MOD('Résultats détaillés'!F24,1)=0),FALSE))),IF(LEN('Résultats détaillés'!H24)=0,FALSE,NOT(IF(ISNUMBER('Résultats détaillés'!H24),AND('Résultats détaillés'!H24&gt;=1,'Résultats détaillés'!H24&lt;=4,MOD('Résultats détaillés'!H24,1)=0),FALSE)))),1,0)</x:f>
        <x:v>0</x:v>
      </x:c>
      <x:c r="AM23" t="n">
        <x:f>IF(AND(ISNUMBER(AB23),AB23&gt;0,AK23=0),1,0)</x:f>
        <x:v>0</x:v>
      </x:c>
      <x:c r="AN23" t="n">
        <x:v>24</x:v>
      </x:c>
      <x:c r="AO23" t="n">
        <x:f>IF(AND(ISNUMBER(AB23),AB23&gt;0),1,0)</x:f>
        <x:v>0</x:v>
      </x:c>
      <x:c r="AP23" t="n">
        <x:f>IF(AND(AC23&gt;0,AH23=0),1,0)</x:f>
        <x:v>0</x:v>
      </x:c>
      <x:c r="AQ23" t="n">
        <x:f>IF(AND(AC23&gt;0,AJ23=0),1,0)</x:f>
        <x:v>0</x:v>
      </x:c>
      <x:c r="AR23" t="n">
        <x:f>IF(ISNUMBER(AB23),1,0)</x:f>
        <x:v>0</x:v>
      </x:c>
    </x:row>
    <x:row r="24" s="1214" customFormat="1" ht="24" customHeight="1">
      <x:c r="A24"/>
      <x:c r="B24" s="1927"/>
      <x:c r="C24" s="1927"/>
      <x:c r="D24" s="1927"/>
      <x:c r="E24" s="1927"/>
      <x:c r="F24" s="1927"/>
      <x:c r="G24" s="1927"/>
      <x:c r="H24" s="1927"/>
      <x:c r="I24" s="1927"/>
      <x:c r="J24" s="1927"/>
      <x:c r="K24" s="1927"/>
      <x:c r="L24" s="1927"/>
      <x:c r="M24" s="1927"/>
      <x:c r="AA24" t="n">
        <x:v>3</x:v>
      </x:c>
      <x:c r="AB24" t="str">
        <x:f>IF(ISNUMBER('Résultats détaillés'!T25),'Résultats détaillés'!T25,"")</x:f>
      </x:c>
      <x:c r="AC24" t="n">
        <x:f>IF(AND(ISNUMBER(AB24),AB24&gt;=5),AB24*100+14,0)</x:f>
        <x:v>0</x:v>
      </x:c>
      <x:c r="AD24" t="str">
        <x:f>IF(ISBLANK('Résultats détaillés'!B25),"",'Résultats détaillés'!B25)</x:f>
        <x:v>3.6</x:v>
      </x:c>
      <x:c r="AE24" t="str">
        <x:f>IF(ISBLANK('Résultats détaillés'!C25),"",'Résultats détaillés'!C25)</x:f>
        <x:v>Fixer et appliquer des règles éthiques pour utiliser les algorithmes, en particulier l’intelligence artificielle. Encadrer l’utilisation des données et assurer leur protection.</x:v>
      </x:c>
      <x:c r="AF24" t="str">
        <x:f>IF(ISBLANK('Résultats détaillés'!E25),"",'Résultats détaillés'!E25)</x:f>
      </x:c>
      <x:c r="AG24" t="str">
        <x:f>IF(ISBLANK('Résultats détaillés'!F25),"",'Résultats détaillés'!F25)</x:f>
      </x:c>
      <x:c r="AH24" t="n">
        <x:f>IF(ISNUMBER('Résultats détaillés'!H25),IF(AND('Résultats détaillés'!H25&gt;=1,'Résultats détaillés'!H25&lt;=4,MOD('Résultats détaillés'!H25,1)=0),'Résultats détaillés'!H25,0),0)</x:f>
        <x:v>0</x:v>
      </x:c>
      <x:c r="AI24" t="str">
        <x:f>IF(ISBLANK('Résultats détaillés'!W25),"",'Résultats détaillés'!W25)</x:f>
      </x:c>
      <x:c r="AJ24" t="n">
        <x:f>IF(LEN(TRIM(AI24))&gt;0,1,0)</x:f>
        <x:v>0</x:v>
      </x:c>
      <x:c r="AK24" t="n">
        <x:f>IF(LEN(TRIM('Résultats détaillés'!G25))&gt;0,1,0)</x:f>
        <x:v>0</x:v>
      </x:c>
      <x:c r="AL24" t="n">
        <x:f>IF(OR(IF(LEN('Résultats détaillés'!E25)=0,FALSE,NOT(IF(ISNUMBER('Résultats détaillés'!E25),AND('Résultats détaillés'!E25&gt;=0,'Résultats détaillés'!E25&lt;=3,MOD('Résultats détaillés'!E25,1)=0),FALSE))),IF(LEN('Résultats détaillés'!F25)=0,FALSE,NOT(IF(ISNUMBER('Résultats détaillés'!F25),AND('Résultats détaillés'!F25&gt;=1,'Résultats détaillés'!F25&lt;=4,MOD('Résultats détaillés'!F25,1)=0),FALSE))),IF(LEN('Résultats détaillés'!H25)=0,FALSE,NOT(IF(ISNUMBER('Résultats détaillés'!H25),AND('Résultats détaillés'!H25&gt;=1,'Résultats détaillés'!H25&lt;=4,MOD('Résultats détaillés'!H25,1)=0),FALSE)))),1,0)</x:f>
        <x:v>0</x:v>
      </x:c>
      <x:c r="AM24" t="n">
        <x:f>IF(AND(ISNUMBER(AB24),AB24&gt;0,AK24=0),1,0)</x:f>
        <x:v>0</x:v>
      </x:c>
      <x:c r="AN24" t="n">
        <x:v>25</x:v>
      </x:c>
      <x:c r="AO24" t="n">
        <x:f>IF(AND(ISNUMBER(AB24),AB24&gt;0),1,0)</x:f>
        <x:v>0</x:v>
      </x:c>
      <x:c r="AP24" t="n">
        <x:f>IF(AND(AC24&gt;0,AH24=0),1,0)</x:f>
        <x:v>0</x:v>
      </x:c>
      <x:c r="AQ24" t="n">
        <x:f>IF(AND(AC24&gt;0,AJ24=0),1,0)</x:f>
        <x:v>0</x:v>
      </x:c>
      <x:c r="AR24" t="n">
        <x:f>IF(ISNUMBER(AB24),1,0)</x:f>
        <x:v>0</x:v>
      </x:c>
    </x:row>
    <x:row r="25" s="1214" customFormat="1" ht="24" customHeight="1">
      <x:c r="A25"/>
      <x:c r="B25" s="1927"/>
      <x:c r="C25" s="1927"/>
      <x:c r="D25" s="1927"/>
      <x:c r="E25" s="1927"/>
      <x:c r="F25" s="1927"/>
      <x:c r="G25" s="1927"/>
      <x:c r="H25" s="1927"/>
      <x:c r="I25" s="1927"/>
      <x:c r="J25" s="1927"/>
      <x:c r="K25" s="1927"/>
      <x:c r="L25" s="1927"/>
      <x:c r="M25" s="1927"/>
      <x:c r="AA25" t="n">
        <x:v>3</x:v>
      </x:c>
      <x:c r="AB25" t="str">
        <x:f>IF(ISNUMBER('Résultats détaillés'!T26),'Résultats détaillés'!T26,"")</x:f>
      </x:c>
      <x:c r="AC25" t="n">
        <x:f>IF(AND(ISNUMBER(AB25),AB25&gt;=5),AB25*100+13,0)</x:f>
        <x:v>0</x:v>
      </x:c>
      <x:c r="AD25" t="str">
        <x:f>IF(ISBLANK('Résultats détaillés'!B26),"",'Résultats détaillés'!B26)</x:f>
        <x:v>3.7</x:v>
      </x:c>
      <x:c r="AE25" t="str">
        <x:f>IF(ISBLANK('Résultats détaillés'!C26),"",'Résultats détaillés'!C26)</x:f>
        <x:v>Mettre en place et faire connaître les actions de responsabilité sociétale (RSE), qui prennent en compte les effets de l’organisation sur la société et l’environnement.</x:v>
      </x:c>
      <x:c r="AF25" t="str">
        <x:f>IF(ISBLANK('Résultats détaillés'!E26),"",'Résultats détaillés'!E26)</x:f>
      </x:c>
      <x:c r="AG25" t="str">
        <x:f>IF(ISBLANK('Résultats détaillés'!F26),"",'Résultats détaillés'!F26)</x:f>
      </x:c>
      <x:c r="AH25" t="n">
        <x:f>IF(ISNUMBER('Résultats détaillés'!H26),IF(AND('Résultats détaillés'!H26&gt;=1,'Résultats détaillés'!H26&lt;=4,MOD('Résultats détaillés'!H26,1)=0),'Résultats détaillés'!H26,0),0)</x:f>
        <x:v>0</x:v>
      </x:c>
      <x:c r="AI25" t="str">
        <x:f>IF(ISBLANK('Résultats détaillés'!W26),"",'Résultats détaillés'!W26)</x:f>
      </x:c>
      <x:c r="AJ25" t="n">
        <x:f>IF(LEN(TRIM(AI25))&gt;0,1,0)</x:f>
        <x:v>0</x:v>
      </x:c>
      <x:c r="AK25" t="n">
        <x:f>IF(LEN(TRIM('Résultats détaillés'!G26))&gt;0,1,0)</x:f>
        <x:v>0</x:v>
      </x:c>
      <x:c r="AL25" t="n">
        <x:f>IF(OR(IF(LEN('Résultats détaillés'!E26)=0,FALSE,NOT(IF(ISNUMBER('Résultats détaillés'!E26),AND('Résultats détaillés'!E26&gt;=0,'Résultats détaillés'!E26&lt;=3,MOD('Résultats détaillés'!E26,1)=0),FALSE))),IF(LEN('Résultats détaillés'!F26)=0,FALSE,NOT(IF(ISNUMBER('Résultats détaillés'!F26),AND('Résultats détaillés'!F26&gt;=1,'Résultats détaillés'!F26&lt;=4,MOD('Résultats détaillés'!F26,1)=0),FALSE))),IF(LEN('Résultats détaillés'!H26)=0,FALSE,NOT(IF(ISNUMBER('Résultats détaillés'!H26),AND('Résultats détaillés'!H26&gt;=1,'Résultats détaillés'!H26&lt;=4,MOD('Résultats détaillés'!H26,1)=0),FALSE)))),1,0)</x:f>
        <x:v>0</x:v>
      </x:c>
      <x:c r="AM25" t="n">
        <x:f>IF(AND(ISNUMBER(AB25),AB25&gt;0,AK25=0),1,0)</x:f>
        <x:v>0</x:v>
      </x:c>
      <x:c r="AN25" t="n">
        <x:v>26</x:v>
      </x:c>
      <x:c r="AO25" t="n">
        <x:f>IF(AND(ISNUMBER(AB25),AB25&gt;0),1,0)</x:f>
        <x:v>0</x:v>
      </x:c>
      <x:c r="AP25" t="n">
        <x:f>IF(AND(AC25&gt;0,AH25=0),1,0)</x:f>
        <x:v>0</x:v>
      </x:c>
      <x:c r="AQ25" t="n">
        <x:f>IF(AND(AC25&gt;0,AJ25=0),1,0)</x:f>
        <x:v>0</x:v>
      </x:c>
      <x:c r="AR25" t="n">
        <x:f>IF(ISNUMBER(AB25),1,0)</x:f>
        <x:v>0</x:v>
      </x:c>
    </x:row>
    <x:row r="26" s="1214" customFormat="1" ht="24" customHeight="1">
      <x:c r="A26"/>
      <x:c r="B26" s="1927"/>
      <x:c r="C26" s="1927"/>
      <x:c r="D26" s="1927"/>
      <x:c r="E26" s="1927"/>
      <x:c r="F26" s="1927"/>
      <x:c r="G26" s="1927"/>
      <x:c r="H26" s="1927"/>
      <x:c r="I26" s="1927"/>
      <x:c r="J26" s="1927"/>
      <x:c r="K26" s="1927"/>
      <x:c r="L26" s="1927"/>
      <x:c r="M26" s="1927"/>
      <x:c r="AA26" t="n">
        <x:v>3</x:v>
      </x:c>
      <x:c r="AB26" t="str">
        <x:f>IF(ISNUMBER('Résultats détaillés'!T27),'Résultats détaillés'!T27,"")</x:f>
      </x:c>
      <x:c r="AC26" t="n">
        <x:f>IF(AND(ISNUMBER(AB26),AB26&gt;=5),AB26*100+12,0)</x:f>
        <x:v>0</x:v>
      </x:c>
      <x:c r="AD26" t="str">
        <x:f>IF(ISBLANK('Résultats détaillés'!B27),"",'Résultats détaillés'!B27)</x:f>
        <x:v>3.8</x:v>
      </x:c>
      <x:c r="AE26" t="str">
        <x:f>IF(ISBLANK('Résultats détaillés'!C27),"",'Résultats détaillés'!C27)</x:f>
        <x:v>Indiquer quand une intelligence artificielle répond et expliquer comment elle prend ses décisions. Garder un contrôle humain sur les sujets sensibles.</x:v>
      </x:c>
      <x:c r="AF26" t="str">
        <x:f>IF(ISBLANK('Résultats détaillés'!E27),"",'Résultats détaillés'!E27)</x:f>
      </x:c>
      <x:c r="AG26" t="str">
        <x:f>IF(ISBLANK('Résultats détaillés'!F27),"",'Résultats détaillés'!F27)</x:f>
      </x:c>
      <x:c r="AH26" t="n">
        <x:f>IF(ISNUMBER('Résultats détaillés'!H27),IF(AND('Résultats détaillés'!H27&gt;=1,'Résultats détaillés'!H27&lt;=4,MOD('Résultats détaillés'!H27,1)=0),'Résultats détaillés'!H27,0),0)</x:f>
        <x:v>0</x:v>
      </x:c>
      <x:c r="AI26" t="str">
        <x:f>IF(ISBLANK('Résultats détaillés'!W27),"",'Résultats détaillés'!W27)</x:f>
      </x:c>
      <x:c r="AJ26" t="n">
        <x:f>IF(LEN(TRIM(AI26))&gt;0,1,0)</x:f>
        <x:v>0</x:v>
      </x:c>
      <x:c r="AK26" t="n">
        <x:f>IF(LEN(TRIM('Résultats détaillés'!G27))&gt;0,1,0)</x:f>
        <x:v>0</x:v>
      </x:c>
      <x:c r="AL26" t="n">
        <x:f>IF(OR(IF(LEN('Résultats détaillés'!E27)=0,FALSE,NOT(IF(ISNUMBER('Résultats détaillés'!E27),AND('Résultats détaillés'!E27&gt;=0,'Résultats détaillés'!E27&lt;=3,MOD('Résultats détaillés'!E27,1)=0),FALSE))),IF(LEN('Résultats détaillés'!F27)=0,FALSE,NOT(IF(ISNUMBER('Résultats détaillés'!F27),AND('Résultats détaillés'!F27&gt;=1,'Résultats détaillés'!F27&lt;=4,MOD('Résultats détaillés'!F27,1)=0),FALSE))),IF(LEN('Résultats détaillés'!H27)=0,FALSE,NOT(IF(ISNUMBER('Résultats détaillés'!H27),AND('Résultats détaillés'!H27&gt;=1,'Résultats détaillés'!H27&lt;=4,MOD('Résultats détaillés'!H27,1)=0),FALSE)))),1,0)</x:f>
        <x:v>0</x:v>
      </x:c>
      <x:c r="AM26" t="n">
        <x:f>IF(AND(ISNUMBER(AB26),AB26&gt;0,AK26=0),1,0)</x:f>
        <x:v>0</x:v>
      </x:c>
      <x:c r="AN26" t="n">
        <x:v>27</x:v>
      </x:c>
      <x:c r="AO26" t="n">
        <x:f>IF(AND(ISNUMBER(AB26),AB26&gt;0),1,0)</x:f>
        <x:v>0</x:v>
      </x:c>
      <x:c r="AP26" t="n">
        <x:f>IF(AND(AC26&gt;0,AH26=0),1,0)</x:f>
        <x:v>0</x:v>
      </x:c>
      <x:c r="AQ26" t="n">
        <x:f>IF(AND(AC26&gt;0,AJ26=0),1,0)</x:f>
        <x:v>0</x:v>
      </x:c>
      <x:c r="AR26" t="n">
        <x:f>IF(ISNUMBER(AB26),1,0)</x:f>
        <x:v>0</x:v>
      </x:c>
    </x:row>
    <x:row r="27" s="1214" customFormat="1" ht="24" customHeight="1">
      <x:c r="A27"/>
      <x:c r="B27" s="1927"/>
      <x:c r="C27" s="1927"/>
      <x:c r="D27" s="1927"/>
      <x:c r="E27" s="1927"/>
      <x:c r="F27" s="1927"/>
      <x:c r="G27" s="1927"/>
      <x:c r="H27" s="1927"/>
      <x:c r="I27" s="1927"/>
      <x:c r="J27" s="1927"/>
      <x:c r="K27" s="1927"/>
      <x:c r="L27" s="1927"/>
      <x:c r="M27" s="1927"/>
      <x:c r="AA27" t="n">
        <x:v>4</x:v>
      </x:c>
      <x:c r="AB27" t="str">
        <x:f>IF(ISNUMBER('Résultats détaillés'!T29),'Résultats détaillés'!T29,"")</x:f>
      </x:c>
      <x:c r="AC27" t="n">
        <x:f>IF(AND(ISNUMBER(AB27),AB27&gt;=5),AB27*100+11,0)</x:f>
        <x:v>0</x:v>
      </x:c>
      <x:c r="AD27" t="str">
        <x:f>IF(ISBLANK('Résultats détaillés'!B29),"",'Résultats détaillés'!B29)</x:f>
        <x:v>4.1</x:v>
      </x:c>
      <x:c r="AE27" t="str">
        <x:f>IF(ISBLANK('Résultats détaillés'!C29),"",'Résultats détaillés'!C29)</x:f>
        <x:v>Suivre des normes communes pour recueillir, regrouper, analyser et partager les données sur les effets des technologies de l’information et de la communication (TIC).</x:v>
      </x:c>
      <x:c r="AF27" t="str">
        <x:f>IF(ISBLANK('Résultats détaillés'!E29),"",'Résultats détaillés'!E29)</x:f>
      </x:c>
      <x:c r="AG27" t="str">
        <x:f>IF(ISBLANK('Résultats détaillés'!F29),"",'Résultats détaillés'!F29)</x:f>
      </x:c>
      <x:c r="AH27" t="n">
        <x:f>IF(ISNUMBER('Résultats détaillés'!H29),IF(AND('Résultats détaillés'!H29&gt;=1,'Résultats détaillés'!H29&lt;=4,MOD('Résultats détaillés'!H29,1)=0),'Résultats détaillés'!H29,0),0)</x:f>
        <x:v>0</x:v>
      </x:c>
      <x:c r="AI27" t="str">
        <x:f>IF(ISBLANK('Résultats détaillés'!W29),"",'Résultats détaillés'!W29)</x:f>
      </x:c>
      <x:c r="AJ27" t="n">
        <x:f>IF(LEN(TRIM(AI27))&gt;0,1,0)</x:f>
        <x:v>0</x:v>
      </x:c>
      <x:c r="AK27" t="n">
        <x:f>IF(LEN(TRIM('Résultats détaillés'!G29))&gt;0,1,0)</x:f>
        <x:v>0</x:v>
      </x:c>
      <x:c r="AL27" t="n">
        <x:f>IF(OR(IF(LEN('Résultats détaillés'!E29)=0,FALSE,NOT(IF(ISNUMBER('Résultats détaillés'!E29),AND('Résultats détaillés'!E29&gt;=0,'Résultats détaillés'!E29&lt;=3,MOD('Résultats détaillés'!E29,1)=0),FALSE))),IF(LEN('Résultats détaillés'!F29)=0,FALSE,NOT(IF(ISNUMBER('Résultats détaillés'!F29),AND('Résultats détaillés'!F29&gt;=1,'Résultats détaillés'!F29&lt;=4,MOD('Résultats détaillés'!F29,1)=0),FALSE))),IF(LEN('Résultats détaillés'!H29)=0,FALSE,NOT(IF(ISNUMBER('Résultats détaillés'!H29),AND('Résultats détaillés'!H29&gt;=1,'Résultats détaillés'!H29&lt;=4,MOD('Résultats détaillés'!H29,1)=0),FALSE)))),1,0)</x:f>
        <x:v>0</x:v>
      </x:c>
      <x:c r="AM27" t="n">
        <x:f>IF(AND(ISNUMBER(AB27),AB27&gt;0,AK27=0),1,0)</x:f>
        <x:v>0</x:v>
      </x:c>
      <x:c r="AN27" t="n">
        <x:v>29</x:v>
      </x:c>
      <x:c r="AO27" t="n">
        <x:f>IF(AND(ISNUMBER(AB27),AB27&gt;0),1,0)</x:f>
        <x:v>0</x:v>
      </x:c>
      <x:c r="AP27" t="n">
        <x:f>IF(AND(AC27&gt;0,AH27=0),1,0)</x:f>
        <x:v>0</x:v>
      </x:c>
      <x:c r="AQ27" t="n">
        <x:f>IF(AND(AC27&gt;0,AJ27=0),1,0)</x:f>
        <x:v>0</x:v>
      </x:c>
      <x:c r="AR27" t="n">
        <x:f>IF(ISNUMBER(AB27),1,0)</x:f>
        <x:v>0</x:v>
      </x:c>
    </x:row>
    <x:row r="28" s="1214" customFormat="1" ht="24" customHeight="1">
      <x:c r="A28"/>
      <x:c r="B28" s="1927"/>
      <x:c r="C28" s="1927"/>
      <x:c r="D28" s="1927"/>
      <x:c r="E28" s="1927"/>
      <x:c r="F28" s="1927"/>
      <x:c r="G28" s="1927"/>
      <x:c r="H28" s="1927"/>
      <x:c r="I28" s="1927"/>
      <x:c r="J28" s="1927"/>
      <x:c r="K28" s="1927"/>
      <x:c r="L28" s="1927"/>
      <x:c r="M28" s="1927"/>
      <x:c r="AA28" t="n">
        <x:v>4</x:v>
      </x:c>
      <x:c r="AB28" t="str">
        <x:f>IF(ISNUMBER('Résultats détaillés'!T30),'Résultats détaillés'!T30,"")</x:f>
      </x:c>
      <x:c r="AC28" t="n">
        <x:f>IF(AND(ISNUMBER(AB28),AB28&gt;=5),AB28*100+10,0)</x:f>
        <x:v>0</x:v>
      </x:c>
      <x:c r="AD28" t="str">
        <x:f>IF(ISBLANK('Résultats détaillés'!B30),"",'Résultats détaillés'!B30)</x:f>
        <x:v>4.2</x:v>
      </x:c>
      <x:c r="AE28" t="str">
        <x:f>IF(ISBLANK('Résultats détaillés'!C30),"",'Résultats détaillés'!C30)</x:f>
        <x:v>Évaluer les services numériques au fil du temps et partager les résultats.</x:v>
      </x:c>
      <x:c r="AF28" t="str">
        <x:f>IF(ISBLANK('Résultats détaillés'!E30),"",'Résultats détaillés'!E30)</x:f>
      </x:c>
      <x:c r="AG28" t="str">
        <x:f>IF(ISBLANK('Résultats détaillés'!F30),"",'Résultats détaillés'!F30)</x:f>
      </x:c>
      <x:c r="AH28" t="n">
        <x:f>IF(ISNUMBER('Résultats détaillés'!H30),IF(AND('Résultats détaillés'!H30&gt;=1,'Résultats détaillés'!H30&lt;=4,MOD('Résultats détaillés'!H30,1)=0),'Résultats détaillés'!H30,0),0)</x:f>
        <x:v>0</x:v>
      </x:c>
      <x:c r="AI28" t="str">
        <x:f>IF(ISBLANK('Résultats détaillés'!W30),"",'Résultats détaillés'!W30)</x:f>
      </x:c>
      <x:c r="AJ28" t="n">
        <x:f>IF(LEN(TRIM(AI28))&gt;0,1,0)</x:f>
        <x:v>0</x:v>
      </x:c>
      <x:c r="AK28" t="n">
        <x:f>IF(LEN(TRIM('Résultats détaillés'!G30))&gt;0,1,0)</x:f>
        <x:v>0</x:v>
      </x:c>
      <x:c r="AL28" t="n">
        <x:f>IF(OR(IF(LEN('Résultats détaillés'!E30)=0,FALSE,NOT(IF(ISNUMBER('Résultats détaillés'!E30),AND('Résultats détaillés'!E30&gt;=0,'Résultats détaillés'!E30&lt;=3,MOD('Résultats détaillés'!E30,1)=0),FALSE))),IF(LEN('Résultats détaillés'!F30)=0,FALSE,NOT(IF(ISNUMBER('Résultats détaillés'!F30),AND('Résultats détaillés'!F30&gt;=1,'Résultats détaillés'!F30&lt;=4,MOD('Résultats détaillés'!F30,1)=0),FALSE))),IF(LEN('Résultats détaillés'!H30)=0,FALSE,NOT(IF(ISNUMBER('Résultats détaillés'!H30),AND('Résultats détaillés'!H30&gt;=1,'Résultats détaillés'!H30&lt;=4,MOD('Résultats détaillés'!H30,1)=0),FALSE)))),1,0)</x:f>
        <x:v>0</x:v>
      </x:c>
      <x:c r="AM28" t="n">
        <x:f>IF(AND(ISNUMBER(AB28),AB28&gt;0,AK28=0),1,0)</x:f>
        <x:v>0</x:v>
      </x:c>
      <x:c r="AN28" t="n">
        <x:v>30</x:v>
      </x:c>
      <x:c r="AO28" t="n">
        <x:f>IF(AND(ISNUMBER(AB28),AB28&gt;0),1,0)</x:f>
        <x:v>0</x:v>
      </x:c>
      <x:c r="AP28" t="n">
        <x:f>IF(AND(AC28&gt;0,AH28=0),1,0)</x:f>
        <x:v>0</x:v>
      </x:c>
      <x:c r="AQ28" t="n">
        <x:f>IF(AND(AC28&gt;0,AJ28=0),1,0)</x:f>
        <x:v>0</x:v>
      </x:c>
      <x:c r="AR28" t="n">
        <x:f>IF(ISNUMBER(AB28),1,0)</x:f>
        <x:v>0</x:v>
      </x:c>
    </x:row>
    <x:row r="29" s="1214" customFormat="1" ht="24" customHeight="1">
      <x:c r="A29"/>
      <x:c r="B29" s="1927"/>
      <x:c r="C29" s="1927"/>
      <x:c r="D29" s="1927"/>
      <x:c r="E29" s="1927"/>
      <x:c r="F29" s="1927"/>
      <x:c r="G29" s="1927"/>
      <x:c r="H29" s="1927"/>
      <x:c r="I29" s="1927"/>
      <x:c r="J29" s="1927"/>
      <x:c r="K29" s="1927"/>
      <x:c r="L29" s="1927"/>
      <x:c r="M29" s="1927"/>
      <x:c r="AA29" t="n">
        <x:v>4</x:v>
      </x:c>
      <x:c r="AB29" t="str">
        <x:f>IF(ISNUMBER('Résultats détaillés'!T31),'Résultats détaillés'!T31,"")</x:f>
      </x:c>
      <x:c r="AC29" t="n">
        <x:f>IF(AND(ISNUMBER(AB29),AB29&gt;=5),AB29*100+9,0)</x:f>
        <x:v>0</x:v>
      </x:c>
      <x:c r="AD29" t="str">
        <x:f>IF(ISBLANK('Résultats détaillés'!B31),"",'Résultats détaillés'!B31)</x:f>
        <x:v>4.3</x:v>
      </x:c>
      <x:c r="AE29" t="str">
        <x:f>IF(ISBLANK('Résultats détaillés'!C31),"",'Résultats détaillés'!C31)</x:f>
        <x:v>Innover en utilisant de nouveaux outils numériques. Évaluer leurs effets et expliquer les résultats aux personnes qui les utilisent.</x:v>
      </x:c>
      <x:c r="AF29" t="str">
        <x:f>IF(ISBLANK('Résultats détaillés'!E31),"",'Résultats détaillés'!E31)</x:f>
      </x:c>
      <x:c r="AG29" t="str">
        <x:f>IF(ISBLANK('Résultats détaillés'!F31),"",'Résultats détaillés'!F31)</x:f>
      </x:c>
      <x:c r="AH29" t="n">
        <x:f>IF(ISNUMBER('Résultats détaillés'!H31),IF(AND('Résultats détaillés'!H31&gt;=1,'Résultats détaillés'!H31&lt;=4,MOD('Résultats détaillés'!H31,1)=0),'Résultats détaillés'!H31,0),0)</x:f>
        <x:v>0</x:v>
      </x:c>
      <x:c r="AI29" t="str">
        <x:f>IF(ISBLANK('Résultats détaillés'!W31),"",'Résultats détaillés'!W31)</x:f>
      </x:c>
      <x:c r="AJ29" t="n">
        <x:f>IF(LEN(TRIM(AI29))&gt;0,1,0)</x:f>
        <x:v>0</x:v>
      </x:c>
      <x:c r="AK29" t="n">
        <x:f>IF(LEN(TRIM('Résultats détaillés'!G31))&gt;0,1,0)</x:f>
        <x:v>0</x:v>
      </x:c>
      <x:c r="AL29" t="n">
        <x:f>IF(OR(IF(LEN('Résultats détaillés'!E31)=0,FALSE,NOT(IF(ISNUMBER('Résultats détaillés'!E31),AND('Résultats détaillés'!E31&gt;=0,'Résultats détaillés'!E31&lt;=3,MOD('Résultats détaillés'!E31,1)=0),FALSE))),IF(LEN('Résultats détaillés'!F31)=0,FALSE,NOT(IF(ISNUMBER('Résultats détaillés'!F31),AND('Résultats détaillés'!F31&gt;=1,'Résultats détaillés'!F31&lt;=4,MOD('Résultats détaillés'!F31,1)=0),FALSE))),IF(LEN('Résultats détaillés'!H31)=0,FALSE,NOT(IF(ISNUMBER('Résultats détaillés'!H31),AND('Résultats détaillés'!H31&gt;=1,'Résultats détaillés'!H31&lt;=4,MOD('Résultats détaillés'!H31,1)=0),FALSE)))),1,0)</x:f>
        <x:v>0</x:v>
      </x:c>
      <x:c r="AM29" t="n">
        <x:f>IF(AND(ISNUMBER(AB29),AB29&gt;0,AK29=0),1,0)</x:f>
        <x:v>0</x:v>
      </x:c>
      <x:c r="AN29" t="n">
        <x:v>31</x:v>
      </x:c>
      <x:c r="AO29" t="n">
        <x:f>IF(AND(ISNUMBER(AB29),AB29&gt;0),1,0)</x:f>
        <x:v>0</x:v>
      </x:c>
      <x:c r="AP29" t="n">
        <x:f>IF(AND(AC29&gt;0,AH29=0),1,0)</x:f>
        <x:v>0</x:v>
      </x:c>
      <x:c r="AQ29" t="n">
        <x:f>IF(AND(AC29&gt;0,AJ29=0),1,0)</x:f>
        <x:v>0</x:v>
      </x:c>
      <x:c r="AR29" t="n">
        <x:f>IF(ISNUMBER(AB29),1,0)</x:f>
        <x:v>0</x:v>
      </x:c>
    </x:row>
    <x:row r="30" s="1214" customFormat="1" ht="24" customHeight="1">
      <x:c r="A30"/>
      <x:c r="B30" s="1927"/>
      <x:c r="C30" s="1927"/>
      <x:c r="D30" s="1927"/>
      <x:c r="E30" s="1927"/>
      <x:c r="F30" s="1927"/>
      <x:c r="G30" s="1927"/>
      <x:c r="H30" s="1927"/>
      <x:c r="I30" s="1927"/>
      <x:c r="J30" s="1927"/>
      <x:c r="K30" s="1927"/>
      <x:c r="L30" s="1927"/>
      <x:c r="M30" s="1927"/>
      <x:c r="AA30" t="n">
        <x:v>4</x:v>
      </x:c>
      <x:c r="AB30" t="str">
        <x:f>IF(ISNUMBER('Résultats détaillés'!T32),'Résultats détaillés'!T32,"")</x:f>
      </x:c>
      <x:c r="AC30" t="n">
        <x:f>IF(AND(ISNUMBER(AB30),AB30&gt;=5),AB30*100+8,0)</x:f>
        <x:v>0</x:v>
      </x:c>
      <x:c r="AD30" t="str">
        <x:f>IF(ISBLANK('Résultats détaillés'!B32),"",'Résultats détaillés'!B32)</x:f>
        <x:v>4.4</x:v>
      </x:c>
      <x:c r="AE30" t="str">
        <x:f>IF(ISBLANK('Résultats détaillés'!C32),"",'Résultats détaillés'!C32)</x:f>
        <x:v>Renforcer la souveraineté numérique : garder la maîtrise de nos choix, de nos outils et de nos données.</x:v>
      </x:c>
      <x:c r="AF30" t="str">
        <x:f>IF(ISBLANK('Résultats détaillés'!E32),"",'Résultats détaillés'!E32)</x:f>
      </x:c>
      <x:c r="AG30" t="str">
        <x:f>IF(ISBLANK('Résultats détaillés'!F32),"",'Résultats détaillés'!F32)</x:f>
      </x:c>
      <x:c r="AH30" t="n">
        <x:f>IF(ISNUMBER('Résultats détaillés'!H32),IF(AND('Résultats détaillés'!H32&gt;=1,'Résultats détaillés'!H32&lt;=4,MOD('Résultats détaillés'!H32,1)=0),'Résultats détaillés'!H32,0),0)</x:f>
        <x:v>0</x:v>
      </x:c>
      <x:c r="AI30" t="str">
        <x:f>IF(ISBLANK('Résultats détaillés'!W32),"",'Résultats détaillés'!W32)</x:f>
      </x:c>
      <x:c r="AJ30" t="n">
        <x:f>IF(LEN(TRIM(AI30))&gt;0,1,0)</x:f>
        <x:v>0</x:v>
      </x:c>
      <x:c r="AK30" t="n">
        <x:f>IF(LEN(TRIM('Résultats détaillés'!G32))&gt;0,1,0)</x:f>
        <x:v>0</x:v>
      </x:c>
      <x:c r="AL30" t="n">
        <x:f>IF(OR(IF(LEN('Résultats détaillés'!E32)=0,FALSE,NOT(IF(ISNUMBER('Résultats détaillés'!E32),AND('Résultats détaillés'!E32&gt;=0,'Résultats détaillés'!E32&lt;=3,MOD('Résultats détaillés'!E32,1)=0),FALSE))),IF(LEN('Résultats détaillés'!F32)=0,FALSE,NOT(IF(ISNUMBER('Résultats détaillés'!F32),AND('Résultats détaillés'!F32&gt;=1,'Résultats détaillés'!F32&lt;=4,MOD('Résultats détaillés'!F32,1)=0),FALSE))),IF(LEN('Résultats détaillés'!H32)=0,FALSE,NOT(IF(ISNUMBER('Résultats détaillés'!H32),AND('Résultats détaillés'!H32&gt;=1,'Résultats détaillés'!H32&lt;=4,MOD('Résultats détaillés'!H32,1)=0),FALSE)))),1,0)</x:f>
        <x:v>0</x:v>
      </x:c>
      <x:c r="AM30" t="n">
        <x:f>IF(AND(ISNUMBER(AB30),AB30&gt;0,AK30=0),1,0)</x:f>
        <x:v>0</x:v>
      </x:c>
      <x:c r="AN30" t="n">
        <x:v>32</x:v>
      </x:c>
      <x:c r="AO30" t="n">
        <x:f>IF(AND(ISNUMBER(AB30),AB30&gt;0),1,0)</x:f>
        <x:v>0</x:v>
      </x:c>
      <x:c r="AP30" t="n">
        <x:f>IF(AND(AC30&gt;0,AH30=0),1,0)</x:f>
        <x:v>0</x:v>
      </x:c>
      <x:c r="AQ30" t="n">
        <x:f>IF(AND(AC30&gt;0,AJ30=0),1,0)</x:f>
        <x:v>0</x:v>
      </x:c>
      <x:c r="AR30" t="n">
        <x:f>IF(ISNUMBER(AB30),1,0)</x:f>
        <x:v>0</x:v>
      </x:c>
    </x:row>
    <x:row r="31" s="1214" customFormat="1" ht="24" customHeight="1">
      <x:c r="A31"/>
      <x:c r="B31" s="1927"/>
      <x:c r="C31" s="1927"/>
      <x:c r="D31" s="1927"/>
      <x:c r="E31" s="1927"/>
      <x:c r="F31" s="1927"/>
      <x:c r="G31" s="1927"/>
      <x:c r="H31" s="1927"/>
      <x:c r="I31" s="1927"/>
      <x:c r="J31" s="1927"/>
      <x:c r="K31" s="1927"/>
      <x:c r="L31" s="1927"/>
      <x:c r="M31" s="1927"/>
      <x:c r="AA31" t="n">
        <x:v>5</x:v>
      </x:c>
      <x:c r="AB31" t="str">
        <x:f>IF(ISNUMBER('Résultats détaillés'!T34),'Résultats détaillés'!T34,"")</x:f>
      </x:c>
      <x:c r="AC31" t="n">
        <x:f>IF(AND(ISNUMBER(AB31),AB31&gt;=5),AB31*100+7,0)</x:f>
        <x:v>0</x:v>
      </x:c>
      <x:c r="AD31" t="str">
        <x:f>IF(ISBLANK('Résultats détaillés'!B34),"",'Résultats détaillés'!B34)</x:f>
        <x:v>5.1</x:v>
      </x:c>
      <x:c r="AE31" t="str">
        <x:f>IF(ISBLANK('Résultats détaillés'!C34),"",'Résultats détaillés'!C34)</x:f>
        <x:v>Concevoir les systèmes et les services numériques en intégrant de nouvelles façons de répondre aux besoins sociaux.</x:v>
      </x:c>
      <x:c r="AF31" t="str">
        <x:f>IF(ISBLANK('Résultats détaillés'!E34),"",'Résultats détaillés'!E34)</x:f>
      </x:c>
      <x:c r="AG31" t="str">
        <x:f>IF(ISBLANK('Résultats détaillés'!F34),"",'Résultats détaillés'!F34)</x:f>
      </x:c>
      <x:c r="AH31" t="n">
        <x:f>IF(ISNUMBER('Résultats détaillés'!H34),IF(AND('Résultats détaillés'!H34&gt;=1,'Résultats détaillés'!H34&lt;=4,MOD('Résultats détaillés'!H34,1)=0),'Résultats détaillés'!H34,0),0)</x:f>
        <x:v>0</x:v>
      </x:c>
      <x:c r="AI31" t="str">
        <x:f>IF(ISBLANK('Résultats détaillés'!W34),"",'Résultats détaillés'!W34)</x:f>
      </x:c>
      <x:c r="AJ31" t="n">
        <x:f>IF(LEN(TRIM(AI31))&gt;0,1,0)</x:f>
        <x:v>0</x:v>
      </x:c>
      <x:c r="AK31" t="n">
        <x:f>IF(LEN(TRIM('Résultats détaillés'!G34))&gt;0,1,0)</x:f>
        <x:v>0</x:v>
      </x:c>
      <x:c r="AL31" t="n">
        <x:f>IF(OR(IF(LEN('Résultats détaillés'!E34)=0,FALSE,NOT(IF(ISNUMBER('Résultats détaillés'!E34),AND('Résultats détaillés'!E34&gt;=0,'Résultats détaillés'!E34&lt;=3,MOD('Résultats détaillés'!E34,1)=0),FALSE))),IF(LEN('Résultats détaillés'!F34)=0,FALSE,NOT(IF(ISNUMBER('Résultats détaillés'!F34),AND('Résultats détaillés'!F34&gt;=1,'Résultats détaillés'!F34&lt;=4,MOD('Résultats détaillés'!F34,1)=0),FALSE))),IF(LEN('Résultats détaillés'!H34)=0,FALSE,NOT(IF(ISNUMBER('Résultats détaillés'!H34),AND('Résultats détaillés'!H34&gt;=1,'Résultats détaillés'!H34&lt;=4,MOD('Résultats détaillés'!H34,1)=0),FALSE)))),1,0)</x:f>
        <x:v>0</x:v>
      </x:c>
      <x:c r="AM31" t="n">
        <x:f>IF(AND(ISNUMBER(AB31),AB31&gt;0,AK31=0),1,0)</x:f>
        <x:v>0</x:v>
      </x:c>
      <x:c r="AN31" t="n">
        <x:v>34</x:v>
      </x:c>
      <x:c r="AO31" t="n">
        <x:f>IF(AND(ISNUMBER(AB31),AB31&gt;0),1,0)</x:f>
        <x:v>0</x:v>
      </x:c>
      <x:c r="AP31" t="n">
        <x:f>IF(AND(AC31&gt;0,AH31=0),1,0)</x:f>
        <x:v>0</x:v>
      </x:c>
      <x:c r="AQ31" t="n">
        <x:f>IF(AND(AC31&gt;0,AJ31=0),1,0)</x:f>
        <x:v>0</x:v>
      </x:c>
      <x:c r="AR31" t="n">
        <x:f>IF(ISNUMBER(AB31),1,0)</x:f>
        <x:v>0</x:v>
      </x:c>
    </x:row>
    <x:row r="32" s="1214" customFormat="1" ht="24" customHeight="1">
      <x:c r="A32"/>
      <x:c r="B32" s="1927"/>
      <x:c r="C32" s="1927"/>
      <x:c r="D32" s="1927"/>
      <x:c r="E32" s="1927"/>
      <x:c r="F32" s="1927"/>
      <x:c r="G32" s="1927"/>
      <x:c r="H32" s="1927"/>
      <x:c r="I32" s="1927"/>
      <x:c r="J32" s="1927"/>
      <x:c r="K32" s="1927"/>
      <x:c r="L32" s="1927"/>
      <x:c r="M32" s="1927"/>
      <x:c r="AA32" t="n">
        <x:v>5</x:v>
      </x:c>
      <x:c r="AB32" t="str">
        <x:f>IF(ISNUMBER('Résultats détaillés'!T35),'Résultats détaillés'!T35,"")</x:f>
      </x:c>
      <x:c r="AC32" t="n">
        <x:f>IF(AND(ISNUMBER(AB32),AB32&gt;=5),AB32*100+6,0)</x:f>
        <x:v>0</x:v>
      </x:c>
      <x:c r="AD32" t="str">
        <x:f>IF(ISBLANK('Résultats détaillés'!B35),"",'Résultats détaillés'!B35)</x:f>
        <x:v>5.2</x:v>
      </x:c>
      <x:c r="AE32" t="str">
        <x:f>IF(ISBLANK('Résultats détaillés'!C35),"",'Résultats détaillés'!C35)</x:f>
        <x:v>Faire connaître et soutenir les initiatives des équipes qui encouragent l’engagement, la coopération entre services et le bien-être au travail.</x:v>
      </x:c>
      <x:c r="AF32" t="str">
        <x:f>IF(ISBLANK('Résultats détaillés'!E35),"",'Résultats détaillés'!E35)</x:f>
      </x:c>
      <x:c r="AG32" t="str">
        <x:f>IF(ISBLANK('Résultats détaillés'!F35),"",'Résultats détaillés'!F35)</x:f>
      </x:c>
      <x:c r="AH32" t="n">
        <x:f>IF(ISNUMBER('Résultats détaillés'!H35),IF(AND('Résultats détaillés'!H35&gt;=1,'Résultats détaillés'!H35&lt;=4,MOD('Résultats détaillés'!H35,1)=0),'Résultats détaillés'!H35,0),0)</x:f>
        <x:v>0</x:v>
      </x:c>
      <x:c r="AI32" t="str">
        <x:f>IF(ISBLANK('Résultats détaillés'!W35),"",'Résultats détaillés'!W35)</x:f>
      </x:c>
      <x:c r="AJ32" t="n">
        <x:f>IF(LEN(TRIM(AI32))&gt;0,1,0)</x:f>
        <x:v>0</x:v>
      </x:c>
      <x:c r="AK32" t="n">
        <x:f>IF(LEN(TRIM('Résultats détaillés'!G35))&gt;0,1,0)</x:f>
        <x:v>0</x:v>
      </x:c>
      <x:c r="AL32" t="n">
        <x:f>IF(OR(IF(LEN('Résultats détaillés'!E35)=0,FALSE,NOT(IF(ISNUMBER('Résultats détaillés'!E35),AND('Résultats détaillés'!E35&gt;=0,'Résultats détaillés'!E35&lt;=3,MOD('Résultats détaillés'!E35,1)=0),FALSE))),IF(LEN('Résultats détaillés'!F35)=0,FALSE,NOT(IF(ISNUMBER('Résultats détaillés'!F35),AND('Résultats détaillés'!F35&gt;=1,'Résultats détaillés'!F35&lt;=4,MOD('Résultats détaillés'!F35,1)=0),FALSE))),IF(LEN('Résultats détaillés'!H35)=0,FALSE,NOT(IF(ISNUMBER('Résultats détaillés'!H35),AND('Résultats détaillés'!H35&gt;=1,'Résultats détaillés'!H35&lt;=4,MOD('Résultats détaillés'!H35,1)=0),FALSE)))),1,0)</x:f>
        <x:v>0</x:v>
      </x:c>
      <x:c r="AM32" t="n">
        <x:f>IF(AND(ISNUMBER(AB32),AB32&gt;0,AK32=0),1,0)</x:f>
        <x:v>0</x:v>
      </x:c>
      <x:c r="AN32" t="n">
        <x:v>35</x:v>
      </x:c>
      <x:c r="AO32" t="n">
        <x:f>IF(AND(ISNUMBER(AB32),AB32&gt;0),1,0)</x:f>
        <x:v>0</x:v>
      </x:c>
      <x:c r="AP32" t="n">
        <x:f>IF(AND(AC32&gt;0,AH32=0),1,0)</x:f>
        <x:v>0</x:v>
      </x:c>
      <x:c r="AQ32" t="n">
        <x:f>IF(AND(AC32&gt;0,AJ32=0),1,0)</x:f>
        <x:v>0</x:v>
      </x:c>
      <x:c r="AR32" t="n">
        <x:f>IF(ISNUMBER(AB32),1,0)</x:f>
        <x:v>0</x:v>
      </x:c>
    </x:row>
    <x:row r="33" s="1214" customFormat="1" ht="24" customHeight="1">
      <x:c r="A33"/>
      <x:c r="B33" s="1927"/>
      <x:c r="C33" s="1927"/>
      <x:c r="D33" s="1927"/>
      <x:c r="E33" s="1927"/>
      <x:c r="F33" s="1927"/>
      <x:c r="G33" s="1927"/>
      <x:c r="H33" s="1927"/>
      <x:c r="I33" s="1927"/>
      <x:c r="J33" s="1927"/>
      <x:c r="K33" s="1927"/>
      <x:c r="L33" s="1927"/>
      <x:c r="M33" s="1927"/>
      <x:c r="AA33" t="n">
        <x:v>5</x:v>
      </x:c>
      <x:c r="AB33" t="str">
        <x:f>IF(ISNUMBER('Résultats détaillés'!T36),'Résultats détaillés'!T36,"")</x:f>
      </x:c>
      <x:c r="AC33" t="n">
        <x:f>IF(AND(ISNUMBER(AB33),AB33&gt;=5),AB33*100+5,0)</x:f>
        <x:v>0</x:v>
      </x:c>
      <x:c r="AD33" t="str">
        <x:f>IF(ISBLANK('Résultats détaillés'!B36),"",'Résultats détaillés'!B36)</x:f>
        <x:v>5.3</x:v>
      </x:c>
      <x:c r="AE33" t="str">
        <x:f>IF(ISBLANK('Résultats détaillés'!C36),"",'Résultats détaillés'!C36)</x:f>
        <x:v>Faire participer les personnes et les organisations concernées. S’appuyer sur leurs connaissances des questions d’environnement, de conditions de vie et de société.</x:v>
      </x:c>
      <x:c r="AF33" t="str">
        <x:f>IF(ISBLANK('Résultats détaillés'!E36),"",'Résultats détaillés'!E36)</x:f>
      </x:c>
      <x:c r="AG33" t="str">
        <x:f>IF(ISBLANK('Résultats détaillés'!F36),"",'Résultats détaillés'!F36)</x:f>
      </x:c>
      <x:c r="AH33" t="n">
        <x:f>IF(ISNUMBER('Résultats détaillés'!H36),IF(AND('Résultats détaillés'!H36&gt;=1,'Résultats détaillés'!H36&lt;=4,MOD('Résultats détaillés'!H36,1)=0),'Résultats détaillés'!H36,0),0)</x:f>
        <x:v>0</x:v>
      </x:c>
      <x:c r="AI33" t="str">
        <x:f>IF(ISBLANK('Résultats détaillés'!W36),"",'Résultats détaillés'!W36)</x:f>
      </x:c>
      <x:c r="AJ33" t="n">
        <x:f>IF(LEN(TRIM(AI33))&gt;0,1,0)</x:f>
        <x:v>0</x:v>
      </x:c>
      <x:c r="AK33" t="n">
        <x:f>IF(LEN(TRIM('Résultats détaillés'!G36))&gt;0,1,0)</x:f>
        <x:v>0</x:v>
      </x:c>
      <x:c r="AL33" t="n">
        <x:f>IF(OR(IF(LEN('Résultats détaillés'!E36)=0,FALSE,NOT(IF(ISNUMBER('Résultats détaillés'!E36),AND('Résultats détaillés'!E36&gt;=0,'Résultats détaillés'!E36&lt;=3,MOD('Résultats détaillés'!E36,1)=0),FALSE))),IF(LEN('Résultats détaillés'!F36)=0,FALSE,NOT(IF(ISNUMBER('Résultats détaillés'!F36),AND('Résultats détaillés'!F36&gt;=1,'Résultats détaillés'!F36&lt;=4,MOD('Résultats détaillés'!F36,1)=0),FALSE))),IF(LEN('Résultats détaillés'!H36)=0,FALSE,NOT(IF(ISNUMBER('Résultats détaillés'!H36),AND('Résultats détaillés'!H36&gt;=1,'Résultats détaillés'!H36&lt;=4,MOD('Résultats détaillés'!H36,1)=0),FALSE)))),1,0)</x:f>
        <x:v>0</x:v>
      </x:c>
      <x:c r="AM33" t="n">
        <x:f>IF(AND(ISNUMBER(AB33),AB33&gt;0,AK33=0),1,0)</x:f>
        <x:v>0</x:v>
      </x:c>
      <x:c r="AN33" t="n">
        <x:v>36</x:v>
      </x:c>
      <x:c r="AO33" t="n">
        <x:f>IF(AND(ISNUMBER(AB33),AB33&gt;0),1,0)</x:f>
        <x:v>0</x:v>
      </x:c>
      <x:c r="AP33" t="n">
        <x:f>IF(AND(AC33&gt;0,AH33=0),1,0)</x:f>
        <x:v>0</x:v>
      </x:c>
      <x:c r="AQ33" t="n">
        <x:f>IF(AND(AC33&gt;0,AJ33=0),1,0)</x:f>
        <x:v>0</x:v>
      </x:c>
      <x:c r="AR33" t="n">
        <x:f>IF(ISNUMBER(AB33),1,0)</x:f>
        <x:v>0</x:v>
      </x:c>
    </x:row>
    <x:row r="34" s="1214" customFormat="1" ht="24" customHeight="1">
      <x:c r="A34"/>
      <x:c r="B34" s="1927"/>
      <x:c r="C34" s="1927"/>
      <x:c r="D34" s="1927"/>
      <x:c r="E34" s="1927"/>
      <x:c r="F34" s="1927"/>
      <x:c r="G34" s="1927"/>
      <x:c r="H34" s="1927"/>
      <x:c r="I34" s="1927"/>
      <x:c r="J34" s="1927"/>
      <x:c r="K34" s="1927"/>
      <x:c r="L34" s="1927"/>
      <x:c r="M34" s="1927"/>
      <x:c r="AA34" t="n">
        <x:v>5</x:v>
      </x:c>
      <x:c r="AB34" t="str">
        <x:f>IF(ISNUMBER('Résultats détaillés'!T37),'Résultats détaillés'!T37,"")</x:f>
      </x:c>
      <x:c r="AC34" t="n">
        <x:f>IF(AND(ISNUMBER(AB34),AB34&gt;=5),AB34*100+4,0)</x:f>
        <x:v>0</x:v>
      </x:c>
      <x:c r="AD34" t="str">
        <x:f>IF(ISBLANK('Résultats détaillés'!B37),"",'Résultats détaillés'!B37)</x:f>
        <x:v>5.4</x:v>
      </x:c>
      <x:c r="AE34" t="str">
        <x:f>IF(ISBLANK('Résultats détaillés'!C37),"",'Résultats détaillés'!C37)</x:f>
        <x:v>Permettre aux générations futures d’innover pour mieux vivre ensemble, s’ouvrir aux autres et préserver l’équilibre de la nature.</x:v>
      </x:c>
      <x:c r="AF34" t="str">
        <x:f>IF(ISBLANK('Résultats détaillés'!E37),"",'Résultats détaillés'!E37)</x:f>
      </x:c>
      <x:c r="AG34" t="str">
        <x:f>IF(ISBLANK('Résultats détaillés'!F37),"",'Résultats détaillés'!F37)</x:f>
      </x:c>
      <x:c r="AH34" t="n">
        <x:f>IF(ISNUMBER('Résultats détaillés'!H37),IF(AND('Résultats détaillés'!H37&gt;=1,'Résultats détaillés'!H37&lt;=4,MOD('Résultats détaillés'!H37,1)=0),'Résultats détaillés'!H37,0),0)</x:f>
        <x:v>0</x:v>
      </x:c>
      <x:c r="AI34" t="str">
        <x:f>IF(ISBLANK('Résultats détaillés'!W37),"",'Résultats détaillés'!W37)</x:f>
      </x:c>
      <x:c r="AJ34" t="n">
        <x:f>IF(LEN(TRIM(AI34))&gt;0,1,0)</x:f>
        <x:v>0</x:v>
      </x:c>
      <x:c r="AK34" t="n">
        <x:f>IF(LEN(TRIM('Résultats détaillés'!G37))&gt;0,1,0)</x:f>
        <x:v>0</x:v>
      </x:c>
      <x:c r="AL34" t="n">
        <x:f>IF(OR(IF(LEN('Résultats détaillés'!E37)=0,FALSE,NOT(IF(ISNUMBER('Résultats détaillés'!E37),AND('Résultats détaillés'!E37&gt;=0,'Résultats détaillés'!E37&lt;=3,MOD('Résultats détaillés'!E37,1)=0),FALSE))),IF(LEN('Résultats détaillés'!F37)=0,FALSE,NOT(IF(ISNUMBER('Résultats détaillés'!F37),AND('Résultats détaillés'!F37&gt;=1,'Résultats détaillés'!F37&lt;=4,MOD('Résultats détaillés'!F37,1)=0),FALSE))),IF(LEN('Résultats détaillés'!H37)=0,FALSE,NOT(IF(ISNUMBER('Résultats détaillés'!H37),AND('Résultats détaillés'!H37&gt;=1,'Résultats détaillés'!H37&lt;=4,MOD('Résultats détaillés'!H37,1)=0),FALSE)))),1,0)</x:f>
        <x:v>0</x:v>
      </x:c>
      <x:c r="AM34" t="n">
        <x:f>IF(AND(ISNUMBER(AB34),AB34&gt;0,AK34=0),1,0)</x:f>
        <x:v>0</x:v>
      </x:c>
      <x:c r="AN34" t="n">
        <x:v>37</x:v>
      </x:c>
      <x:c r="AO34" t="n">
        <x:f>IF(AND(ISNUMBER(AB34),AB34&gt;0),1,0)</x:f>
        <x:v>0</x:v>
      </x:c>
      <x:c r="AP34" t="n">
        <x:f>IF(AND(AC34&gt;0,AH34=0),1,0)</x:f>
        <x:v>0</x:v>
      </x:c>
      <x:c r="AQ34" t="n">
        <x:f>IF(AND(AC34&gt;0,AJ34=0),1,0)</x:f>
        <x:v>0</x:v>
      </x:c>
      <x:c r="AR34" t="n">
        <x:f>IF(ISNUMBER(AB34),1,0)</x:f>
        <x:v>0</x:v>
      </x:c>
    </x:row>
    <x:row r="35" s="1214" customFormat="1" ht="24" customHeight="1">
      <x:c r="A35"/>
      <x:c r="B35" s="1927"/>
      <x:c r="C35" s="1927"/>
      <x:c r="D35" s="1927"/>
      <x:c r="E35" s="1927"/>
      <x:c r="F35" s="1927"/>
      <x:c r="G35" s="1927"/>
      <x:c r="H35" s="1927"/>
      <x:c r="I35" s="1927"/>
      <x:c r="J35" s="1927"/>
      <x:c r="K35" s="1927"/>
      <x:c r="L35" s="1927"/>
      <x:c r="M35" s="1927"/>
      <x:c r="AA35" t="n">
        <x:v>5</x:v>
      </x:c>
      <x:c r="AB35" t="str">
        <x:f>IF(ISNUMBER('Résultats détaillés'!T38),'Résultats détaillés'!T38,"")</x:f>
      </x:c>
      <x:c r="AC35" t="n">
        <x:f>IF(AND(ISNUMBER(AB35),AB35&gt;=5),AB35*100+3,0)</x:f>
        <x:v>0</x:v>
      </x:c>
      <x:c r="AD35" t="str">
        <x:f>IF(ISBLANK('Résultats détaillés'!B38),"",'Résultats détaillés'!B38)</x:f>
        <x:v>5.5</x:v>
      </x:c>
      <x:c r="AE35" t="str">
        <x:f>IF(ISBLANK('Résultats détaillés'!C38),"",'Résultats détaillés'!C38)</x:f>
        <x:v>Suivre les résultats obtenus et le respect des règles à l’aide d’indicateurs.</x:v>
      </x:c>
      <x:c r="AF35" t="str">
        <x:f>IF(ISBLANK('Résultats détaillés'!E38),"",'Résultats détaillés'!E38)</x:f>
      </x:c>
      <x:c r="AG35" t="str">
        <x:f>IF(ISBLANK('Résultats détaillés'!F38),"",'Résultats détaillés'!F38)</x:f>
      </x:c>
      <x:c r="AH35" t="n">
        <x:f>IF(ISNUMBER('Résultats détaillés'!H38),IF(AND('Résultats détaillés'!H38&gt;=1,'Résultats détaillés'!H38&lt;=4,MOD('Résultats détaillés'!H38,1)=0),'Résultats détaillés'!H38,0),0)</x:f>
        <x:v>0</x:v>
      </x:c>
      <x:c r="AI35" t="str">
        <x:f>IF(ISBLANK('Résultats détaillés'!W38),"",'Résultats détaillés'!W38)</x:f>
      </x:c>
      <x:c r="AJ35" t="n">
        <x:f>IF(LEN(TRIM(AI35))&gt;0,1,0)</x:f>
        <x:v>0</x:v>
      </x:c>
      <x:c r="AK35" t="n">
        <x:f>IF(LEN(TRIM('Résultats détaillés'!G38))&gt;0,1,0)</x:f>
        <x:v>0</x:v>
      </x:c>
      <x:c r="AL35" t="n">
        <x:f>IF(OR(IF(LEN('Résultats détaillés'!E38)=0,FALSE,NOT(IF(ISNUMBER('Résultats détaillés'!E38),AND('Résultats détaillés'!E38&gt;=0,'Résultats détaillés'!E38&lt;=3,MOD('Résultats détaillés'!E38,1)=0),FALSE))),IF(LEN('Résultats détaillés'!F38)=0,FALSE,NOT(IF(ISNUMBER('Résultats détaillés'!F38),AND('Résultats détaillés'!F38&gt;=1,'Résultats détaillés'!F38&lt;=4,MOD('Résultats détaillés'!F38,1)=0),FALSE))),IF(LEN('Résultats détaillés'!H38)=0,FALSE,NOT(IF(ISNUMBER('Résultats détaillés'!H38),AND('Résultats détaillés'!H38&gt;=1,'Résultats détaillés'!H38&lt;=4,MOD('Résultats détaillés'!H38,1)=0),FALSE)))),1,0)</x:f>
        <x:v>0</x:v>
      </x:c>
      <x:c r="AM35" t="n">
        <x:f>IF(AND(ISNUMBER(AB35),AB35&gt;0,AK35=0),1,0)</x:f>
        <x:v>0</x:v>
      </x:c>
      <x:c r="AN35" t="n">
        <x:v>38</x:v>
      </x:c>
      <x:c r="AO35" t="n">
        <x:f>IF(AND(ISNUMBER(AB35),AB35&gt;0),1,0)</x:f>
        <x:v>0</x:v>
      </x:c>
      <x:c r="AP35" t="n">
        <x:f>IF(AND(AC35&gt;0,AH35=0),1,0)</x:f>
        <x:v>0</x:v>
      </x:c>
      <x:c r="AQ35" t="n">
        <x:f>IF(AND(AC35&gt;0,AJ35=0),1,0)</x:f>
        <x:v>0</x:v>
      </x:c>
      <x:c r="AR35" t="n">
        <x:f>IF(ISNUMBER(AB35),1,0)</x:f>
        <x:v>0</x:v>
      </x:c>
    </x:row>
    <x:row r="36" s="1214" customFormat="1" ht="24" customHeight="1">
      <x:c r="A36"/>
      <x:c r="B36" s="1927"/>
      <x:c r="C36" s="1927"/>
      <x:c r="D36" s="1927"/>
      <x:c r="E36" s="1927"/>
      <x:c r="F36" s="1927"/>
      <x:c r="G36" s="1927"/>
      <x:c r="H36" s="1927"/>
      <x:c r="I36" s="1927"/>
      <x:c r="J36" s="1927"/>
      <x:c r="K36" s="1927"/>
      <x:c r="L36" s="1927"/>
      <x:c r="M36" s="1927"/>
      <x:c r="AA36" t="n">
        <x:v>5</x:v>
      </x:c>
      <x:c r="AB36" t="str">
        <x:f>IF(ISNUMBER('Résultats détaillés'!T39),'Résultats détaillés'!T39,"")</x:f>
      </x:c>
      <x:c r="AC36" t="n">
        <x:f>IF(AND(ISNUMBER(AB36),AB36&gt;=5),AB36*100+2,0)</x:f>
        <x:v>0</x:v>
      </x:c>
      <x:c r="AD36" t="str">
        <x:f>IF(ISBLANK('Résultats détaillés'!B39),"",'Résultats détaillés'!B39)</x:f>
        <x:v>5.6</x:v>
      </x:c>
      <x:c r="AE36" t="str">
        <x:f>IF(ISBLANK('Résultats détaillés'!C39),"",'Résultats détaillés'!C39)</x:f>
        <x:v>Proposer des améliorations et de nouvelles idées pour un numérique responsable, y compris des solutions sans outils numériques.</x:v>
      </x:c>
      <x:c r="AF36" t="str">
        <x:f>IF(ISBLANK('Résultats détaillés'!E39),"",'Résultats détaillés'!E39)</x:f>
      </x:c>
      <x:c r="AG36" t="str">
        <x:f>IF(ISBLANK('Résultats détaillés'!F39),"",'Résultats détaillés'!F39)</x:f>
      </x:c>
      <x:c r="AH36" t="n">
        <x:f>IF(ISNUMBER('Résultats détaillés'!H39),IF(AND('Résultats détaillés'!H39&gt;=1,'Résultats détaillés'!H39&lt;=4,MOD('Résultats détaillés'!H39,1)=0),'Résultats détaillés'!H39,0),0)</x:f>
        <x:v>0</x:v>
      </x:c>
      <x:c r="AI36" t="str">
        <x:f>IF(ISBLANK('Résultats détaillés'!W39),"",'Résultats détaillés'!W39)</x:f>
      </x:c>
      <x:c r="AJ36" t="n">
        <x:f>IF(LEN(TRIM(AI36))&gt;0,1,0)</x:f>
        <x:v>0</x:v>
      </x:c>
      <x:c r="AK36" t="n">
        <x:f>IF(LEN(TRIM('Résultats détaillés'!G39))&gt;0,1,0)</x:f>
        <x:v>0</x:v>
      </x:c>
      <x:c r="AL36" t="n">
        <x:f>IF(OR(IF(LEN('Résultats détaillés'!E39)=0,FALSE,NOT(IF(ISNUMBER('Résultats détaillés'!E39),AND('Résultats détaillés'!E39&gt;=0,'Résultats détaillés'!E39&lt;=3,MOD('Résultats détaillés'!E39,1)=0),FALSE))),IF(LEN('Résultats détaillés'!F39)=0,FALSE,NOT(IF(ISNUMBER('Résultats détaillés'!F39),AND('Résultats détaillés'!F39&gt;=1,'Résultats détaillés'!F39&lt;=4,MOD('Résultats détaillés'!F39,1)=0),FALSE))),IF(LEN('Résultats détaillés'!H39)=0,FALSE,NOT(IF(ISNUMBER('Résultats détaillés'!H39),AND('Résultats détaillés'!H39&gt;=1,'Résultats détaillés'!H39&lt;=4,MOD('Résultats détaillés'!H39,1)=0),FALSE)))),1,0)</x:f>
        <x:v>0</x:v>
      </x:c>
      <x:c r="AM36" t="n">
        <x:f>IF(AND(ISNUMBER(AB36),AB36&gt;0,AK36=0),1,0)</x:f>
        <x:v>0</x:v>
      </x:c>
      <x:c r="AN36" t="n">
        <x:v>39</x:v>
      </x:c>
      <x:c r="AO36" t="n">
        <x:f>IF(AND(ISNUMBER(AB36),AB36&gt;0),1,0)</x:f>
        <x:v>0</x:v>
      </x:c>
      <x:c r="AP36" t="n">
        <x:f>IF(AND(AC36&gt;0,AH36=0),1,0)</x:f>
        <x:v>0</x:v>
      </x:c>
      <x:c r="AQ36" t="n">
        <x:f>IF(AND(AC36&gt;0,AJ36=0),1,0)</x:f>
        <x:v>0</x:v>
      </x:c>
      <x:c r="AR36" t="n">
        <x:f>IF(ISNUMBER(AB36),1,0)</x:f>
        <x:v>0</x:v>
      </x:c>
    </x:row>
    <x:row r="37" s="1214" customFormat="1" ht="30" customHeight="1">
      <x:c r="A37"/>
      <x:c r="B37" s="1954" t="str">
        <x:v>Comprendre les notes et les besoins</x:v>
      </x:c>
      <x:c r="C37" s="1955"/>
      <x:c r="D37" s="1955"/>
      <x:c r="E37" s="1955"/>
      <x:c r="F37" s="1955"/>
      <x:c r="G37" s="1955"/>
      <x:c r="H37" s="1955"/>
      <x:c r="I37" s="1955"/>
      <x:c r="J37" s="1955"/>
      <x:c r="K37" s="1955"/>
      <x:c r="L37" s="1955"/>
      <x:c r="M37" s="1956"/>
      <x:c r="AA37" t="n">
        <x:v>5</x:v>
      </x:c>
      <x:c r="AB37" t="str">
        <x:f>IF(ISNUMBER('Résultats détaillés'!T40),'Résultats détaillés'!T40,"")</x:f>
      </x:c>
      <x:c r="AC37" t="n">
        <x:f>IF(AND(ISNUMBER(AB37),AB37&gt;=5),AB37*100+1,0)</x:f>
        <x:v>0</x:v>
      </x:c>
      <x:c r="AD37" t="str">
        <x:f>IF(ISBLANK('Résultats détaillés'!B40),"",'Résultats détaillés'!B40)</x:f>
        <x:v>5.7</x:v>
      </x:c>
      <x:c r="AE37" t="str">
        <x:f>IF(ISBLANK('Résultats détaillés'!C40),"",'Résultats détaillés'!C40)</x:f>
        <x:v>Décider avec les équipes comment utiliser l’intelligence artificielle. Les former à ses limites et préserver le sens de leur travail.</x:v>
      </x:c>
      <x:c r="AF37" t="str">
        <x:f>IF(ISBLANK('Résultats détaillés'!E40),"",'Résultats détaillés'!E40)</x:f>
      </x:c>
      <x:c r="AG37" t="str">
        <x:f>IF(ISBLANK('Résultats détaillés'!F40),"",'Résultats détaillés'!F40)</x:f>
      </x:c>
      <x:c r="AH37" t="n">
        <x:f>IF(ISNUMBER('Résultats détaillés'!H40),IF(AND('Résultats détaillés'!H40&gt;=1,'Résultats détaillés'!H40&lt;=4,MOD('Résultats détaillés'!H40,1)=0),'Résultats détaillés'!H40,0),0)</x:f>
        <x:v>0</x:v>
      </x:c>
      <x:c r="AI37" t="str">
        <x:f>IF(ISBLANK('Résultats détaillés'!W40),"",'Résultats détaillés'!W40)</x:f>
      </x:c>
      <x:c r="AJ37" t="n">
        <x:f>IF(LEN(TRIM(AI37))&gt;0,1,0)</x:f>
        <x:v>0</x:v>
      </x:c>
      <x:c r="AK37" t="n">
        <x:f>IF(LEN(TRIM('Résultats détaillés'!G40))&gt;0,1,0)</x:f>
        <x:v>0</x:v>
      </x:c>
      <x:c r="AL37" t="n">
        <x:f>IF(OR(IF(LEN('Résultats détaillés'!E40)=0,FALSE,NOT(IF(ISNUMBER('Résultats détaillés'!E40),AND('Résultats détaillés'!E40&gt;=0,'Résultats détaillés'!E40&lt;=3,MOD('Résultats détaillés'!E40,1)=0),FALSE))),IF(LEN('Résultats détaillés'!F40)=0,FALSE,NOT(IF(ISNUMBER('Résultats détaillés'!F40),AND('Résultats détaillés'!F40&gt;=1,'Résultats détaillés'!F40&lt;=4,MOD('Résultats détaillés'!F40,1)=0),FALSE))),IF(LEN('Résultats détaillés'!H40)=0,FALSE,NOT(IF(ISNUMBER('Résultats détaillés'!H40),AND('Résultats détaillés'!H40&gt;=1,'Résultats détaillés'!H40&lt;=4,MOD('Résultats détaillés'!H40,1)=0),FALSE)))),1,0)</x:f>
        <x:v>0</x:v>
      </x:c>
      <x:c r="AM37" t="n">
        <x:f>IF(AND(ISNUMBER(AB37),AB37&gt;0,AK37=0),1,0)</x:f>
        <x:v>0</x:v>
      </x:c>
      <x:c r="AN37" t="n">
        <x:v>40</x:v>
      </x:c>
      <x:c r="AO37" t="n">
        <x:f>IF(AND(ISNUMBER(AB37),AB37&gt;0),1,0)</x:f>
        <x:v>0</x:v>
      </x:c>
      <x:c r="AP37" t="n">
        <x:f>IF(AND(AC37&gt;0,AH37=0),1,0)</x:f>
        <x:v>0</x:v>
      </x:c>
      <x:c r="AQ37" t="n">
        <x:f>IF(AND(AC37&gt;0,AJ37=0),1,0)</x:f>
        <x:v>0</x:v>
      </x:c>
      <x:c r="AR37" t="n">
        <x:f>IF(ISNUMBER(AB37),1,0)</x:f>
        <x:v>0</x:v>
      </x:c>
    </x:row>
    <x:row r="38" s="1214" customFormat="1" ht="24" customHeight="1">
      <x:c r="A38"/>
      <x:c r="B38" s="1944" t="str">
        <x:v>Importance et niveau atteint</x:v>
      </x:c>
      <x:c r="C38" s="1944"/>
      <x:c r="D38" s="1944"/>
      <x:c r="E38" s="1944"/>
      <x:c r="F38" s="1944"/>
      <x:c r="G38" s="1944"/>
      <x:c r="H38" s="1927"/>
      <x:c r="I38" s="1949" t="str">
        <x:v>Compétences nécessaires pour les priorités</x:v>
      </x:c>
      <x:c r="J38" s="1949"/>
      <x:c r="K38" s="1949"/>
      <x:c r="L38" s="1949"/>
      <x:c r="M38" s="1949"/>
    </x:row>
    <x:row r="39" s="1214" customFormat="1" ht="38" customHeight="1">
      <x:c r="A39"/>
      <x:c r="B39" s="1995" t="str">
        <x:v>Importance</x:v>
      </x:c>
      <x:c r="C39" s="1995" t="str">
        <x:v>1. Pas du tout</x:v>
      </x:c>
      <x:c r="D39" s="1995" t="str">
        <x:v>2. En partie</x:v>
      </x:c>
      <x:c r="E39" s="1995" t="str">
        <x:v>3. En bonne voie</x:v>
      </x:c>
      <x:c r="F39" s="1995" t="str">
        <x:v>4. Atteinte</x:v>
      </x:c>
      <x:c r="G39" s="1995" t="str">
        <x:v>Total</x:v>
      </x:c>
      <x:c r="H39" s="1927"/>
      <x:c r="I39" s="2013" t="str">
        <x:v>Équipe à mobiliser</x:v>
      </x:c>
      <x:c r="J39" s="2014"/>
      <x:c r="K39" s="2014"/>
      <x:c r="L39" s="2014"/>
      <x:c r="M39" s="2015" t="str">
        <x:v>Cibles</x:v>
      </x:c>
    </x:row>
    <x:row r="40" s="1214" customFormat="1" ht="30" customHeight="1">
      <x:c r="A40"/>
      <x:c r="B40" s="1996" t="str">
        <x:v>3. Très importante</x:v>
      </x:c>
      <x:c r="C40" s="2003" t="n">
        <x:f>COUNTIFS($AO$6:$AO$37,1,$AF$6:$AF$37,3,$AG$6:$AG$37,1)</x:f>
        <x:v>3</x:v>
      </x:c>
      <x:c r="D40" s="2004" t="n">
        <x:f>COUNTIFS($AO$6:$AO$37,1,$AF$6:$AF$37,3,$AG$6:$AG$37,2)</x:f>
        <x:v>1</x:v>
      </x:c>
      <x:c r="E40" s="2005" t="n">
        <x:f>COUNTIFS($AO$6:$AO$37,1,$AF$6:$AF$37,3,$AG$6:$AG$37,3)</x:f>
        <x:v>1</x:v>
      </x:c>
      <x:c r="F40" s="2006" t="n">
        <x:f>COUNTIFS($AO$6:$AO$37,1,$AF$6:$AF$37,3,$AG$6:$AG$37,4)</x:f>
        <x:v>0</x:v>
      </x:c>
      <x:c r="G40" s="2007" t="n">
        <x:f>SUM(C40:F40)</x:f>
        <x:v>5</x:v>
      </x:c>
      <x:c r="H40" s="1927"/>
      <x:c r="I40" s="2016" t="str">
        <x:v>Équipe NR / RSE</x:v>
      </x:c>
      <x:c r="J40" s="2012"/>
      <x:c r="K40" s="2012"/>
      <x:c r="L40" s="2012"/>
      <x:c r="M40" s="2022" t="n">
        <x:f>COUNTIFS($AC$6:$AC$37,"&gt;0",$AH$6:$AH$37,1)</x:f>
        <x:v>0</x:v>
      </x:c>
    </x:row>
    <x:row r="41" s="1214" customFormat="1" ht="30" customHeight="1">
      <x:c r="A41"/>
      <x:c r="B41" s="1996" t="str">
        <x:v>2. Importante</x:v>
      </x:c>
      <x:c r="C41" s="2004" t="n">
        <x:f>COUNTIFS($AO$6:$AO$37,1,$AF$6:$AF$37,2,$AG$6:$AG$37,1)</x:f>
        <x:v>0</x:v>
      </x:c>
      <x:c r="D41" s="2005" t="n">
        <x:f>COUNTIFS($AO$6:$AO$37,1,$AF$6:$AF$37,2,$AG$6:$AG$37,2)</x:f>
        <x:v>0</x:v>
      </x:c>
      <x:c r="E41" s="2006" t="n">
        <x:f>COUNTIFS($AO$6:$AO$37,1,$AF$6:$AF$37,2,$AG$6:$AG$37,3)</x:f>
        <x:v>0</x:v>
      </x:c>
      <x:c r="F41" s="2008" t="n">
        <x:f>COUNTIFS($AO$6:$AO$37,1,$AF$6:$AF$37,2,$AG$6:$AG$37,4)</x:f>
        <x:v>0</x:v>
      </x:c>
      <x:c r="G41" s="2007" t="n">
        <x:f>SUM(C41:F41)</x:f>
        <x:v>0</x:v>
      </x:c>
      <x:c r="H41" s="1927"/>
      <x:c r="I41" s="2018" t="str">
        <x:v>NR / RSE et informatique (DSI)</x:v>
      </x:c>
      <x:c r="J41" s="1935"/>
      <x:c r="K41" s="1935"/>
      <x:c r="L41" s="1935"/>
      <x:c r="M41" s="2022" t="n">
        <x:f>COUNTIFS($AC$6:$AC$37,"&gt;0",$AH$6:$AH$37,2)</x:f>
        <x:v>3</x:v>
      </x:c>
    </x:row>
    <x:row r="42" s="1214" customFormat="1" ht="30" customHeight="1">
      <x:c r="A42"/>
      <x:c r="B42" s="1996" t="str">
        <x:v>1. Peu importante</x:v>
      </x:c>
      <x:c r="C42" s="2009" t="n">
        <x:f>COUNTIFS($AO$6:$AO$37,1,$AF$6:$AF$37,1,$AG$6:$AG$37,1)</x:f>
        <x:v>0</x:v>
      </x:c>
      <x:c r="D42" s="2009" t="n">
        <x:f>COUNTIFS($AO$6:$AO$37,1,$AF$6:$AF$37,1,$AG$6:$AG$37,2)</x:f>
        <x:v>0</x:v>
      </x:c>
      <x:c r="E42" s="2008" t="n">
        <x:f>COUNTIFS($AO$6:$AO$37,1,$AF$6:$AF$37,1,$AG$6:$AG$37,3)</x:f>
        <x:v>0</x:v>
      </x:c>
      <x:c r="F42" s="2008" t="n">
        <x:f>COUNTIFS($AO$6:$AO$37,1,$AF$6:$AF$37,1,$AG$6:$AG$37,4)</x:f>
        <x:v>0</x:v>
      </x:c>
      <x:c r="G42" s="2007" t="n">
        <x:f>SUM(C42:F42)</x:f>
        <x:v>0</x:v>
      </x:c>
      <x:c r="H42" s="1927"/>
      <x:c r="I42" s="2016" t="str">
        <x:v>NR / RSE et équipe hors DSI</x:v>
      </x:c>
      <x:c r="J42" s="2012"/>
      <x:c r="K42" s="2012"/>
      <x:c r="L42" s="2012"/>
      <x:c r="M42" s="2022" t="n">
        <x:f>COUNTIFS($AC$6:$AC$37,"&gt;0",$AH$6:$AH$37,3)</x:f>
        <x:v>1</x:v>
      </x:c>
    </x:row>
    <x:row r="43" s="1214" customFormat="1" ht="30" customHeight="1">
      <x:c r="A43"/>
      <x:c r="B43" s="1959" t="str">
        <x:v>Total</x:v>
      </x:c>
      <x:c r="C43" s="2010" t="n">
        <x:f>SUM(C40:C42)</x:f>
        <x:v>3</x:v>
      </x:c>
      <x:c r="D43" s="2010" t="n">
        <x:f>SUM(D40:D42)</x:f>
        <x:v>1</x:v>
      </x:c>
      <x:c r="E43" s="2010" t="n">
        <x:f>SUM(E40:E42)</x:f>
        <x:v>1</x:v>
      </x:c>
      <x:c r="F43" s="2010" t="n">
        <x:f>SUM(F40:F42)</x:f>
        <x:v>0</x:v>
      </x:c>
      <x:c r="G43" s="2010" t="n">
        <x:f>SUM(G40:G42)</x:f>
        <x:v>5</x:v>
      </x:c>
      <x:c r="H43" s="1927"/>
      <x:c r="I43" s="2018" t="str">
        <x:v>Intervention extérieure</x:v>
      </x:c>
      <x:c r="J43" s="1935"/>
      <x:c r="K43" s="1935"/>
      <x:c r="L43" s="1935"/>
      <x:c r="M43" s="2022" t="n">
        <x:f>COUNTIFS($AC$6:$AC$37,"&gt;0",$AH$6:$AH$37,4)</x:f>
        <x:v>0</x:v>
      </x:c>
    </x:row>
    <x:row r="44" s="1214" customFormat="1" ht="30" customHeight="1">
      <x:c r="A44"/>
      <x:c r="B44" s="1927"/>
      <x:c r="C44" s="1927"/>
      <x:c r="D44" s="1927"/>
      <x:c r="E44" s="1927"/>
      <x:c r="F44" s="1927"/>
      <x:c r="G44" s="1927"/>
      <x:c r="H44" s="1927"/>
      <x:c r="I44" s="2019" t="str">
        <x:v>À préciser</x:v>
      </x:c>
      <x:c r="J44" s="2020"/>
      <x:c r="K44" s="2020"/>
      <x:c r="L44" s="2020"/>
      <x:c r="M44" s="2023" t="n">
        <x:f>COUNTIFS($AC$6:$AC$37,"&gt;0",$AH$6:$AH$37,0)</x:f>
        <x:v>0</x:v>
      </x:c>
    </x:row>
    <x:row r="45" s="1214" customFormat="1" ht="24" customHeight="1">
      <x:c r="A45"/>
      <x:c r="B45" s="1953" t="str">
        <x:v>La matrice compte les cibles applicables évaluées. Les couleurs suivent les niveaux de priorité du document.</x:v>
      </x:c>
      <x:c r="C45" s="1953"/>
      <x:c r="D45" s="1953"/>
      <x:c r="E45" s="1953"/>
      <x:c r="F45" s="1953"/>
      <x:c r="G45" s="1953"/>
      <x:c r="H45" s="2024"/>
      <x:c r="I45" s="1953" t="str">
        <x:v>NR : numérique responsable. RSE : responsabilité sociétale. Ce tableau concerne les urgentes et les prioritaires.</x:v>
      </x:c>
      <x:c r="J45" s="1953"/>
      <x:c r="K45" s="1953"/>
      <x:c r="L45" s="1953"/>
      <x:c r="M45" s="1953"/>
    </x:row>
    <x:row r="46" s="1214" customFormat="1" ht="24" customHeight="1">
      <x:c r="A46"/>
      <x:c r="B46" s="1953"/>
      <x:c r="C46" s="1953"/>
      <x:c r="D46" s="1953"/>
      <x:c r="E46" s="1953"/>
      <x:c r="F46" s="1953"/>
      <x:c r="G46" s="1953"/>
      <x:c r="H46" s="2024"/>
      <x:c r="I46" s="1953"/>
      <x:c r="J46" s="1953"/>
      <x:c r="K46" s="1953"/>
      <x:c r="L46" s="1953"/>
      <x:c r="M46" s="1953"/>
    </x:row>
    <x:row r="47" s="1214" customFormat="1" ht="24" customHeight="1">
      <x:c r="A47"/>
      <x:c r="B47" s="1927"/>
      <x:c r="C47" s="1927"/>
      <x:c r="D47" s="1927"/>
      <x:c r="E47" s="1927"/>
      <x:c r="F47" s="1927"/>
      <x:c r="G47" s="1927"/>
      <x:c r="H47" s="1927"/>
      <x:c r="I47" s="1927"/>
      <x:c r="J47" s="1927"/>
      <x:c r="K47" s="1927"/>
      <x:c r="L47" s="1927"/>
      <x:c r="M47" s="1927"/>
    </x:row>
    <x:row r="48" s="1214" customFormat="1" ht="30" customHeight="1">
      <x:c r="A48"/>
      <x:c r="B48" s="1954" t="str">
        <x:v>Informations à compléter</x:v>
      </x:c>
      <x:c r="C48" s="1955"/>
      <x:c r="D48" s="1955"/>
      <x:c r="E48" s="1955"/>
      <x:c r="F48" s="1955"/>
      <x:c r="G48" s="1955"/>
      <x:c r="H48" s="1955"/>
      <x:c r="I48" s="1955"/>
      <x:c r="J48" s="1955"/>
      <x:c r="K48" s="1955"/>
      <x:c r="L48" s="1955"/>
      <x:c r="M48" s="1956"/>
    </x:row>
    <x:row r="49" s="1214" customFormat="1" ht="24" customHeight="1">
      <x:c r="A49"/>
      <x:c r="B49" s="1930" t="str">
        <x:v>Point à vérifier</x:v>
      </x:c>
      <x:c r="C49" s="1930"/>
      <x:c r="D49" s="1930"/>
      <x:c r="E49" s="1930"/>
      <x:c r="F49" s="1930"/>
      <x:c r="G49" s="1957" t="str">
        <x:v>Cibles</x:v>
      </x:c>
      <x:c r="H49" s="1930" t="str">
        <x:v>Comment lire ce nombre</x:v>
      </x:c>
      <x:c r="I49" s="1930"/>
      <x:c r="J49" s="1930"/>
      <x:c r="K49" s="1930"/>
      <x:c r="L49" s="1930"/>
      <x:c r="M49" s="1930"/>
    </x:row>
    <x:row r="50" s="1214" customFormat="1" ht="32" customHeight="1">
      <x:c r="A50"/>
      <x:c r="B50" s="2025" t="str">
        <x:v>Évaluation à compléter</x:v>
      </x:c>
      <x:c r="C50" s="2025"/>
      <x:c r="D50" s="2025"/>
      <x:c r="E50" s="2025"/>
      <x:c r="F50" s="2025"/>
      <x:c r="G50" s="2027" t="n">
        <x:f>E16</x:f>
        <x:v>27</x:v>
      </x:c>
      <x:c r="H50" s="2025" t="str">
        <x:v>Une priorité ne peut pas encore être calculée.</x:v>
      </x:c>
      <x:c r="I50" s="2025"/>
      <x:c r="J50" s="2025"/>
      <x:c r="K50" s="2025"/>
      <x:c r="L50" s="2025"/>
      <x:c r="M50" s="2025"/>
    </x:row>
    <x:row r="51" s="1214" customFormat="1" ht="32" customHeight="1">
      <x:c r="A51"/>
      <x:c r="B51" s="1935" t="str">
        <x:v>Notes hors échelle</x:v>
      </x:c>
      <x:c r="C51" s="1935"/>
      <x:c r="D51" s="1935"/>
      <x:c r="E51" s="1935"/>
      <x:c r="F51" s="1935"/>
      <x:c r="G51" s="1975" t="n">
        <x:f>SUM($AL$6:$AL$37)</x:f>
        <x:v>0</x:v>
      </x:c>
      <x:c r="H51" s="1935" t="str">
        <x:v>Au moins une note saisie ne respecte pas les choix proposés.</x:v>
      </x:c>
      <x:c r="I51" s="1935"/>
      <x:c r="J51" s="1935"/>
      <x:c r="K51" s="1935"/>
      <x:c r="L51" s="1935"/>
      <x:c r="M51" s="1935"/>
    </x:row>
    <x:row r="52" s="1214" customFormat="1" ht="32" customHeight="1">
      <x:c r="A52"/>
      <x:c r="B52" s="2025" t="str">
        <x:v>Justification du niveau actuel absente</x:v>
      </x:c>
      <x:c r="C52" s="2025"/>
      <x:c r="D52" s="2025"/>
      <x:c r="E52" s="2025"/>
      <x:c r="F52" s="2025"/>
      <x:c r="G52" s="2027" t="n">
        <x:f>SUM($AM$6:$AM$37)</x:f>
        <x:v>0</x:v>
      </x:c>
      <x:c r="H52" s="2025" t="str">
        <x:v>Cibles applicables évaluées sans explication de la note.</x:v>
      </x:c>
      <x:c r="I52" s="2025"/>
      <x:c r="J52" s="2025"/>
      <x:c r="K52" s="2025"/>
      <x:c r="L52" s="2025"/>
      <x:c r="M52" s="2025"/>
    </x:row>
    <x:row r="53" s="1214" customFormat="1" ht="32" customHeight="1">
      <x:c r="A53"/>
      <x:c r="B53" s="1935" t="str">
        <x:v>Compétences à préciser sur les priorités</x:v>
      </x:c>
      <x:c r="C53" s="1935"/>
      <x:c r="D53" s="1935"/>
      <x:c r="E53" s="1935"/>
      <x:c r="F53" s="1935"/>
      <x:c r="G53" s="1975" t="n">
        <x:f>SUM($AP$6:$AP$37)</x:f>
        <x:v>0</x:v>
      </x:c>
      <x:c r="H53" s="1935" t="str">
        <x:v>Cibles urgentes ou prioritaires sans choix de compétences valide.</x:v>
      </x:c>
      <x:c r="I53" s="1935"/>
      <x:c r="J53" s="1935"/>
      <x:c r="K53" s="1935"/>
      <x:c r="L53" s="1935"/>
      <x:c r="M53" s="1935"/>
    </x:row>
    <x:row r="54" s="1214" customFormat="1" ht="32" customHeight="1">
      <x:c r="A54"/>
      <x:c r="B54" s="2025" t="str">
        <x:v>Action à proposer sur les priorités</x:v>
      </x:c>
      <x:c r="C54" s="2025"/>
      <x:c r="D54" s="2025"/>
      <x:c r="E54" s="2025"/>
      <x:c r="F54" s="2025"/>
      <x:c r="G54" s="2027" t="n">
        <x:f>SUM($AQ$6:$AQ$37)</x:f>
        <x:v>0</x:v>
      </x:c>
      <x:c r="H54" s="2025" t="str">
        <x:v>Cibles urgentes ou prioritaires sans proposition écrite.</x:v>
      </x:c>
      <x:c r="I54" s="2025"/>
      <x:c r="J54" s="2025"/>
      <x:c r="K54" s="2025"/>
      <x:c r="L54" s="2025"/>
      <x:c r="M54" s="2025"/>
    </x:row>
    <x:row r="55" s="1214" customFormat="1" ht="24" customHeight="1">
      <x:c r="A55"/>
      <x:c r="B55" s="1927"/>
      <x:c r="C55" s="1927"/>
      <x:c r="D55" s="1927"/>
      <x:c r="E55" s="1927"/>
      <x:c r="F55" s="1927"/>
      <x:c r="G55" s="1927"/>
      <x:c r="H55" s="1927"/>
      <x:c r="I55" s="1927"/>
      <x:c r="J55" s="1927"/>
      <x:c r="K55" s="1927"/>
      <x:c r="L55" s="1927"/>
      <x:c r="M55" s="1927"/>
    </x:row>
    <x:row r="56" s="1214" customFormat="1" ht="24" customHeight="1">
      <x:c r="A56"/>
      <x:c r="B56" s="1953" t="str">
        <x:v>Une cellule de taux vide signifie qu’aucune cible ne permet encore de calculer ce taux. Une importance de 0 indique une cible non applicable.</x:v>
      </x:c>
      <x:c r="C56" s="1953"/>
      <x:c r="D56" s="1953"/>
      <x:c r="E56" s="1953"/>
      <x:c r="F56" s="1953"/>
      <x:c r="G56" s="1953"/>
      <x:c r="H56" s="1953"/>
      <x:c r="I56" s="1953"/>
      <x:c r="J56" s="1953"/>
      <x:c r="K56" s="1953"/>
      <x:c r="L56" s="1953"/>
      <x:c r="M56" s="1953"/>
    </x:row>
    <x:row r="57" s="1214" customFormat="1" ht="24" customHeight="1">
      <x:c r="A57"/>
      <x:c r="B57" s="1927"/>
      <x:c r="C57" s="1927"/>
      <x:c r="D57" s="1927"/>
      <x:c r="E57" s="1927"/>
      <x:c r="F57" s="1927"/>
      <x:c r="G57" s="1927"/>
      <x:c r="H57" s="1927"/>
      <x:c r="I57" s="1927"/>
      <x:c r="J57" s="1927"/>
      <x:c r="K57" s="1927"/>
      <x:c r="L57" s="1927"/>
      <x:c r="M57" s="1927"/>
    </x:row>
    <x:row r="58" s="1214" customFormat="1" ht="30" customHeight="1">
      <x:c r="A58"/>
      <x:c r="B58" s="2028" t="str">
        <x:v>Cibles à traiter en premier</x:v>
      </x:c>
      <x:c r="C58" s="2029"/>
      <x:c r="D58" s="2029"/>
      <x:c r="E58" s="2029"/>
      <x:c r="F58" s="2029"/>
      <x:c r="G58" s="2029"/>
      <x:c r="H58" s="2029"/>
      <x:c r="I58" s="2029"/>
      <x:c r="J58" s="2029"/>
      <x:c r="K58" s="2029"/>
      <x:c r="L58" s="2029"/>
      <x:c r="M58" s="2030"/>
    </x:row>
    <x:row r="59" s="1214" customFormat="1" ht="24" customHeight="1">
      <x:c r="A59"/>
      <x:c r="B59" s="1935" t="str">
        <x:f>IF(H16+I16=0,IF(D16=0,"La liste apparaîtra après la saisie des notes.","Aucune cible urgente ou prioritaire parmi les cibles évaluées."),"Les "&amp;MIN(10,H16+I16)&amp;" premières cibles sur "&amp;(H16+I16)&amp;" urgentes ou prioritaires. Ordre : urgence, puis numéro de cible.")</x:f>
        <x:v>Les 4 premières cibles sur 4 urgentes ou prioritaires. Ordre : urgence, puis numéro de cible.</x:v>
      </x:c>
      <x:c r="C59" s="1935"/>
      <x:c r="D59" s="1935"/>
      <x:c r="E59" s="1935"/>
      <x:c r="F59" s="1935"/>
      <x:c r="G59" s="1935"/>
      <x:c r="H59" s="1935"/>
      <x:c r="I59" s="1935"/>
      <x:c r="J59" s="1935"/>
      <x:c r="K59" s="1935"/>
      <x:c r="L59" s="1935"/>
      <x:c r="M59" s="1935"/>
    </x:row>
    <x:row r="60" s="1214" customFormat="1" ht="40" customHeight="1">
      <x:c r="A60"/>
      <x:c r="B60" s="1930" t="str">
        <x:v>Cible</x:v>
      </x:c>
      <x:c r="C60" s="1930" t="str">
        <x:v>Ce que l’on cherche à faire</x:v>
      </x:c>
      <x:c r="D60" s="1930"/>
      <x:c r="E60" s="1930"/>
      <x:c r="F60" s="1930"/>
      <x:c r="G60" s="1930" t="str">
        <x:v>Priorité</x:v>
      </x:c>
      <x:c r="H60" s="1930" t="str">
        <x:v>Niveau / 4</x:v>
      </x:c>
      <x:c r="I60" s="1930" t="str">
        <x:v>Compétences</x:v>
      </x:c>
      <x:c r="J60" s="1930" t="str">
        <x:v>Action proposée (extrait)</x:v>
      </x:c>
      <x:c r="K60" s="1930"/>
      <x:c r="L60" s="1930"/>
      <x:c r="M60" s="1930"/>
    </x:row>
    <x:row r="61" s="1214" customFormat="1" ht="112" customHeight="1">
      <x:c r="B61" s="2038" t="str">
        <x:f>IF(ISNUMBER($AS61),INDEX($AD$6:$AD$37,$AS61),"")</x:f>
        <x:v>1.1</x:v>
      </x:c>
      <x:c r="C61" s="2039" t="str">
        <x:f>IF(ISNUMBER($AS61),INDEX($AE$6:$AE$37,$AS61),"")</x:f>
        <x:v>Prendre en compte toutes les étapes de la vie des équipements et des logiciels, de leur création à leur fin de vie, pour contribuer à la transition énergétique.</x:v>
      </x:c>
      <x:c r="D61" s="2039"/>
      <x:c r="E61" s="2039"/>
      <x:c r="F61" s="2039"/>
      <x:c r="G61" s="2040" t="str">
        <x:f>IF(ISNUMBER($AS61),IF(INDEX($AB$6:$AB$37,$AS61)=6,"Urgente","Prioritaire"),"")</x:f>
        <x:v>Urgente</x:v>
      </x:c>
      <x:c r="H61" s="2040" t="n">
        <x:f>IF(ISNUMBER($AS61),INDEX($AG$6:$AG$37,$AS61),"")</x:f>
        <x:v>1</x:v>
      </x:c>
      <x:c r="I61" s="2040" t="str">
        <x:f>IF(ISNUMBER($AS61),IF(INDEX($AH$6:$AH$37,$AS61)=0,"À préciser",CHOOSE(INDEX($AH$6:$AH$37,$AS61),"NR / RSE","Avec DSI","Hors DSI","Externe")),"")</x:f>
        <x:v>Hors DSI</x:v>
      </x:c>
      <x:c r="J61" s="2039" t="str">
        <x:f>IF(ISNUMBER($AS61),IF(INDEX($AJ$6:$AJ$37,$AS61)=0,"À proposer",LEFT(INDEX($AI$6:$AI$37,$AS61),180)&amp;IF(LEN(INDEX($AI$6:$AI$37,$AS61))&gt;180,"…","")),"")</x:f>
        <x:v>Former l’équipe Achats aux critères du numérique responsable et aux labels TCO et EPEAT. Dans les prochains appels d’offres pour remplacer les serveurs, faire compter les critères …</x:v>
      </x:c>
      <x:c r="K61" s="2039"/>
      <x:c r="L61" s="2039"/>
      <x:c r="M61" s="2041"/>
      <x:c r="AS61" t="n">
        <x:f>IF(1&gt;$H$16+$I$16,"",MATCH(LARGE($AC$6:$AC$37,1),$AC$6:$AC$37,0))</x:f>
        <x:v>1</x:v>
      </x:c>
    </x:row>
    <x:row r="62" s="1214" customFormat="1" ht="112" customHeight="1">
      <x:c r="B62" s="2034" t="str">
        <x:f>IF(ISNUMBER($AS62),INDEX($AD$6:$AD$37,$AS62),"")</x:f>
        <x:v>1.7</x:v>
      </x:c>
      <x:c r="C62" s="2035" t="str">
        <x:f>IF(ISNUMBER($AS62),INDEX($AE$6:$AE$37,$AS62),"")</x:f>
        <x:v>Réserver l’intelligence artificielle aux besoins qui la justifient et privilégier des solutions sobres en ressources.</x:v>
      </x:c>
      <x:c r="D62" s="2035"/>
      <x:c r="E62" s="2035"/>
      <x:c r="F62" s="2035"/>
      <x:c r="G62" s="2036" t="str">
        <x:f>IF(ISNUMBER($AS62),IF(INDEX($AB$6:$AB$37,$AS62)=6,"Urgente","Prioritaire"),"")</x:f>
        <x:v>Urgente</x:v>
      </x:c>
      <x:c r="H62" s="2036" t="n">
        <x:f>IF(ISNUMBER($AS62),INDEX($AG$6:$AG$37,$AS62),"")</x:f>
        <x:v>1</x:v>
      </x:c>
      <x:c r="I62" s="2036" t="str">
        <x:f>IF(ISNUMBER($AS62),IF(INDEX($AH$6:$AH$37,$AS62)=0,"À préciser",CHOOSE(INDEX($AH$6:$AH$37,$AS62),"NR / RSE","Avec DSI","Hors DSI","Externe")),"")</x:f>
        <x:v>Avec DSI</x:v>
      </x:c>
      <x:c r="J62" s="2035" t="str">
        <x:f>IF(ISNUMBER($AS62),IF(INDEX($AJ$6:$AJ$37,$AS62)=0,"À proposer",LEFT(INDEX($AI$6:$AI$37,$AS62),180)&amp;IF(LEN(INDEX($AI$6:$AI$37,$AS62))&gt;180,"…","")),"")</x:f>
        <x:v>1. Vérifier le besoin avant chaque projet : faut-il de l’IA ou un outil informatique classique suffit-il ?
2. Choisir de petits modèles spécialisés quand ils répondent au besoin.
3…</x:v>
      </x:c>
      <x:c r="K62" s="2035"/>
      <x:c r="L62" s="2035"/>
      <x:c r="M62" s="2037"/>
      <x:c r="AS62" t="n">
        <x:f>IF(2&gt;$H$16+$I$16,"",MATCH(LARGE($AC$6:$AC$37,2),$AC$6:$AC$37,0))</x:f>
        <x:v>7</x:v>
      </x:c>
    </x:row>
    <x:row r="63" s="1214" customFormat="1" ht="112" customHeight="1">
      <x:c r="B63" s="2038" t="str">
        <x:f>IF(ISNUMBER($AS63),INDEX($AD$6:$AD$37,$AS63),"")</x:f>
        <x:v>1.8</x:v>
      </x:c>
      <x:c r="C63" s="2039" t="str">
        <x:f>IF(ISNUMBER($AS63),INDEX($AE$6:$AE$37,$AS63),"")</x:f>
        <x:v>Mesurer et réduire ce que consomme l’intelligence artificielle, pendant son entraînement comme pendant son utilisation.</x:v>
      </x:c>
      <x:c r="D63" s="2039"/>
      <x:c r="E63" s="2039"/>
      <x:c r="F63" s="2039"/>
      <x:c r="G63" s="2040" t="str">
        <x:f>IF(ISNUMBER($AS63),IF(INDEX($AB$6:$AB$37,$AS63)=6,"Urgente","Prioritaire"),"")</x:f>
        <x:v>Urgente</x:v>
      </x:c>
      <x:c r="H63" s="2040" t="n">
        <x:f>IF(ISNUMBER($AS63),INDEX($AG$6:$AG$37,$AS63),"")</x:f>
        <x:v>1</x:v>
      </x:c>
      <x:c r="I63" s="2040" t="str">
        <x:f>IF(ISNUMBER($AS63),IF(INDEX($AH$6:$AH$37,$AS63)=0,"À préciser",CHOOSE(INDEX($AH$6:$AH$37,$AS63),"NR / RSE","Avec DSI","Hors DSI","Externe")),"")</x:f>
        <x:v>Avec DSI</x:v>
      </x:c>
      <x:c r="J63" s="2039" t="str">
        <x:f>IF(ISNUMBER($AS63),IF(INDEX($AJ$6:$AJ$37,$AS63)=0,"À proposer",LEFT(INDEX($AI$6:$AI$37,$AS63),180)&amp;IF(LEN(INDEX($AI$6:$AI$37,$AS63))&gt;180,"…","")),"")</x:f>
        <x:v>1. Vérifier le besoin avant chaque projet : faut-il de l’IA ou un outil informatique classique suffit-il ?
2. Choisir de petits modèles spécialisés quand ils répondent au besoin.
3…</x:v>
      </x:c>
      <x:c r="K63" s="2039"/>
      <x:c r="L63" s="2039"/>
      <x:c r="M63" s="2041"/>
      <x:c r="AS63" t="n">
        <x:f>IF(3&gt;$H$16+$I$16,"",MATCH(LARGE($AC$6:$AC$37,3),$AC$6:$AC$37,0))</x:f>
        <x:v>8</x:v>
      </x:c>
    </x:row>
    <x:row r="64" s="1214" customFormat="1" ht="112" customHeight="1">
      <x:c r="B64" s="2034" t="str">
        <x:f>IF(ISNUMBER($AS64),INDEX($AD$6:$AD$37,$AS64),"")</x:f>
        <x:v>1.3</x:v>
      </x:c>
      <x:c r="C64" s="2035" t="str">
        <x:f>IF(ISNUMBER($AS64),INDEX($AE$6:$AE$37,$AS64),"")</x:f>
        <x:v>Concevoir des services numériques qui limitent leurs effets sur l’environnement. Choisir des technologies qui contribuent aux Objectifs de développement durable (ODD).</x:v>
      </x:c>
      <x:c r="D64" s="2035"/>
      <x:c r="E64" s="2035"/>
      <x:c r="F64" s="2035"/>
      <x:c r="G64" s="2036" t="str">
        <x:f>IF(ISNUMBER($AS64),IF(INDEX($AB$6:$AB$37,$AS64)=6,"Urgente","Prioritaire"),"")</x:f>
        <x:v>Prioritaire</x:v>
      </x:c>
      <x:c r="H64" s="2036" t="n">
        <x:f>IF(ISNUMBER($AS64),INDEX($AG$6:$AG$37,$AS64),"")</x:f>
        <x:v>2</x:v>
      </x:c>
      <x:c r="I64" s="2036" t="str">
        <x:f>IF(ISNUMBER($AS64),IF(INDEX($AH$6:$AH$37,$AS64)=0,"À préciser",CHOOSE(INDEX($AH$6:$AH$37,$AS64),"NR / RSE","Avec DSI","Hors DSI","Externe")),"")</x:f>
        <x:v>Avec DSI</x:v>
      </x:c>
      <x:c r="J64" s="2035" t="str">
        <x:f>IF(ISNUMBER($AS64),IF(INDEX($AJ$6:$AJ$37,$AS64)=0,"À proposer",LEFT(INDEX($AI$6:$AI$37,$AS64),180)&amp;IF(LEN(INDEX($AI$6:$AI$37,$AS64))&gt;180,"…","")),"")</x:f>
        <x:v>1. Former les équipes de conception, de développement et de gestion de projet à créer des services numériques qui limitent leurs effets sur l’environnement.
2. Ajouter des exigence…</x:v>
      </x:c>
      <x:c r="K64" s="2035"/>
      <x:c r="L64" s="2035"/>
      <x:c r="M64" s="2037"/>
      <x:c r="AS64" t="n">
        <x:f>IF(4&gt;$H$16+$I$16,"",MATCH(LARGE($AC$6:$AC$37,4),$AC$6:$AC$37,0))</x:f>
        <x:v>3</x:v>
      </x:c>
    </x:row>
    <x:row r="65" s="1214" customFormat="1" ht="112" customHeight="1">
      <x:c r="B65" s="2038" t="str">
        <x:f>IF(ISNUMBER($AS65),INDEX($AD$6:$AD$37,$AS65),"")</x:f>
      </x:c>
      <x:c r="C65" s="2039" t="str">
        <x:f>IF(ISNUMBER($AS65),INDEX($AE$6:$AE$37,$AS65),"")</x:f>
      </x:c>
      <x:c r="D65" s="2039"/>
      <x:c r="E65" s="2039"/>
      <x:c r="F65" s="2039"/>
      <x:c r="G65" s="2040" t="str">
        <x:f>IF(ISNUMBER($AS65),IF(INDEX($AB$6:$AB$37,$AS65)=6,"Urgente","Prioritaire"),"")</x:f>
      </x:c>
      <x:c r="H65" s="2040" t="str">
        <x:f>IF(ISNUMBER($AS65),INDEX($AG$6:$AG$37,$AS65),"")</x:f>
      </x:c>
      <x:c r="I65" s="2040" t="str">
        <x:f>IF(ISNUMBER($AS65),IF(INDEX($AH$6:$AH$37,$AS65)=0,"À préciser",CHOOSE(INDEX($AH$6:$AH$37,$AS65),"NR / RSE","Avec DSI","Hors DSI","Externe")),"")</x:f>
      </x:c>
      <x:c r="J65" s="2039" t="str">
        <x:f>IF(ISNUMBER($AS65),IF(INDEX($AJ$6:$AJ$37,$AS65)=0,"À proposer",LEFT(INDEX($AI$6:$AI$37,$AS65),180)&amp;IF(LEN(INDEX($AI$6:$AI$37,$AS65))&gt;180,"…","")),"")</x:f>
      </x:c>
      <x:c r="K65" s="2039"/>
      <x:c r="L65" s="2039"/>
      <x:c r="M65" s="2041"/>
      <x:c r="AS65" t="str">
        <x:f>IF(5&gt;$H$16+$I$16,"",MATCH(LARGE($AC$6:$AC$37,5),$AC$6:$AC$37,0))</x:f>
      </x:c>
    </x:row>
    <x:row r="66" s="1214" customFormat="1" ht="112" customHeight="1">
      <x:c r="B66" s="2034" t="str">
        <x:f>IF(ISNUMBER($AS66),INDEX($AD$6:$AD$37,$AS66),"")</x:f>
      </x:c>
      <x:c r="C66" s="2035" t="str">
        <x:f>IF(ISNUMBER($AS66),INDEX($AE$6:$AE$37,$AS66),"")</x:f>
      </x:c>
      <x:c r="D66" s="2035"/>
      <x:c r="E66" s="2035"/>
      <x:c r="F66" s="2035"/>
      <x:c r="G66" s="2036" t="str">
        <x:f>IF(ISNUMBER($AS66),IF(INDEX($AB$6:$AB$37,$AS66)=6,"Urgente","Prioritaire"),"")</x:f>
      </x:c>
      <x:c r="H66" s="2036" t="str">
        <x:f>IF(ISNUMBER($AS66),INDEX($AG$6:$AG$37,$AS66),"")</x:f>
      </x:c>
      <x:c r="I66" s="2036" t="str">
        <x:f>IF(ISNUMBER($AS66),IF(INDEX($AH$6:$AH$37,$AS66)=0,"À préciser",CHOOSE(INDEX($AH$6:$AH$37,$AS66),"NR / RSE","Avec DSI","Hors DSI","Externe")),"")</x:f>
      </x:c>
      <x:c r="J66" s="2035" t="str">
        <x:f>IF(ISNUMBER($AS66),IF(INDEX($AJ$6:$AJ$37,$AS66)=0,"À proposer",LEFT(INDEX($AI$6:$AI$37,$AS66),180)&amp;IF(LEN(INDEX($AI$6:$AI$37,$AS66))&gt;180,"…","")),"")</x:f>
      </x:c>
      <x:c r="K66" s="2035"/>
      <x:c r="L66" s="2035"/>
      <x:c r="M66" s="2037"/>
      <x:c r="AS66" t="str">
        <x:f>IF(6&gt;$H$16+$I$16,"",MATCH(LARGE($AC$6:$AC$37,6),$AC$6:$AC$37,0))</x:f>
      </x:c>
    </x:row>
    <x:row r="67" s="1214" customFormat="1" ht="112" customHeight="1">
      <x:c r="B67" s="2038" t="str">
        <x:f>IF(ISNUMBER($AS67),INDEX($AD$6:$AD$37,$AS67),"")</x:f>
      </x:c>
      <x:c r="C67" s="2039" t="str">
        <x:f>IF(ISNUMBER($AS67),INDEX($AE$6:$AE$37,$AS67),"")</x:f>
      </x:c>
      <x:c r="D67" s="2039"/>
      <x:c r="E67" s="2039"/>
      <x:c r="F67" s="2039"/>
      <x:c r="G67" s="2040" t="str">
        <x:f>IF(ISNUMBER($AS67),IF(INDEX($AB$6:$AB$37,$AS67)=6,"Urgente","Prioritaire"),"")</x:f>
      </x:c>
      <x:c r="H67" s="2040" t="str">
        <x:f>IF(ISNUMBER($AS67),INDEX($AG$6:$AG$37,$AS67),"")</x:f>
      </x:c>
      <x:c r="I67" s="2040" t="str">
        <x:f>IF(ISNUMBER($AS67),IF(INDEX($AH$6:$AH$37,$AS67)=0,"À préciser",CHOOSE(INDEX($AH$6:$AH$37,$AS67),"NR / RSE","Avec DSI","Hors DSI","Externe")),"")</x:f>
      </x:c>
      <x:c r="J67" s="2039" t="str">
        <x:f>IF(ISNUMBER($AS67),IF(INDEX($AJ$6:$AJ$37,$AS67)=0,"À proposer",LEFT(INDEX($AI$6:$AI$37,$AS67),180)&amp;IF(LEN(INDEX($AI$6:$AI$37,$AS67))&gt;180,"…","")),"")</x:f>
      </x:c>
      <x:c r="K67" s="2039"/>
      <x:c r="L67" s="2039"/>
      <x:c r="M67" s="2041"/>
      <x:c r="AS67" t="str">
        <x:f>IF(7&gt;$H$16+$I$16,"",MATCH(LARGE($AC$6:$AC$37,7),$AC$6:$AC$37,0))</x:f>
      </x:c>
    </x:row>
    <x:row r="68" s="1214" customFormat="1" ht="112" customHeight="1">
      <x:c r="B68" s="2034" t="str">
        <x:f>IF(ISNUMBER($AS68),INDEX($AD$6:$AD$37,$AS68),"")</x:f>
      </x:c>
      <x:c r="C68" s="2035" t="str">
        <x:f>IF(ISNUMBER($AS68),INDEX($AE$6:$AE$37,$AS68),"")</x:f>
      </x:c>
      <x:c r="D68" s="2035"/>
      <x:c r="E68" s="2035"/>
      <x:c r="F68" s="2035"/>
      <x:c r="G68" s="2036" t="str">
        <x:f>IF(ISNUMBER($AS68),IF(INDEX($AB$6:$AB$37,$AS68)=6,"Urgente","Prioritaire"),"")</x:f>
      </x:c>
      <x:c r="H68" s="2036" t="str">
        <x:f>IF(ISNUMBER($AS68),INDEX($AG$6:$AG$37,$AS68),"")</x:f>
      </x:c>
      <x:c r="I68" s="2036" t="str">
        <x:f>IF(ISNUMBER($AS68),IF(INDEX($AH$6:$AH$37,$AS68)=0,"À préciser",CHOOSE(INDEX($AH$6:$AH$37,$AS68),"NR / RSE","Avec DSI","Hors DSI","Externe")),"")</x:f>
      </x:c>
      <x:c r="J68" s="2035" t="str">
        <x:f>IF(ISNUMBER($AS68),IF(INDEX($AJ$6:$AJ$37,$AS68)=0,"À proposer",LEFT(INDEX($AI$6:$AI$37,$AS68),180)&amp;IF(LEN(INDEX($AI$6:$AI$37,$AS68))&gt;180,"…","")),"")</x:f>
      </x:c>
      <x:c r="K68" s="2035"/>
      <x:c r="L68" s="2035"/>
      <x:c r="M68" s="2037"/>
      <x:c r="AS68" t="str">
        <x:f>IF(8&gt;$H$16+$I$16,"",MATCH(LARGE($AC$6:$AC$37,8),$AC$6:$AC$37,0))</x:f>
      </x:c>
    </x:row>
    <x:row r="69" s="1214" customFormat="1" ht="112" customHeight="1">
      <x:c r="B69" s="2038" t="str">
        <x:f>IF(ISNUMBER($AS69),INDEX($AD$6:$AD$37,$AS69),"")</x:f>
      </x:c>
      <x:c r="C69" s="2039" t="str">
        <x:f>IF(ISNUMBER($AS69),INDEX($AE$6:$AE$37,$AS69),"")</x:f>
      </x:c>
      <x:c r="D69" s="2039"/>
      <x:c r="E69" s="2039"/>
      <x:c r="F69" s="2039"/>
      <x:c r="G69" s="2040" t="str">
        <x:f>IF(ISNUMBER($AS69),IF(INDEX($AB$6:$AB$37,$AS69)=6,"Urgente","Prioritaire"),"")</x:f>
      </x:c>
      <x:c r="H69" s="2040" t="str">
        <x:f>IF(ISNUMBER($AS69),INDEX($AG$6:$AG$37,$AS69),"")</x:f>
      </x:c>
      <x:c r="I69" s="2040" t="str">
        <x:f>IF(ISNUMBER($AS69),IF(INDEX($AH$6:$AH$37,$AS69)=0,"À préciser",CHOOSE(INDEX($AH$6:$AH$37,$AS69),"NR / RSE","Avec DSI","Hors DSI","Externe")),"")</x:f>
      </x:c>
      <x:c r="J69" s="2039" t="str">
        <x:f>IF(ISNUMBER($AS69),IF(INDEX($AJ$6:$AJ$37,$AS69)=0,"À proposer",LEFT(INDEX($AI$6:$AI$37,$AS69),180)&amp;IF(LEN(INDEX($AI$6:$AI$37,$AS69))&gt;180,"…","")),"")</x:f>
      </x:c>
      <x:c r="K69" s="2039"/>
      <x:c r="L69" s="2039"/>
      <x:c r="M69" s="2041"/>
      <x:c r="AS69" t="str">
        <x:f>IF(9&gt;$H$16+$I$16,"",MATCH(LARGE($AC$6:$AC$37,9),$AC$6:$AC$37,0))</x:f>
      </x:c>
    </x:row>
    <x:row r="70" s="1214" customFormat="1" ht="112" customHeight="1">
      <x:c r="B70" s="2034" t="str">
        <x:f>IF(ISNUMBER($AS70),INDEX($AD$6:$AD$37,$AS70),"")</x:f>
      </x:c>
      <x:c r="C70" s="2035" t="str">
        <x:f>IF(ISNUMBER($AS70),INDEX($AE$6:$AE$37,$AS70),"")</x:f>
      </x:c>
      <x:c r="D70" s="2035"/>
      <x:c r="E70" s="2035"/>
      <x:c r="F70" s="2035"/>
      <x:c r="G70" s="2036" t="str">
        <x:f>IF(ISNUMBER($AS70),IF(INDEX($AB$6:$AB$37,$AS70)=6,"Urgente","Prioritaire"),"")</x:f>
      </x:c>
      <x:c r="H70" s="2036" t="str">
        <x:f>IF(ISNUMBER($AS70),INDEX($AG$6:$AG$37,$AS70),"")</x:f>
      </x:c>
      <x:c r="I70" s="2036" t="str">
        <x:f>IF(ISNUMBER($AS70),IF(INDEX($AH$6:$AH$37,$AS70)=0,"À préciser",CHOOSE(INDEX($AH$6:$AH$37,$AS70),"NR / RSE","Avec DSI","Hors DSI","Externe")),"")</x:f>
      </x:c>
      <x:c r="J70" s="2035" t="str">
        <x:f>IF(ISNUMBER($AS70),IF(INDEX($AJ$6:$AJ$37,$AS70)=0,"À proposer",LEFT(INDEX($AI$6:$AI$37,$AS70),180)&amp;IF(LEN(INDEX($AI$6:$AI$37,$AS70))&gt;180,"…","")),"")</x:f>
      </x:c>
      <x:c r="K70" s="2035"/>
      <x:c r="L70" s="2035"/>
      <x:c r="M70" s="2037"/>
      <x:c r="AS70" t="str">
        <x:f>IF(10&gt;$H$16+$I$16,"",MATCH(LARGE($AC$6:$AC$37,10),$AC$6:$AC$37,0))</x:f>
      </x:c>
    </x:row>
    <x:row r="71" s="1214" customFormat="1" ht="24" customHeight="1">
      <x:c r="B71" s="1927"/>
      <x:c r="C71" s="1927"/>
      <x:c r="D71" s="1927"/>
      <x:c r="E71" s="1927"/>
      <x:c r="F71" s="1927"/>
      <x:c r="G71" s="1927"/>
      <x:c r="H71" s="1927"/>
      <x:c r="I71" s="1927"/>
      <x:c r="J71" s="1927"/>
      <x:c r="K71" s="1927"/>
      <x:c r="L71" s="1927"/>
      <x:c r="M71" s="1927"/>
    </x:row>
    <x:row r="72" s="1214" customFormat="1" ht="24" customHeight="1">
      <x:c r="B72" s="1953" t="str">
        <x:v>Les actions sont abrégées ici. Consulter l’onglet ONR de la cible pour lire le texte complet et préparer la mise en œuvre.</x:v>
      </x:c>
      <x:c r="C72" s="1953"/>
      <x:c r="D72" s="1953"/>
      <x:c r="E72" s="1953"/>
      <x:c r="F72" s="1953"/>
      <x:c r="G72" s="1953"/>
      <x:c r="H72" s="1953"/>
      <x:c r="I72" s="1953"/>
      <x:c r="J72" s="1953"/>
      <x:c r="K72" s="1953"/>
      <x:c r="L72" s="1953"/>
      <x:c r="M72" s="1953"/>
    </x:row>
    <x:row r="73" s="1214" customFormat="1" ht="24" customHeight="1">
      <x:c r="B73" s="1953" t="str">
        <x:v>Au-delà de dix priorités, consulter « Résultats détaillés ». Les égalités de priorité sont classées par numéro, sans différence d’importance.</x:v>
      </x:c>
      <x:c r="C73" s="1953"/>
      <x:c r="D73" s="1953"/>
      <x:c r="E73" s="1953"/>
      <x:c r="F73" s="1953"/>
      <x:c r="G73" s="1953"/>
      <x:c r="H73" s="1953"/>
      <x:c r="I73" s="1953"/>
      <x:c r="J73" s="1953"/>
      <x:c r="K73" s="1953"/>
      <x:c r="L73" s="1953"/>
      <x:c r="M73" s="1953"/>
    </x:row>
    <x:row r="74" s="1214" customFormat="1" ht="24" customHeight="1">
      <x:c r="B74" s="1927"/>
      <x:c r="C74" s="1927"/>
      <x:c r="D74" s="1927"/>
      <x:c r="E74" s="1927"/>
      <x:c r="F74" s="1927"/>
      <x:c r="G74" s="1927"/>
      <x:c r="H74" s="1927"/>
      <x:c r="I74" s="1927"/>
      <x:c r="J74" s="1927"/>
      <x:c r="K74" s="1927"/>
      <x:c r="L74" s="1927"/>
      <x:c r="M74" s="1927"/>
    </x:row>
    <x:row r="75" s="1214" customFormat="1"/>
    <x:row r="76" s="1214" customFormat="1"/>
    <x:row r="77" s="1214" customFormat="1"/>
    <x:row r="78" s="1214" customFormat="1"/>
    <x:row r="79" s="1214" customFormat="1"/>
    <x:row r="80" s="1214" customFormat="1"/>
    <x:row r="81" s="1214" customFormat="1"/>
    <x:row r="82" s="1214" customFormat="1"/>
    <x:row r="83" s="1214" customFormat="1"/>
    <x:row r="84" s="1214" customFormat="1"/>
    <x:row r="85" s="1214" customFormat="1"/>
    <x:row r="86" s="1214" customFormat="1"/>
    <x:row r="87" s="1214" customFormat="1"/>
    <x:row r="88" s="1214" customFormat="1"/>
    <x:row r="89" s="1214" customFormat="1"/>
    <x:row r="90" s="1214" customFormat="1"/>
    <x:row r="91" s="1214" customFormat="1"/>
    <x:row r="92" s="1214" customFormat="1"/>
    <x:row r="93" s="1214" customFormat="1"/>
    <x:row r="94" s="1214" customFormat="1"/>
    <x:row r="95" s="1214" customFormat="1"/>
    <x:row r="96" s="1214" customFormat="1"/>
    <x:row r="97" s="1214" customFormat="1"/>
    <x:row r="98" s="1214" customFormat="1"/>
    <x:row r="99" s="1214" customFormat="1"/>
    <x:row r="100" s="1214" customFormat="1"/>
    <x:row r="101" s="1214" customFormat="1"/>
    <x:row r="102" s="1214" customFormat="1"/>
    <x:row r="103" s="1214" customFormat="1"/>
    <x:row r="104" s="1214" customFormat="1"/>
    <x:row r="105" s="1214" customFormat="1"/>
    <x:row r="106" s="1214" customFormat="1"/>
    <x:row r="107" s="1214" customFormat="1"/>
    <x:row r="108" s="1214" customFormat="1"/>
    <x:row r="109" s="1214" customFormat="1"/>
    <x:row r="110" s="1214" customFormat="1"/>
    <x:row r="111" s="1214" customFormat="1"/>
    <x:row r="112" s="1214" customFormat="1"/>
    <x:row r="113" s="1214" customFormat="1"/>
    <x:row r="114" s="1214" customFormat="1"/>
    <x:row r="115" s="1214" customFormat="1"/>
    <x:row r="116" s="1214" customFormat="1"/>
    <x:row r="117" s="1214" customFormat="1"/>
    <x:row r="118" s="1214" customFormat="1"/>
    <x:row r="119" s="1214" customFormat="1"/>
    <x:row r="120" s="1214" customFormat="1"/>
    <x:row r="121" s="1214" customFormat="1"/>
    <x:row r="122" s="1214" customFormat="1"/>
    <x:row r="123" s="1214" customFormat="1"/>
    <x:row r="124" s="1214" customFormat="1"/>
    <x:row r="125" s="1214" customFormat="1"/>
    <x:row r="126" s="1214" customFormat="1"/>
    <x:row r="127" s="1214" customFormat="1"/>
    <x:row r="128" s="1214" customFormat="1"/>
    <x:row r="129" s="1214" customFormat="1"/>
    <x:row r="130" s="1214" customFormat="1"/>
    <x:row r="131" s="1214" customFormat="1"/>
    <x:row r="132" s="1214" customFormat="1"/>
    <x:row r="133" s="1214" customFormat="1"/>
    <x:row r="134" s="1214" customFormat="1"/>
    <x:row r="135" s="1214" customFormat="1"/>
    <x:row r="136" s="1214" customFormat="1"/>
    <x:row r="137" s="1214" customFormat="1"/>
    <x:row r="138" s="1214" customFormat="1"/>
    <x:row r="139" s="1214" customFormat="1"/>
    <x:row r="140" s="1214" customFormat="1"/>
    <x:row r="141" s="1214" customFormat="1"/>
    <x:row r="142" s="1214" customFormat="1"/>
    <x:row r="143" s="1214" customFormat="1"/>
    <x:row r="144" s="1214" customFormat="1"/>
    <x:row r="145" s="1214" customFormat="1"/>
    <x:row r="146" s="1214" customFormat="1"/>
    <x:row r="147" s="1214" customFormat="1"/>
    <x:row r="148" s="1214" customFormat="1"/>
    <x:row r="149" s="1214" customFormat="1"/>
    <x:row r="150" s="1214" customFormat="1"/>
    <x:row r="151" s="1214" customFormat="1"/>
    <x:row r="152" s="1214" customFormat="1"/>
    <x:row r="153" s="1214" customFormat="1"/>
    <x:row r="154" s="1214" customFormat="1"/>
    <x:row r="155" s="1214" customFormat="1"/>
    <x:row r="156" s="1214" customFormat="1"/>
    <x:row r="157" s="1214" customFormat="1"/>
    <x:row r="158" s="1214" customFormat="1"/>
    <x:row r="159" s="1214" customFormat="1"/>
    <x:row r="160" s="1214" customFormat="1"/>
    <x:row r="161" s="1214" customFormat="1"/>
    <x:row r="162" s="1214" customFormat="1"/>
    <x:row r="163" s="1214" customFormat="1"/>
    <x:row r="164" s="1214" customFormat="1"/>
    <x:row r="165" s="1214" customFormat="1"/>
    <x:row r="166" s="1214" customFormat="1"/>
    <x:row r="167" s="1214" customFormat="1"/>
    <x:row r="168" s="1214" customFormat="1"/>
    <x:row r="169" s="1214" customFormat="1"/>
    <x:row r="170" s="1214" customFormat="1"/>
    <x:row r="171" s="1214" customFormat="1"/>
    <x:row r="172" s="1214" customFormat="1"/>
    <x:row r="173" s="1214" customFormat="1"/>
    <x:row r="174" s="1214" customFormat="1"/>
    <x:row r="175" s="1214" customFormat="1"/>
    <x:row r="176" s="1214" customFormat="1"/>
    <x:row r="177" s="1214" customFormat="1"/>
    <x:row r="178" s="1214" customFormat="1"/>
    <x:row r="179" s="1214" customFormat="1"/>
    <x:row r="180" s="1214" customFormat="1"/>
    <x:row r="181" s="1214" customFormat="1"/>
    <x:row r="182" s="1214" customFormat="1"/>
    <x:row r="183" s="1214" customFormat="1"/>
    <x:row r="184" s="1214" customFormat="1"/>
    <x:row r="185" s="1214" customFormat="1"/>
    <x:row r="186" s="1214" customFormat="1"/>
    <x:row r="187" s="1214" customFormat="1"/>
    <x:row r="188" s="1214" customFormat="1"/>
    <x:row r="189" s="1214" customFormat="1"/>
    <x:row r="190" s="1214" customFormat="1"/>
    <x:row r="191" s="1214" customFormat="1"/>
    <x:row r="192" s="1214" customFormat="1"/>
    <x:row r="193" s="1214" customFormat="1"/>
    <x:row r="194" s="1214" customFormat="1"/>
    <x:row r="195" s="1214" customFormat="1"/>
    <x:row r="196" s="1214" customFormat="1"/>
    <x:row r="197" s="1214" customFormat="1"/>
    <x:row r="198" s="1214" customFormat="1"/>
    <x:row r="199" s="1214" customFormat="1"/>
    <x:row r="200" s="1214" customFormat="1"/>
    <x:row r="201" s="1214" customFormat="1"/>
    <x:row r="202" s="1214" customFormat="1"/>
    <x:row r="203" s="1214" customFormat="1"/>
    <x:row r="204" s="1214" customFormat="1"/>
    <x:row r="205" s="1214" customFormat="1"/>
    <x:row r="206" s="1214" customFormat="1"/>
    <x:row r="207" s="1214" customFormat="1"/>
    <x:row r="208" s="1214" customFormat="1"/>
    <x:row r="209" s="1214" customFormat="1"/>
    <x:row r="210" s="1214" customFormat="1"/>
    <x:row r="211" s="1214" customFormat="1"/>
    <x:row r="212" s="1214" customFormat="1"/>
    <x:row r="213" s="1214" customFormat="1"/>
    <x:row r="214" s="1214" customFormat="1"/>
    <x:row r="215" s="1214" customFormat="1"/>
    <x:row r="216" s="1214" customFormat="1"/>
    <x:row r="217" s="1214" customFormat="1"/>
    <x:row r="218" s="1214" customFormat="1"/>
    <x:row r="219" s="1214" customFormat="1"/>
    <x:row r="220" s="1214" customFormat="1"/>
    <x:row r="221" s="1214" customFormat="1"/>
    <x:row r="222" s="1214" customFormat="1"/>
    <x:row r="223" s="1214" customFormat="1"/>
    <x:row r="224" s="1214" customFormat="1"/>
    <x:row r="225" s="1214" customFormat="1"/>
    <x:row r="226" s="1214" customFormat="1"/>
    <x:row r="227" s="1214" customFormat="1"/>
    <x:row r="228" s="1214" customFormat="1"/>
    <x:row r="229" s="1214" customFormat="1"/>
    <x:row r="230" s="1214" customFormat="1"/>
    <x:row r="231" s="1214" customFormat="1"/>
    <x:row r="232" s="1214" customFormat="1"/>
    <x:row r="233" s="1214" customFormat="1"/>
    <x:row r="234" s="1214" customFormat="1"/>
    <x:row r="235" s="1214" customFormat="1"/>
    <x:row r="236" s="1214" customFormat="1"/>
    <x:row r="237" s="1214" customFormat="1"/>
    <x:row r="238" s="1214" customFormat="1"/>
    <x:row r="239" s="1214" customFormat="1"/>
    <x:row r="240" s="1214" customFormat="1"/>
    <x:row r="241" s="1214" customFormat="1"/>
    <x:row r="242" s="1214" customFormat="1"/>
    <x:row r="243" s="1214" customFormat="1"/>
    <x:row r="244" s="1214" customFormat="1"/>
    <x:row r="245" s="1214" customFormat="1"/>
    <x:row r="246" s="1214" customFormat="1"/>
    <x:row r="247" s="1214" customFormat="1"/>
    <x:row r="248" s="1214" customFormat="1"/>
    <x:row r="249" s="1214" customFormat="1"/>
    <x:row r="250" s="1214" customFormat="1"/>
    <x:row r="251" s="1214" customFormat="1"/>
    <x:row r="252" s="1214" customFormat="1"/>
    <x:row r="253" s="1214" customFormat="1"/>
    <x:row r="254" s="1214" customFormat="1"/>
    <x:row r="255" s="1214" customFormat="1"/>
    <x:row r="256" s="1214" customFormat="1"/>
    <x:row r="257" s="1214" customFormat="1"/>
    <x:row r="258" s="1214" customFormat="1"/>
    <x:row r="259" s="1214" customFormat="1"/>
    <x:row r="260" s="1214" customFormat="1"/>
    <x:row r="261" s="1214" customFormat="1"/>
    <x:row r="262" s="1214" customFormat="1"/>
    <x:row r="263" s="1214" customFormat="1"/>
    <x:row r="264" s="1214" customFormat="1"/>
    <x:row r="265" s="1214" customFormat="1"/>
    <x:row r="266" s="1214" customFormat="1"/>
    <x:row r="267" s="1214" customFormat="1"/>
    <x:row r="268" s="1214" customFormat="1"/>
    <x:row r="269" s="1214" customFormat="1"/>
    <x:row r="270" s="1214" customFormat="1"/>
    <x:row r="271" s="1214" customFormat="1"/>
    <x:row r="272" s="1214" customFormat="1"/>
    <x:row r="273" s="1214" customFormat="1"/>
    <x:row r="274" s="1214" customFormat="1"/>
    <x:row r="275" s="1214" customFormat="1"/>
    <x:row r="276" s="1214" customFormat="1"/>
    <x:row r="277" s="1214" customFormat="1"/>
    <x:row r="278" s="1214" customFormat="1"/>
    <x:row r="279" s="1214" customFormat="1"/>
    <x:row r="280" s="1214" customFormat="1"/>
    <x:row r="281" s="1214" customFormat="1"/>
    <x:row r="282" s="1214" customFormat="1"/>
    <x:row r="283" s="1214" customFormat="1"/>
    <x:row r="284" s="1214" customFormat="1"/>
    <x:row r="285" s="1214" customFormat="1"/>
    <x:row r="286" s="1214" customFormat="1"/>
    <x:row r="287" s="1214" customFormat="1"/>
    <x:row r="288" s="1214" customFormat="1"/>
    <x:row r="289" s="1214" customFormat="1"/>
    <x:row r="290" s="1214" customFormat="1"/>
    <x:row r="291" s="1214" customFormat="1"/>
    <x:row r="292" s="1214" customFormat="1"/>
    <x:row r="293" s="1214" customFormat="1"/>
    <x:row r="294" s="1214" customFormat="1"/>
    <x:row r="295" s="1214" customFormat="1"/>
    <x:row r="296" s="1214" customFormat="1"/>
    <x:row r="297" s="1214" customFormat="1"/>
    <x:row r="298" s="1214" customFormat="1"/>
    <x:row r="299" s="1214" customFormat="1"/>
    <x:row r="300" s="1214" customFormat="1"/>
    <x:row r="301" s="1214" customFormat="1"/>
    <x:row r="302" s="1214" customFormat="1"/>
    <x:row r="303" s="1214" customFormat="1"/>
    <x:row r="304" s="1214" customFormat="1"/>
    <x:row r="305" s="1214" customFormat="1"/>
    <x:row r="306" s="1214" customFormat="1"/>
    <x:row r="307" s="1214" customFormat="1"/>
    <x:row r="308" s="1214" customFormat="1"/>
    <x:row r="309" s="1214" customFormat="1"/>
    <x:row r="310" s="1214" customFormat="1"/>
    <x:row r="311" s="1214" customFormat="1"/>
    <x:row r="312" s="1214" customFormat="1"/>
    <x:row r="313" s="1214" customFormat="1"/>
    <x:row r="314" s="1214" customFormat="1"/>
    <x:row r="315" s="1214" customFormat="1"/>
    <x:row r="316" s="1214" customFormat="1"/>
    <x:row r="317" s="1214" customFormat="1"/>
    <x:row r="318" s="1214" customFormat="1"/>
    <x:row r="319" s="1214" customFormat="1"/>
    <x:row r="320" s="1214" customFormat="1"/>
    <x:row r="321" s="1214" customFormat="1"/>
    <x:row r="322" s="1214" customFormat="1"/>
    <x:row r="323" s="1214" customFormat="1"/>
    <x:row r="324" s="1214" customFormat="1"/>
    <x:row r="325" s="1214" customFormat="1"/>
    <x:row r="326" s="1214" customFormat="1"/>
    <x:row r="327" s="1214" customFormat="1"/>
    <x:row r="328" s="1214" customFormat="1"/>
    <x:row r="329" s="1214" customFormat="1"/>
    <x:row r="330" s="1214" customFormat="1"/>
    <x:row r="331" s="1214" customFormat="1"/>
    <x:row r="332" s="1214" customFormat="1"/>
    <x:row r="333" s="1214" customFormat="1"/>
    <x:row r="334" s="1214" customFormat="1"/>
    <x:row r="335" s="1214" customFormat="1"/>
    <x:row r="336" s="1214" customFormat="1"/>
    <x:row r="337" s="1214" customFormat="1"/>
    <x:row r="338" s="1214" customFormat="1"/>
    <x:row r="339" s="1214" customFormat="1"/>
    <x:row r="340" s="1214" customFormat="1"/>
    <x:row r="341" s="1214" customFormat="1"/>
    <x:row r="342" s="1214" customFormat="1"/>
    <x:row r="343" s="1214" customFormat="1"/>
    <x:row r="344" s="1214" customFormat="1"/>
    <x:row r="345" s="1214" customFormat="1"/>
    <x:row r="346" s="1214" customFormat="1"/>
    <x:row r="347" s="1214" customFormat="1"/>
    <x:row r="348" s="1214" customFormat="1"/>
    <x:row r="349" s="1214" customFormat="1"/>
    <x:row r="350" s="1214" customFormat="1"/>
    <x:row r="351" s="1214" customFormat="1"/>
    <x:row r="352" s="1214" customFormat="1"/>
    <x:row r="353" s="1214" customFormat="1"/>
    <x:row r="354" s="1214" customFormat="1"/>
    <x:row r="355" s="1214" customFormat="1"/>
    <x:row r="356" s="1214" customFormat="1"/>
    <x:row r="357" s="1214" customFormat="1"/>
    <x:row r="358" s="1214" customFormat="1"/>
    <x:row r="359" s="1214" customFormat="1"/>
    <x:row r="360" s="1214" customFormat="1"/>
    <x:row r="361" s="1214" customFormat="1"/>
    <x:row r="362" s="1214" customFormat="1"/>
    <x:row r="363" s="1214" customFormat="1"/>
    <x:row r="364" s="1214" customFormat="1"/>
    <x:row r="365" s="1214" customFormat="1"/>
    <x:row r="366" s="1214" customFormat="1"/>
    <x:row r="367" s="1214" customFormat="1"/>
    <x:row r="368" s="1214" customFormat="1"/>
    <x:row r="369" s="1214" customFormat="1"/>
    <x:row r="370" s="1214" customFormat="1"/>
    <x:row r="371" s="1214" customFormat="1"/>
    <x:row r="372" s="1214" customFormat="1"/>
    <x:row r="373" s="1214" customFormat="1"/>
    <x:row r="374" s="1214" customFormat="1"/>
    <x:row r="375" s="1214" customFormat="1"/>
    <x:row r="376" s="1214" customFormat="1"/>
    <x:row r="377" s="1214" customFormat="1"/>
    <x:row r="378" s="1214" customFormat="1"/>
    <x:row r="379" s="1214" customFormat="1"/>
    <x:row r="380" s="1214" customFormat="1"/>
    <x:row r="381" s="1214" customFormat="1"/>
    <x:row r="382" s="1214" customFormat="1"/>
    <x:row r="383" s="1214" customFormat="1"/>
    <x:row r="384" s="1214" customFormat="1"/>
    <x:row r="385" s="1214" customFormat="1"/>
    <x:row r="386" s="1214" customFormat="1"/>
    <x:row r="387" s="1214" customFormat="1"/>
    <x:row r="388" s="1214" customFormat="1"/>
    <x:row r="389" s="1214" customFormat="1"/>
    <x:row r="390" s="1214" customFormat="1"/>
    <x:row r="391" s="1214" customFormat="1"/>
    <x:row r="392" s="1214" customFormat="1"/>
    <x:row r="393" s="1214" customFormat="1"/>
    <x:row r="394" s="1214" customFormat="1"/>
    <x:row r="395" s="1214" customFormat="1"/>
    <x:row r="396" s="1214" customFormat="1"/>
    <x:row r="397" s="1214" customFormat="1"/>
    <x:row r="398" s="1214" customFormat="1"/>
    <x:row r="399" s="1214" customFormat="1"/>
    <x:row r="400" s="1214" customFormat="1"/>
    <x:row r="401" s="1214" customFormat="1"/>
    <x:row r="402" s="1214" customFormat="1"/>
    <x:row r="403" s="1214" customFormat="1"/>
    <x:row r="404" s="1214" customFormat="1"/>
    <x:row r="405" s="1214" customFormat="1"/>
    <x:row r="406" s="1214" customFormat="1"/>
    <x:row r="407" s="1214" customFormat="1"/>
    <x:row r="408" s="1214" customFormat="1"/>
    <x:row r="409" s="1214" customFormat="1"/>
    <x:row r="410" s="1214" customFormat="1"/>
    <x:row r="411" s="1214" customFormat="1"/>
    <x:row r="412" s="1214" customFormat="1"/>
    <x:row r="413" s="1214" customFormat="1"/>
    <x:row r="414" s="1214" customFormat="1"/>
    <x:row r="415" s="1214" customFormat="1"/>
    <x:row r="416" s="1214" customFormat="1"/>
    <x:row r="417" s="1214" customFormat="1"/>
    <x:row r="418" s="1214" customFormat="1"/>
    <x:row r="419" s="1214" customFormat="1"/>
    <x:row r="420" s="1214" customFormat="1"/>
    <x:row r="421" s="1214" customFormat="1"/>
    <x:row r="422" s="1214" customFormat="1"/>
    <x:row r="423" s="1214" customFormat="1"/>
    <x:row r="424" s="1214" customFormat="1"/>
    <x:row r="425" s="1214" customFormat="1"/>
    <x:row r="426" s="1214" customFormat="1"/>
    <x:row r="427" s="1214" customFormat="1"/>
    <x:row r="428" s="1214" customFormat="1"/>
    <x:row r="429" s="1214" customFormat="1"/>
    <x:row r="430" s="1214" customFormat="1"/>
    <x:row r="431" s="1214" customFormat="1"/>
    <x:row r="432" s="1214" customFormat="1"/>
    <x:row r="433" s="1214" customFormat="1"/>
    <x:row r="434" s="1214" customFormat="1"/>
    <x:row r="435" s="1214" customFormat="1"/>
    <x:row r="436" s="1214" customFormat="1"/>
    <x:row r="437" s="1214" customFormat="1"/>
    <x:row r="438" s="1214" customFormat="1"/>
    <x:row r="439" s="1214" customFormat="1"/>
    <x:row r="440" s="1214" customFormat="1"/>
    <x:row r="441" s="1214" customFormat="1"/>
    <x:row r="442" s="1214" customFormat="1"/>
    <x:row r="443" s="1214" customFormat="1"/>
    <x:row r="444" s="1214" customFormat="1"/>
    <x:row r="445" s="1214" customFormat="1"/>
    <x:row r="446" s="1214" customFormat="1"/>
    <x:row r="447" s="1214" customFormat="1"/>
    <x:row r="448" s="1214" customFormat="1"/>
    <x:row r="449" s="1214" customFormat="1"/>
    <x:row r="450" s="1214" customFormat="1"/>
    <x:row r="451" s="1214" customFormat="1"/>
    <x:row r="452" s="1214" customFormat="1"/>
    <x:row r="453" s="1214" customFormat="1"/>
    <x:row r="454" s="1214" customFormat="1"/>
    <x:row r="455" s="1214" customFormat="1"/>
    <x:row r="456" s="1214" customFormat="1"/>
    <x:row r="457" s="1214" customFormat="1"/>
    <x:row r="458" s="1214" customFormat="1"/>
    <x:row r="459" s="1214" customFormat="1"/>
    <x:row r="460" s="1214" customFormat="1"/>
    <x:row r="461" s="1214" customFormat="1"/>
    <x:row r="462" s="1214" customFormat="1"/>
    <x:row r="463" s="1214" customFormat="1"/>
    <x:row r="464" s="1214" customFormat="1"/>
    <x:row r="465" s="1214" customFormat="1"/>
    <x:row r="466" s="1214" customFormat="1"/>
    <x:row r="467" s="1214" customFormat="1"/>
    <x:row r="468" s="1214" customFormat="1"/>
    <x:row r="469" s="1214" customFormat="1"/>
    <x:row r="470" s="1214" customFormat="1"/>
    <x:row r="471" s="1214" customFormat="1"/>
    <x:row r="472" s="1214" customFormat="1"/>
    <x:row r="473" s="1214" customFormat="1"/>
    <x:row r="474" s="1214" customFormat="1"/>
    <x:row r="475" s="1214" customFormat="1"/>
    <x:row r="476" s="1214" customFormat="1"/>
    <x:row r="477" s="1214" customFormat="1"/>
    <x:row r="478" s="1214" customFormat="1"/>
    <x:row r="479" s="1214" customFormat="1"/>
    <x:row r="480" s="1214" customFormat="1"/>
    <x:row r="481" s="1214" customFormat="1"/>
    <x:row r="482" s="1214" customFormat="1"/>
    <x:row r="483" s="1214" customFormat="1"/>
    <x:row r="484" s="1214" customFormat="1"/>
    <x:row r="485" s="1214" customFormat="1"/>
    <x:row r="486" s="1214" customFormat="1"/>
    <x:row r="487" s="1214" customFormat="1"/>
    <x:row r="488" s="1214" customFormat="1"/>
    <x:row r="489" s="1214" customFormat="1"/>
    <x:row r="490" s="1214" customFormat="1"/>
    <x:row r="491" s="1214" customFormat="1"/>
    <x:row r="492" s="1214" customFormat="1"/>
    <x:row r="493" s="1214" customFormat="1"/>
    <x:row r="494" s="1214" customFormat="1"/>
    <x:row r="495" s="1214" customFormat="1"/>
    <x:row r="496" s="1214" customFormat="1"/>
    <x:row r="497" s="1214" customFormat="1"/>
    <x:row r="498" s="1214" customFormat="1"/>
    <x:row r="499" s="1214" customFormat="1"/>
    <x:row r="500" s="1214" customFormat="1"/>
    <x:row r="501" s="1214" customFormat="1"/>
    <x:row r="502" s="1214" customFormat="1"/>
    <x:row r="503" s="1214" customFormat="1"/>
    <x:row r="504" s="1214" customFormat="1"/>
    <x:row r="505" s="1214" customFormat="1"/>
    <x:row r="506" s="1214" customFormat="1"/>
    <x:row r="507" s="1214" customFormat="1"/>
    <x:row r="508" s="1214" customFormat="1"/>
    <x:row r="509" s="1214" customFormat="1"/>
    <x:row r="510" s="1214" customFormat="1"/>
    <x:row r="511" s="1214" customFormat="1"/>
    <x:row r="512" s="1214" customFormat="1"/>
    <x:row r="513" s="1214" customFormat="1"/>
    <x:row r="514" s="1214" customFormat="1"/>
    <x:row r="515" s="1214" customFormat="1"/>
    <x:row r="516" s="1214" customFormat="1"/>
    <x:row r="517" s="1214" customFormat="1"/>
    <x:row r="518" s="1214" customFormat="1"/>
    <x:row r="519" s="1214" customFormat="1"/>
    <x:row r="520" s="1214" customFormat="1"/>
    <x:row r="521" s="1214" customFormat="1"/>
    <x:row r="522" s="1214" customFormat="1"/>
    <x:row r="523" s="1214" customFormat="1"/>
    <x:row r="524" s="1214" customFormat="1"/>
    <x:row r="525" s="1214" customFormat="1"/>
    <x:row r="526" s="1214" customFormat="1"/>
    <x:row r="527" s="1214" customFormat="1"/>
    <x:row r="528" s="1214" customFormat="1"/>
    <x:row r="529" s="1214" customFormat="1"/>
    <x:row r="530" s="1214" customFormat="1"/>
    <x:row r="531" s="1214" customFormat="1"/>
    <x:row r="532" s="1214" customFormat="1"/>
    <x:row r="533" s="1214" customFormat="1"/>
    <x:row r="534" s="1214" customFormat="1"/>
    <x:row r="535" s="1214" customFormat="1"/>
    <x:row r="536" s="1214" customFormat="1"/>
    <x:row r="537" s="1214" customFormat="1"/>
    <x:row r="538" s="1214" customFormat="1"/>
    <x:row r="539" s="1214" customFormat="1"/>
    <x:row r="540" s="1214" customFormat="1"/>
    <x:row r="541" s="1214" customFormat="1"/>
    <x:row r="542" s="1214" customFormat="1"/>
    <x:row r="543" s="1214" customFormat="1"/>
    <x:row r="544" s="1214" customFormat="1"/>
    <x:row r="545" s="1214" customFormat="1"/>
    <x:row r="546" s="1214" customFormat="1"/>
    <x:row r="547" s="1214" customFormat="1"/>
    <x:row r="548" s="1214" customFormat="1"/>
    <x:row r="549" s="1214" customFormat="1"/>
    <x:row r="550" s="1214" customFormat="1"/>
    <x:row r="551" s="1214" customFormat="1"/>
    <x:row r="552" s="1214" customFormat="1"/>
    <x:row r="553" s="1214" customFormat="1"/>
    <x:row r="554" s="1214" customFormat="1"/>
    <x:row r="555" s="1214" customFormat="1"/>
    <x:row r="556" s="1214" customFormat="1"/>
    <x:row r="557" s="1214" customFormat="1"/>
    <x:row r="558" s="1214" customFormat="1"/>
    <x:row r="559" s="1214" customFormat="1"/>
    <x:row r="560" s="1214" customFormat="1"/>
    <x:row r="561" s="1214" customFormat="1"/>
    <x:row r="562" s="1214" customFormat="1"/>
    <x:row r="563" s="1214" customFormat="1"/>
    <x:row r="564" s="1214" customFormat="1"/>
    <x:row r="565" s="1214" customFormat="1"/>
    <x:row r="566" s="1214" customFormat="1"/>
    <x:row r="567" s="1214" customFormat="1"/>
    <x:row r="568" s="1214" customFormat="1"/>
    <x:row r="569" s="1214" customFormat="1"/>
    <x:row r="570" s="1214" customFormat="1"/>
    <x:row r="571" s="1214" customFormat="1"/>
    <x:row r="572" s="1214" customFormat="1"/>
    <x:row r="573" s="1214" customFormat="1"/>
    <x:row r="574" s="1214" customFormat="1"/>
    <x:row r="575" s="1214" customFormat="1"/>
    <x:row r="576" s="1214" customFormat="1"/>
    <x:row r="577" s="1214" customFormat="1"/>
    <x:row r="578" s="1214" customFormat="1"/>
    <x:row r="579" s="1214" customFormat="1"/>
    <x:row r="580" s="1214" customFormat="1"/>
    <x:row r="581" s="1214" customFormat="1"/>
    <x:row r="582" s="1214" customFormat="1"/>
    <x:row r="583" s="1214" customFormat="1"/>
    <x:row r="584" s="1214" customFormat="1"/>
    <x:row r="585" s="1214" customFormat="1"/>
    <x:row r="586" s="1214" customFormat="1"/>
    <x:row r="587" s="1214" customFormat="1"/>
    <x:row r="588" s="1214" customFormat="1"/>
    <x:row r="589" s="1214" customFormat="1"/>
    <x:row r="590" s="1214" customFormat="1"/>
    <x:row r="591" s="1214" customFormat="1"/>
    <x:row r="592" s="1214" customFormat="1"/>
    <x:row r="593" s="1214" customFormat="1"/>
    <x:row r="594" s="1214" customFormat="1"/>
    <x:row r="595" s="1214" customFormat="1"/>
    <x:row r="596" s="1214" customFormat="1"/>
    <x:row r="597" s="1214" customFormat="1"/>
    <x:row r="598" s="1214" customFormat="1"/>
    <x:row r="599" s="1214" customFormat="1"/>
    <x:row r="600" s="1214" customFormat="1"/>
    <x:row r="601" s="1214" customFormat="1"/>
    <x:row r="602" s="1214" customFormat="1"/>
    <x:row r="603" s="1214" customFormat="1"/>
    <x:row r="604" s="1214" customFormat="1"/>
    <x:row r="605" s="1214" customFormat="1"/>
    <x:row r="606" s="1214" customFormat="1"/>
    <x:row r="607" s="1214" customFormat="1"/>
    <x:row r="608" s="1214" customFormat="1"/>
    <x:row r="609" s="1214" customFormat="1"/>
    <x:row r="610" s="1214" customFormat="1"/>
    <x:row r="611" s="1214" customFormat="1"/>
    <x:row r="612" s="1214" customFormat="1"/>
    <x:row r="613" s="1214" customFormat="1"/>
    <x:row r="614" s="1214" customFormat="1"/>
    <x:row r="615" s="1214" customFormat="1"/>
    <x:row r="616" s="1214" customFormat="1"/>
    <x:row r="617" s="1214" customFormat="1"/>
    <x:row r="618" s="1214" customFormat="1"/>
    <x:row r="619" s="1214" customFormat="1"/>
    <x:row r="620" s="1214" customFormat="1"/>
    <x:row r="621" s="1214" customFormat="1"/>
    <x:row r="622" s="1214" customFormat="1"/>
    <x:row r="623" s="1214" customFormat="1"/>
    <x:row r="624" s="1214" customFormat="1"/>
    <x:row r="625" s="1214" customFormat="1"/>
    <x:row r="626" s="1214" customFormat="1"/>
    <x:row r="627" s="1214" customFormat="1"/>
    <x:row r="628" s="1214" customFormat="1"/>
    <x:row r="629" s="1214" customFormat="1"/>
    <x:row r="630" s="1214" customFormat="1"/>
    <x:row r="631" s="1214" customFormat="1"/>
    <x:row r="632" s="1214" customFormat="1"/>
    <x:row r="633" s="1214" customFormat="1"/>
    <x:row r="634" s="1214" customFormat="1"/>
    <x:row r="635" s="1214" customFormat="1"/>
    <x:row r="636" s="1214" customFormat="1"/>
    <x:row r="637" s="1214" customFormat="1"/>
    <x:row r="638" s="1214" customFormat="1"/>
    <x:row r="639" s="1214" customFormat="1"/>
    <x:row r="640" s="1214" customFormat="1"/>
    <x:row r="641" s="1214" customFormat="1"/>
    <x:row r="642" s="1214" customFormat="1"/>
    <x:row r="643" s="1214" customFormat="1"/>
    <x:row r="644" s="1214" customFormat="1"/>
    <x:row r="645" s="1214" customFormat="1"/>
    <x:row r="646" s="1214" customFormat="1"/>
    <x:row r="647" s="1214" customFormat="1"/>
    <x:row r="648" s="1214" customFormat="1"/>
    <x:row r="649" s="1214" customFormat="1"/>
    <x:row r="650" s="1214" customFormat="1"/>
    <x:row r="651" s="1214" customFormat="1"/>
    <x:row r="652" s="1214" customFormat="1"/>
    <x:row r="653" s="1214" customFormat="1"/>
    <x:row r="654" s="1214" customFormat="1"/>
    <x:row r="655" s="1214" customFormat="1"/>
    <x:row r="656" s="1214" customFormat="1"/>
    <x:row r="657" s="1214" customFormat="1"/>
    <x:row r="658" s="1214" customFormat="1"/>
    <x:row r="659" s="1214" customFormat="1"/>
    <x:row r="660" s="1214" customFormat="1"/>
    <x:row r="661" s="1214" customFormat="1"/>
    <x:row r="662" s="1214" customFormat="1"/>
    <x:row r="663" s="1214" customFormat="1"/>
    <x:row r="664" s="1214" customFormat="1"/>
    <x:row r="665" s="1214" customFormat="1"/>
    <x:row r="666" s="1214" customFormat="1"/>
    <x:row r="667" s="1214" customFormat="1"/>
    <x:row r="668" s="1214" customFormat="1"/>
    <x:row r="669" s="1214" customFormat="1"/>
    <x:row r="670" s="1214" customFormat="1"/>
    <x:row r="671" s="1214" customFormat="1"/>
    <x:row r="672" s="1214" customFormat="1"/>
    <x:row r="673" s="1214" customFormat="1"/>
    <x:row r="674" s="1214" customFormat="1"/>
    <x:row r="675" s="1214" customFormat="1"/>
    <x:row r="676" s="1214" customFormat="1"/>
    <x:row r="677" s="1214" customFormat="1"/>
    <x:row r="678" s="1214" customFormat="1"/>
    <x:row r="679" s="1214" customFormat="1"/>
    <x:row r="680" s="1214" customFormat="1"/>
    <x:row r="681" s="1214" customFormat="1"/>
    <x:row r="682" s="1214" customFormat="1"/>
    <x:row r="683" s="1214" customFormat="1"/>
    <x:row r="684" s="1214" customFormat="1"/>
    <x:row r="685" s="1214" customFormat="1"/>
    <x:row r="686" s="1214" customFormat="1"/>
    <x:row r="687" s="1214" customFormat="1"/>
    <x:row r="688" s="1214" customFormat="1"/>
    <x:row r="689" s="1214" customFormat="1"/>
    <x:row r="690" s="1214" customFormat="1"/>
    <x:row r="691" s="1214" customFormat="1"/>
    <x:row r="692" s="1214" customFormat="1"/>
    <x:row r="693" s="1214" customFormat="1"/>
    <x:row r="694" s="1214" customFormat="1"/>
    <x:row r="695" s="1214" customFormat="1"/>
    <x:row r="696" s="1214" customFormat="1"/>
    <x:row r="697" s="1214" customFormat="1"/>
    <x:row r="698" s="1214" customFormat="1"/>
    <x:row r="699" s="1214" customFormat="1"/>
    <x:row r="700" s="1214" customFormat="1"/>
    <x:row r="701" s="1214" customFormat="1"/>
    <x:row r="702" s="1214" customFormat="1"/>
    <x:row r="703" s="1214" customFormat="1"/>
    <x:row r="704" s="1214" customFormat="1"/>
    <x:row r="705" s="1214" customFormat="1"/>
    <x:row r="706" s="1214" customFormat="1"/>
    <x:row r="707" s="1214" customFormat="1"/>
    <x:row r="708" s="1214" customFormat="1"/>
    <x:row r="709" s="1214" customFormat="1"/>
    <x:row r="710" s="1214" customFormat="1"/>
    <x:row r="711" s="1214" customFormat="1"/>
    <x:row r="712" s="1214" customFormat="1"/>
    <x:row r="713" s="1214" customFormat="1"/>
    <x:row r="714" s="1214" customFormat="1"/>
    <x:row r="715" s="1214" customFormat="1"/>
    <x:row r="716" s="1214" customFormat="1"/>
    <x:row r="717" s="1214" customFormat="1"/>
    <x:row r="718" s="1214" customFormat="1"/>
    <x:row r="719" s="1214" customFormat="1"/>
    <x:row r="720" s="1214" customFormat="1"/>
    <x:row r="721" s="1214" customFormat="1"/>
    <x:row r="722" s="1214" customFormat="1"/>
    <x:row r="723" s="1214" customFormat="1"/>
    <x:row r="724" s="1214" customFormat="1"/>
    <x:row r="725" s="1214" customFormat="1"/>
    <x:row r="726" s="1214" customFormat="1"/>
    <x:row r="727" s="1214" customFormat="1"/>
    <x:row r="728" s="1214" customFormat="1"/>
    <x:row r="729" s="1214" customFormat="1"/>
    <x:row r="730" s="1214" customFormat="1"/>
    <x:row r="731" s="1214" customFormat="1"/>
    <x:row r="732" s="1214" customFormat="1"/>
    <x:row r="733" s="1214" customFormat="1"/>
    <x:row r="734" s="1214" customFormat="1"/>
    <x:row r="735" s="1214" customFormat="1"/>
    <x:row r="736" s="1214" customFormat="1"/>
    <x:row r="737" s="1214" customFormat="1"/>
    <x:row r="738" s="1214" customFormat="1"/>
    <x:row r="739" s="1214" customFormat="1"/>
    <x:row r="740" s="1214" customFormat="1"/>
    <x:row r="741" s="1214" customFormat="1"/>
    <x:row r="742" s="1214" customFormat="1"/>
    <x:row r="743" s="1214" customFormat="1"/>
    <x:row r="744" s="1214" customFormat="1"/>
    <x:row r="745" s="1214" customFormat="1"/>
    <x:row r="746" s="1214" customFormat="1"/>
    <x:row r="747" s="1214" customFormat="1"/>
    <x:row r="748" s="1214" customFormat="1"/>
    <x:row r="749" s="1214" customFormat="1"/>
    <x:row r="750" s="1214" customFormat="1"/>
    <x:row r="751" s="1214" customFormat="1"/>
    <x:row r="752" s="1214" customFormat="1"/>
    <x:row r="753" s="1214" customFormat="1"/>
    <x:row r="754" s="1214" customFormat="1"/>
    <x:row r="755" s="1214" customFormat="1"/>
    <x:row r="756" s="1214" customFormat="1"/>
    <x:row r="757" s="1214" customFormat="1"/>
    <x:row r="758" s="1214" customFormat="1"/>
    <x:row r="759" s="1214" customFormat="1"/>
    <x:row r="760" s="1214" customFormat="1"/>
    <x:row r="761" s="1214" customFormat="1"/>
    <x:row r="762" s="1214" customFormat="1"/>
    <x:row r="763" s="1214" customFormat="1"/>
    <x:row r="764" s="1214" customFormat="1"/>
    <x:row r="765" s="1214" customFormat="1"/>
    <x:row r="766" s="1214" customFormat="1"/>
    <x:row r="767" s="1214" customFormat="1"/>
    <x:row r="768" s="1214" customFormat="1"/>
    <x:row r="769" s="1214" customFormat="1"/>
    <x:row r="770" s="1214" customFormat="1"/>
    <x:row r="771" s="1214" customFormat="1"/>
    <x:row r="772" s="1214" customFormat="1"/>
    <x:row r="773" s="1214" customFormat="1"/>
    <x:row r="774" s="1214" customFormat="1"/>
    <x:row r="775" s="1214" customFormat="1"/>
    <x:row r="776" s="1214" customFormat="1"/>
    <x:row r="777" s="1214" customFormat="1"/>
    <x:row r="778" s="1214" customFormat="1"/>
    <x:row r="779" s="1214" customFormat="1"/>
    <x:row r="780" s="1214" customFormat="1"/>
    <x:row r="781" s="1214" customFormat="1"/>
    <x:row r="782" s="1214" customFormat="1"/>
    <x:row r="783" s="1214" customFormat="1"/>
    <x:row r="784" s="1214" customFormat="1"/>
    <x:row r="785" s="1214" customFormat="1"/>
    <x:row r="786" s="1214" customFormat="1"/>
    <x:row r="787" s="1214" customFormat="1"/>
    <x:row r="788" s="1214" customFormat="1"/>
    <x:row r="789" s="1214" customFormat="1"/>
    <x:row r="790" s="1214" customFormat="1"/>
    <x:row r="791" s="1214" customFormat="1"/>
    <x:row r="792" s="1214" customFormat="1"/>
    <x:row r="793" s="1214" customFormat="1"/>
    <x:row r="794" s="1214" customFormat="1"/>
    <x:row r="795" s="1214" customFormat="1"/>
    <x:row r="796" s="1214" customFormat="1"/>
    <x:row r="797" s="1214" customFormat="1"/>
    <x:row r="798" s="1214" customFormat="1"/>
    <x:row r="799" s="1214" customFormat="1"/>
    <x:row r="800" s="1214" customFormat="1"/>
    <x:row r="801" s="1214" customFormat="1"/>
    <x:row r="802" s="1214" customFormat="1"/>
    <x:row r="803" s="1214" customFormat="1"/>
    <x:row r="804" s="1214" customFormat="1"/>
    <x:row r="805" s="1214" customFormat="1"/>
    <x:row r="806" s="1214" customFormat="1"/>
    <x:row r="807" s="1214" customFormat="1"/>
    <x:row r="808" s="1214" customFormat="1"/>
    <x:row r="809" s="1214" customFormat="1"/>
    <x:row r="810" s="1214" customFormat="1"/>
    <x:row r="811" s="1214" customFormat="1"/>
    <x:row r="812" s="1214" customFormat="1"/>
    <x:row r="813" s="1214" customFormat="1"/>
    <x:row r="814" s="1214" customFormat="1"/>
    <x:row r="815" s="1214" customFormat="1"/>
    <x:row r="816" s="1214" customFormat="1"/>
    <x:row r="817" s="1214" customFormat="1"/>
    <x:row r="818" s="1214" customFormat="1"/>
    <x:row r="819" s="1214" customFormat="1"/>
    <x:row r="820" s="1214" customFormat="1"/>
    <x:row r="821" s="1214" customFormat="1"/>
    <x:row r="822" s="1214" customFormat="1"/>
    <x:row r="823" s="1214" customFormat="1"/>
    <x:row r="824" s="1214" customFormat="1"/>
    <x:row r="825" s="1214" customFormat="1"/>
    <x:row r="826" s="1214" customFormat="1"/>
    <x:row r="827" s="1214" customFormat="1"/>
    <x:row r="828" s="1214" customFormat="1"/>
    <x:row r="829" s="1214" customFormat="1"/>
    <x:row r="830" s="1214" customFormat="1"/>
    <x:row r="831" s="1214" customFormat="1"/>
    <x:row r="832" s="1214" customFormat="1"/>
    <x:row r="833" s="1214" customFormat="1"/>
    <x:row r="834" s="1214" customFormat="1"/>
    <x:row r="835" s="1214" customFormat="1"/>
    <x:row r="836" s="1214" customFormat="1"/>
    <x:row r="837" s="1214" customFormat="1"/>
    <x:row r="838" s="1214" customFormat="1"/>
    <x:row r="839" s="1214" customFormat="1"/>
    <x:row r="840" s="1214" customFormat="1"/>
    <x:row r="841" s="1214" customFormat="1"/>
    <x:row r="842" s="1214" customFormat="1"/>
    <x:row r="843" s="1214" customFormat="1"/>
    <x:row r="844" s="1214" customFormat="1"/>
    <x:row r="845" s="1214" customFormat="1"/>
    <x:row r="846" s="1214" customFormat="1"/>
    <x:row r="847" s="1214" customFormat="1"/>
    <x:row r="848" s="1214" customFormat="1"/>
    <x:row r="849" s="1214" customFormat="1"/>
    <x:row r="850" s="1214" customFormat="1"/>
    <x:row r="851" s="1214" customFormat="1"/>
    <x:row r="852" s="1214" customFormat="1"/>
    <x:row r="853" s="1214" customFormat="1"/>
    <x:row r="854" s="1214" customFormat="1"/>
    <x:row r="855" s="1214" customFormat="1"/>
    <x:row r="856" s="1214" customFormat="1"/>
    <x:row r="857" s="1214" customFormat="1"/>
    <x:row r="858" s="1214" customFormat="1"/>
    <x:row r="859" s="1214" customFormat="1"/>
    <x:row r="860" s="1214" customFormat="1"/>
    <x:row r="861" s="1214" customFormat="1"/>
    <x:row r="862" s="1214" customFormat="1"/>
    <x:row r="863" s="1214" customFormat="1"/>
    <x:row r="864" s="1214" customFormat="1"/>
    <x:row r="865" s="1214" customFormat="1"/>
    <x:row r="866" s="1214" customFormat="1"/>
    <x:row r="867" s="1214" customFormat="1"/>
    <x:row r="868" s="1214" customFormat="1"/>
    <x:row r="869" s="1214" customFormat="1"/>
    <x:row r="870" s="1214" customFormat="1"/>
    <x:row r="871" s="1214" customFormat="1"/>
    <x:row r="872" s="1214" customFormat="1"/>
    <x:row r="873" s="1214" customFormat="1"/>
    <x:row r="874" s="1214" customFormat="1"/>
    <x:row r="875" s="1214" customFormat="1"/>
    <x:row r="876" s="1214" customFormat="1"/>
    <x:row r="877" s="1214" customFormat="1"/>
    <x:row r="878" s="1214" customFormat="1"/>
    <x:row r="879" s="1214" customFormat="1"/>
    <x:row r="880" s="1214" customFormat="1"/>
    <x:row r="881" s="1214" customFormat="1"/>
    <x:row r="882" s="1214" customFormat="1"/>
    <x:row r="883" s="1214" customFormat="1"/>
    <x:row r="884" s="1214" customFormat="1"/>
    <x:row r="885" s="1214" customFormat="1"/>
    <x:row r="886" s="1214" customFormat="1"/>
    <x:row r="887" s="1214" customFormat="1"/>
    <x:row r="888" s="1214" customFormat="1"/>
    <x:row r="889" s="1214" customFormat="1"/>
    <x:row r="890" s="1214" customFormat="1"/>
    <x:row r="891" s="1214" customFormat="1"/>
    <x:row r="892" s="1214" customFormat="1"/>
    <x:row r="893" s="1214" customFormat="1"/>
    <x:row r="894" s="1214" customFormat="1"/>
    <x:row r="895" s="1214" customFormat="1"/>
    <x:row r="896" s="1214" customFormat="1"/>
    <x:row r="897" s="1214" customFormat="1"/>
    <x:row r="898" s="1214" customFormat="1"/>
    <x:row r="899" s="1214" customFormat="1"/>
    <x:row r="900" s="1214" customFormat="1"/>
    <x:row r="901" s="1214" customFormat="1"/>
    <x:row r="902" s="1214" customFormat="1"/>
    <x:row r="903" s="1214" customFormat="1"/>
    <x:row r="904" s="1214" customFormat="1"/>
    <x:row r="905" s="1214" customFormat="1"/>
    <x:row r="906" s="1214" customFormat="1"/>
    <x:row r="907" s="1214" customFormat="1"/>
    <x:row r="908" s="1214" customFormat="1"/>
    <x:row r="909" s="1214" customFormat="1"/>
    <x:row r="910" s="1214" customFormat="1"/>
    <x:row r="911" s="1214" customFormat="1"/>
    <x:row r="912" s="1214" customFormat="1"/>
    <x:row r="913" s="1214" customFormat="1"/>
    <x:row r="914" s="1214" customFormat="1"/>
    <x:row r="915" s="1214" customFormat="1"/>
    <x:row r="916" s="1214" customFormat="1"/>
    <x:row r="917" s="1214" customFormat="1"/>
    <x:row r="918" s="1214" customFormat="1"/>
    <x:row r="919" s="1214" customFormat="1"/>
    <x:row r="920" s="1214" customFormat="1"/>
    <x:row r="921" s="1214" customFormat="1"/>
    <x:row r="922" s="1214" customFormat="1"/>
    <x:row r="923" s="1214" customFormat="1"/>
    <x:row r="924" s="1214" customFormat="1"/>
    <x:row r="925" s="1214" customFormat="1"/>
    <x:row r="926" s="1214" customFormat="1"/>
    <x:row r="927" s="1214" customFormat="1"/>
    <x:row r="928" s="1214" customFormat="1"/>
    <x:row r="929" s="1214" customFormat="1"/>
    <x:row r="930" s="1214" customFormat="1"/>
    <x:row r="931" s="1214" customFormat="1"/>
    <x:row r="932" s="1214" customFormat="1"/>
    <x:row r="933" s="1214" customFormat="1"/>
    <x:row r="934" s="1214" customFormat="1"/>
    <x:row r="935" s="1214" customFormat="1"/>
    <x:row r="936" s="1214" customFormat="1"/>
    <x:row r="937" s="1214" customFormat="1"/>
    <x:row r="938" s="1214" customFormat="1"/>
    <x:row r="939" s="1214" customFormat="1"/>
    <x:row r="940" s="1214" customFormat="1"/>
    <x:row r="941" s="1214" customFormat="1"/>
    <x:row r="942" s="1214" customFormat="1"/>
    <x:row r="943" s="1214" customFormat="1"/>
    <x:row r="944" s="1214" customFormat="1"/>
    <x:row r="945" s="1214" customFormat="1"/>
    <x:row r="946" s="1214" customFormat="1"/>
    <x:row r="947" s="1214" customFormat="1"/>
    <x:row r="948" s="1214" customFormat="1"/>
    <x:row r="949" s="1214" customFormat="1"/>
    <x:row r="950" s="1214" customFormat="1"/>
    <x:row r="951" s="1214" customFormat="1"/>
    <x:row r="952" s="1214" customFormat="1"/>
    <x:row r="953" s="1214" customFormat="1"/>
    <x:row r="954" s="1214" customFormat="1"/>
    <x:row r="955" s="1214" customFormat="1"/>
    <x:row r="956" s="1214" customFormat="1"/>
    <x:row r="957" s="1214" customFormat="1"/>
    <x:row r="958" s="1214" customFormat="1"/>
    <x:row r="959" s="1214" customFormat="1"/>
    <x:row r="960" s="1214" customFormat="1"/>
    <x:row r="961" s="1214" customFormat="1"/>
    <x:row r="962" s="1214" customFormat="1"/>
    <x:row r="963" s="1214" customFormat="1"/>
    <x:row r="964" s="1214" customFormat="1"/>
    <x:row r="965" s="1214" customFormat="1"/>
    <x:row r="966" s="1214" customFormat="1"/>
    <x:row r="967" s="1214" customFormat="1"/>
    <x:row r="968" s="1214" customFormat="1"/>
    <x:row r="969" s="1214" customFormat="1"/>
    <x:row r="970" s="1214" customFormat="1"/>
    <x:row r="971" s="1214" customFormat="1"/>
    <x:row r="972" s="1214" customFormat="1"/>
    <x:row r="973" s="1214" customFormat="1"/>
    <x:row r="974" s="1214" customFormat="1"/>
    <x:row r="975" s="1214" customFormat="1"/>
    <x:row r="976" s="1214" customFormat="1"/>
    <x:row r="977" s="1214" customFormat="1"/>
    <x:row r="978" s="1214" customFormat="1"/>
    <x:row r="979" s="1214" customFormat="1"/>
    <x:row r="980" s="1214" customFormat="1"/>
    <x:row r="981" s="1214" customFormat="1"/>
    <x:row r="982" s="1214" customFormat="1"/>
    <x:row r="983" s="1214" customFormat="1"/>
    <x:row r="984" s="1214" customFormat="1"/>
    <x:row r="985" s="1214" customFormat="1"/>
    <x:row r="986" s="1214" customFormat="1"/>
    <x:row r="987" s="1214" customFormat="1"/>
    <x:row r="988" s="1214" customFormat="1"/>
    <x:row r="989" s="1214" customFormat="1"/>
    <x:row r="990" s="1214" customFormat="1"/>
    <x:row r="991" s="1214" customFormat="1"/>
    <x:row r="992" s="1214" customFormat="1"/>
    <x:row r="993" s="1214" customFormat="1"/>
    <x:row r="994" s="1214" customFormat="1"/>
    <x:row r="995" s="1214" customFormat="1"/>
    <x:row r="996" s="1214" customFormat="1"/>
    <x:row r="997" s="1214" customFormat="1"/>
    <x:row r="998" s="1214" customFormat="1"/>
    <x:row r="999" s="1214" customFormat="1"/>
    <x:row r="1000" s="1214" customFormat="1"/>
    <x:row r="1001" s="1214" customFormat="1"/>
    <x:row r="1002" s="1214" customFormat="1"/>
    <x:row r="1003" s="1214" customFormat="1"/>
    <x:row r="1004" s="1214" customFormat="1"/>
    <x:row r="1005" s="1214" customFormat="1"/>
    <x:row r="1006" s="1214" customFormat="1"/>
    <x:row r="1007" s="1214" customFormat="1"/>
    <x:row r="1008" s="1214" customFormat="1"/>
    <x:row r="1009" s="1214" customFormat="1"/>
    <x:row r="1010" s="1214" customFormat="1"/>
    <x:row r="1011" s="1214" customFormat="1"/>
    <x:row r="1012" s="1214" customFormat="1"/>
    <x:row r="1013" s="1214" customFormat="1"/>
    <x:row r="1014" s="1214" customFormat="1"/>
    <x:row r="1015" s="1214" customFormat="1"/>
    <x:row r="1016" s="1214" customFormat="1"/>
    <x:row r="1017" s="1214" customFormat="1"/>
    <x:row r="1018" s="1214" customFormat="1"/>
    <x:row r="1019" s="1214" customFormat="1"/>
    <x:row r="1020" s="1214" customFormat="1"/>
    <x:row r="1021" s="1214" customFormat="1"/>
    <x:row r="1022" s="1214" customFormat="1"/>
    <x:row r="1023" s="1214" customFormat="1"/>
    <x:row r="1024" s="1214" customFormat="1"/>
    <x:row r="1025" s="1214" customFormat="1"/>
    <x:row r="1026" s="1214" customFormat="1"/>
    <x:row r="1027" s="1214" customFormat="1"/>
    <x:row r="1028" s="1214" customFormat="1"/>
    <x:row r="1029" s="1214" customFormat="1"/>
    <x:row r="1030" s="1214" customFormat="1"/>
    <x:row r="1031" s="1214" customFormat="1"/>
    <x:row r="1032" s="1214" customFormat="1"/>
    <x:row r="1033" s="1214" customFormat="1"/>
    <x:row r="1034" s="1214" customFormat="1"/>
    <x:row r="1035" s="1214" customFormat="1"/>
    <x:row r="1036" s="1214" customFormat="1"/>
    <x:row r="1037" s="1214" customFormat="1"/>
    <x:row r="1038" s="1214" customFormat="1"/>
    <x:row r="1039" s="1214" customFormat="1"/>
    <x:row r="1040" s="1214" customFormat="1"/>
    <x:row r="1041" s="1214" customFormat="1"/>
    <x:row r="1042" s="1214" customFormat="1"/>
    <x:row r="1043" s="1214" customFormat="1"/>
    <x:row r="1044" s="1214" customFormat="1"/>
    <x:row r="1045" s="1214" customFormat="1"/>
    <x:row r="1046" s="1214" customFormat="1"/>
    <x:row r="1047" s="1214" customFormat="1"/>
    <x:row r="1048" s="1214" customFormat="1"/>
    <x:row r="1049" s="1214" customFormat="1"/>
    <x:row r="1050" s="1214" customFormat="1"/>
    <x:row r="1051" s="1214" customFormat="1"/>
    <x:row r="1052" s="1214" customFormat="1"/>
    <x:row r="1053" s="1214" customFormat="1"/>
    <x:row r="1054" s="1214" customFormat="1"/>
    <x:row r="1055" s="1214" customFormat="1"/>
    <x:row r="1056" s="1214" customFormat="1"/>
    <x:row r="1057" s="1214" customFormat="1"/>
    <x:row r="1058" s="1214" customFormat="1"/>
    <x:row r="1059" s="1214" customFormat="1"/>
    <x:row r="1060" s="1214" customFormat="1"/>
    <x:row r="1061" s="1214" customFormat="1"/>
    <x:row r="1062" s="1214" customFormat="1"/>
    <x:row r="1063" s="1214" customFormat="1"/>
    <x:row r="1064" s="1214" customFormat="1"/>
    <x:row r="1065" s="1214" customFormat="1"/>
    <x:row r="1066" s="1214" customFormat="1"/>
    <x:row r="1067" s="1214" customFormat="1"/>
    <x:row r="1068" s="1214" customFormat="1"/>
    <x:row r="1069" s="1214" customFormat="1"/>
    <x:row r="1070" s="1214" customFormat="1"/>
    <x:row r="1071" s="1214" customFormat="1"/>
    <x:row r="1072" s="1214" customFormat="1"/>
    <x:row r="1073" s="1214" customFormat="1"/>
    <x:row r="1074" s="1214" customFormat="1"/>
    <x:row r="1075" s="1214" customFormat="1"/>
    <x:row r="1076" s="1214" customFormat="1"/>
    <x:row r="1077" s="1214" customFormat="1"/>
    <x:row r="1078" s="1214" customFormat="1"/>
    <x:row r="1079" s="1214" customFormat="1"/>
    <x:row r="1080" s="1214" customFormat="1"/>
    <x:row r="1081" s="1214" customFormat="1"/>
    <x:row r="1082" s="1214" customFormat="1"/>
    <x:row r="1083" s="1214" customFormat="1"/>
    <x:row r="1084" s="1214" customFormat="1"/>
    <x:row r="1085" s="1214" customFormat="1"/>
    <x:row r="1086" s="1214" customFormat="1"/>
    <x:row r="1087" s="1214" customFormat="1"/>
    <x:row r="1088" s="1214" customFormat="1"/>
    <x:row r="1089" s="1214" customFormat="1"/>
    <x:row r="1090" s="1214" customFormat="1"/>
    <x:row r="1091" s="1214" customFormat="1"/>
    <x:row r="1092" s="1214" customFormat="1"/>
    <x:row r="1093" s="1214" customFormat="1"/>
    <x:row r="1094" s="1214" customFormat="1"/>
    <x:row r="1095" s="1214" customFormat="1"/>
    <x:row r="1096" s="1214" customFormat="1"/>
    <x:row r="1097" s="1214" customFormat="1"/>
    <x:row r="1098" s="1214" customFormat="1"/>
    <x:row r="1099" s="1214" customFormat="1"/>
    <x:row r="1100" s="1214" customFormat="1"/>
    <x:row r="1101" s="1214" customFormat="1"/>
    <x:row r="1102" s="1214" customFormat="1"/>
    <x:row r="1103" s="1214" customFormat="1"/>
    <x:row r="1104" s="1214" customFormat="1"/>
    <x:row r="1105" s="1214" customFormat="1"/>
    <x:row r="1106" s="1214" customFormat="1"/>
    <x:row r="1107" s="1214" customFormat="1"/>
    <x:row r="1108" s="1214" customFormat="1"/>
    <x:row r="1109" s="1214" customFormat="1"/>
    <x:row r="1110" s="1214" customFormat="1"/>
    <x:row r="1111" s="1214" customFormat="1"/>
    <x:row r="1112" s="1214" customFormat="1"/>
    <x:row r="1113" s="1214" customFormat="1"/>
    <x:row r="1114" s="1214" customFormat="1"/>
    <x:row r="1115" s="1214" customFormat="1"/>
    <x:row r="1116" s="1214" customFormat="1"/>
    <x:row r="1117" s="1214" customFormat="1"/>
    <x:row r="1118" s="1214" customFormat="1"/>
    <x:row r="1119" s="1214" customFormat="1"/>
    <x:row r="1120" s="1214" customFormat="1"/>
    <x:row r="1121" s="1214" customFormat="1"/>
    <x:row r="1122" s="1214" customFormat="1"/>
    <x:row r="1123" s="1214" customFormat="1"/>
    <x:row r="1124" s="1214" customFormat="1"/>
    <x:row r="1125" s="1214" customFormat="1"/>
    <x:row r="1126" s="1214" customFormat="1"/>
    <x:row r="1127" s="1214" customFormat="1"/>
    <x:row r="1128" s="1214" customFormat="1"/>
    <x:row r="1129" s="1214" customFormat="1"/>
    <x:row r="1130" s="1214" customFormat="1"/>
    <x:row r="1131" s="1214" customFormat="1"/>
    <x:row r="1132" s="1214" customFormat="1"/>
    <x:row r="1133" s="1214" customFormat="1"/>
    <x:row r="1134" s="1214" customFormat="1"/>
    <x:row r="1135" s="1214" customFormat="1"/>
    <x:row r="1136" s="1214" customFormat="1"/>
    <x:row r="1137" s="1214" customFormat="1"/>
    <x:row r="1138" s="1214" customFormat="1"/>
    <x:row r="1139" s="1214" customFormat="1"/>
    <x:row r="1140" s="1214" customFormat="1"/>
    <x:row r="1141" s="1214" customFormat="1"/>
    <x:row r="1142" s="1214" customFormat="1"/>
    <x:row r="1143" s="1214" customFormat="1"/>
    <x:row r="1144" s="1214" customFormat="1"/>
    <x:row r="1145" s="1214" customFormat="1"/>
    <x:row r="1146" s="1214" customFormat="1"/>
    <x:row r="1147" s="1214" customFormat="1"/>
    <x:row r="1148" s="1214" customFormat="1"/>
    <x:row r="1149" s="1214" customFormat="1"/>
    <x:row r="1150" s="1214" customFormat="1"/>
    <x:row r="1151" s="1214" customFormat="1"/>
    <x:row r="1152" s="1214" customFormat="1"/>
    <x:row r="1153" s="1214" customFormat="1"/>
    <x:row r="1154" s="1214" customFormat="1"/>
    <x:row r="1155" s="1214" customFormat="1"/>
    <x:row r="1156" s="1214" customFormat="1"/>
    <x:row r="1157" s="1214" customFormat="1"/>
    <x:row r="1158" s="1214" customFormat="1"/>
    <x:row r="1159" s="1214" customFormat="1"/>
    <x:row r="1160" s="1214" customFormat="1"/>
    <x:row r="1161" s="1214" customFormat="1"/>
    <x:row r="1162" s="1214" customFormat="1"/>
    <x:row r="1163" s="1214" customFormat="1"/>
    <x:row r="1164" s="1214" customFormat="1"/>
    <x:row r="1165" s="1214" customFormat="1"/>
    <x:row r="1166" s="1214" customFormat="1"/>
    <x:row r="1167" s="1214" customFormat="1"/>
    <x:row r="1168" s="1214" customFormat="1"/>
    <x:row r="1169" s="1214" customFormat="1"/>
    <x:row r="1170" s="1214" customFormat="1"/>
    <x:row r="1171" s="1214" customFormat="1"/>
    <x:row r="1172" s="1214" customFormat="1"/>
    <x:row r="1173" s="1214" customFormat="1"/>
    <x:row r="1174" s="1214" customFormat="1"/>
    <x:row r="1175" s="1214" customFormat="1"/>
    <x:row r="1176" s="1214" customFormat="1"/>
    <x:row r="1177" s="1214" customFormat="1"/>
    <x:row r="1178" s="1214" customFormat="1"/>
    <x:row r="1179" s="1214" customFormat="1"/>
    <x:row r="1180" s="1214" customFormat="1"/>
    <x:row r="1181" s="1214" customFormat="1"/>
    <x:row r="1182" s="1214" customFormat="1"/>
    <x:row r="1183" s="1214" customFormat="1"/>
    <x:row r="1184" s="1214" customFormat="1"/>
    <x:row r="1185" s="1214" customFormat="1"/>
    <x:row r="1186" s="1214" customFormat="1"/>
    <x:row r="1187" s="1214" customFormat="1"/>
    <x:row r="1188" s="1214" customFormat="1"/>
    <x:row r="1189" s="1214" customFormat="1"/>
    <x:row r="1190" s="1214" customFormat="1"/>
    <x:row r="1191" s="1214" customFormat="1"/>
    <x:row r="1192" s="1214" customFormat="1"/>
    <x:row r="1193" s="1214" customFormat="1"/>
    <x:row r="1194" s="1214" customFormat="1"/>
    <x:row r="1195" s="1214" customFormat="1"/>
    <x:row r="1196" s="1214" customFormat="1"/>
    <x:row r="1197" s="1214" customFormat="1"/>
    <x:row r="1198" s="1214" customFormat="1"/>
    <x:row r="1199" s="1214" customFormat="1"/>
    <x:row r="1200" s="1214" customFormat="1"/>
    <x:row r="1201" s="1214" customFormat="1"/>
    <x:row r="1202" s="1214" customFormat="1"/>
    <x:row r="1203" s="1214" customFormat="1"/>
    <x:row r="1204" s="1214" customFormat="1"/>
    <x:row r="1205" s="1214" customFormat="1"/>
    <x:row r="1206" s="1214" customFormat="1"/>
    <x:row r="1207" s="1214" customFormat="1"/>
    <x:row r="1208" s="1214" customFormat="1"/>
    <x:row r="1209" s="1214" customFormat="1"/>
    <x:row r="1210" s="1214" customFormat="1"/>
    <x:row r="1211" s="1214" customFormat="1"/>
    <x:row r="1212" s="1214" customFormat="1"/>
    <x:row r="1213" s="1214" customFormat="1"/>
    <x:row r="1214" s="1214" customFormat="1"/>
    <x:row r="1215" s="1214" customFormat="1"/>
    <x:row r="1216" s="1214" customFormat="1"/>
    <x:row r="1217" s="1214" customFormat="1"/>
    <x:row r="1218" s="1214" customFormat="1"/>
    <x:row r="1219" s="1214" customFormat="1"/>
    <x:row r="1220" s="1214" customFormat="1"/>
    <x:row r="1221" s="1214" customFormat="1"/>
    <x:row r="1222" s="1214" customFormat="1"/>
    <x:row r="1223" s="1214" customFormat="1"/>
    <x:row r="1224" s="1214" customFormat="1"/>
    <x:row r="1225" s="1214" customFormat="1"/>
    <x:row r="1226" s="1214" customFormat="1"/>
    <x:row r="1227" s="1214" customFormat="1"/>
    <x:row r="1228" s="1214" customFormat="1"/>
    <x:row r="1229" s="1214" customFormat="1"/>
    <x:row r="1230" s="1214" customFormat="1"/>
    <x:row r="1231" s="1214" customFormat="1"/>
    <x:row r="1232" s="1214" customFormat="1"/>
    <x:row r="1233" s="1214" customFormat="1"/>
    <x:row r="1234" s="1214" customFormat="1"/>
    <x:row r="1235" s="1214" customFormat="1"/>
    <x:row r="1236" s="1214" customFormat="1"/>
    <x:row r="1237" s="1214" customFormat="1"/>
    <x:row r="1238" s="1214" customFormat="1"/>
    <x:row r="1239" s="1214" customFormat="1"/>
    <x:row r="1240" s="1214" customFormat="1"/>
    <x:row r="1241" s="1214" customFormat="1"/>
    <x:row r="1242" s="1214" customFormat="1"/>
    <x:row r="1243" s="1214" customFormat="1"/>
    <x:row r="1244" s="1214" customFormat="1"/>
    <x:row r="1245" s="1214" customFormat="1"/>
    <x:row r="1246" s="1214" customFormat="1"/>
    <x:row r="1247" s="1214" customFormat="1"/>
    <x:row r="1248" s="1214" customFormat="1"/>
    <x:row r="1249" s="1214" customFormat="1"/>
    <x:row r="1250" s="1214" customFormat="1"/>
    <x:row r="1251" s="1214" customFormat="1"/>
    <x:row r="1252" s="1214" customFormat="1"/>
    <x:row r="1253" s="1214" customFormat="1"/>
    <x:row r="1254" s="1214" customFormat="1"/>
    <x:row r="1255" s="1214" customFormat="1"/>
    <x:row r="1256" s="1214" customFormat="1"/>
    <x:row r="1257" s="1214" customFormat="1"/>
    <x:row r="1258" s="1214" customFormat="1"/>
    <x:row r="1259" s="1214" customFormat="1"/>
    <x:row r="1260" s="1214" customFormat="1"/>
    <x:row r="1261" s="1214" customFormat="1"/>
    <x:row r="1262" s="1214" customFormat="1"/>
    <x:row r="1263" s="1214" customFormat="1"/>
    <x:row r="1264" s="1214" customFormat="1"/>
    <x:row r="1265" s="1214" customFormat="1"/>
    <x:row r="1266" s="1214" customFormat="1"/>
    <x:row r="1267" s="1214" customFormat="1"/>
    <x:row r="1268" s="1214" customFormat="1"/>
    <x:row r="1269" s="1214" customFormat="1"/>
    <x:row r="1270" s="1214" customFormat="1"/>
    <x:row r="1271" s="1214" customFormat="1"/>
    <x:row r="1272" s="1214" customFormat="1"/>
    <x:row r="1273" s="1214" customFormat="1"/>
    <x:row r="1274" s="1214" customFormat="1"/>
    <x:row r="1275" s="1214" customFormat="1"/>
    <x:row r="1276" s="1214" customFormat="1"/>
    <x:row r="1277" s="1214" customFormat="1"/>
    <x:row r="1278" s="1214" customFormat="1"/>
    <x:row r="1279" s="1214" customFormat="1"/>
    <x:row r="1280" s="1214" customFormat="1"/>
    <x:row r="1281" s="1214" customFormat="1"/>
    <x:row r="1282" s="1214" customFormat="1"/>
    <x:row r="1283" s="1214" customFormat="1"/>
    <x:row r="1284" s="1214" customFormat="1"/>
    <x:row r="1285" s="1214" customFormat="1"/>
    <x:row r="1286" s="1214" customFormat="1"/>
    <x:row r="1287" s="1214" customFormat="1"/>
    <x:row r="1288" s="1214" customFormat="1"/>
    <x:row r="1289" s="1214" customFormat="1"/>
    <x:row r="1290" s="1214" customFormat="1"/>
    <x:row r="1291" s="1214" customFormat="1"/>
    <x:row r="1292" s="1214" customFormat="1"/>
    <x:row r="1293" s="1214" customFormat="1"/>
    <x:row r="1294" s="1214" customFormat="1"/>
    <x:row r="1295" s="1214" customFormat="1"/>
    <x:row r="1296" s="1214" customFormat="1"/>
    <x:row r="1297" s="1214" customFormat="1"/>
    <x:row r="1298" s="1214" customFormat="1"/>
    <x:row r="1299" s="1214" customFormat="1"/>
    <x:row r="1300" s="1214" customFormat="1"/>
    <x:row r="1301" s="1214" customFormat="1"/>
    <x:row r="1302" s="1214" customFormat="1"/>
    <x:row r="1303" s="1214" customFormat="1"/>
    <x:row r="1304" s="1214" customFormat="1"/>
    <x:row r="1305" s="1214" customFormat="1"/>
    <x:row r="1306" s="1214" customFormat="1"/>
    <x:row r="1307" s="1214" customFormat="1"/>
    <x:row r="1308" s="1214" customFormat="1"/>
    <x:row r="1309" s="1214" customFormat="1"/>
    <x:row r="1310" s="1214" customFormat="1"/>
    <x:row r="1311" s="1214" customFormat="1"/>
    <x:row r="1312" s="1214" customFormat="1"/>
    <x:row r="1313" s="1214" customFormat="1"/>
    <x:row r="1314" s="1214" customFormat="1"/>
    <x:row r="1315" s="1214" customFormat="1"/>
    <x:row r="1316" s="1214" customFormat="1"/>
    <x:row r="1317" s="1214" customFormat="1"/>
    <x:row r="1318" s="1214" customFormat="1"/>
    <x:row r="1319" s="1214" customFormat="1"/>
    <x:row r="1320" s="1214" customFormat="1"/>
    <x:row r="1321" s="1214" customFormat="1"/>
    <x:row r="1322" s="1214" customFormat="1"/>
    <x:row r="1323" s="1214" customFormat="1"/>
    <x:row r="1324" s="1214" customFormat="1"/>
    <x:row r="1325" s="1214" customFormat="1"/>
    <x:row r="1326" s="1214" customFormat="1"/>
    <x:row r="1327" s="1214" customFormat="1"/>
    <x:row r="1328" s="1214" customFormat="1"/>
    <x:row r="1329" s="1214" customFormat="1"/>
    <x:row r="1330" s="1214" customFormat="1"/>
    <x:row r="1331" s="1214" customFormat="1"/>
    <x:row r="1332" s="1214" customFormat="1"/>
    <x:row r="1333" s="1214" customFormat="1"/>
    <x:row r="1334" s="1214" customFormat="1"/>
    <x:row r="1335" s="1214" customFormat="1"/>
    <x:row r="1336" s="1214" customFormat="1"/>
    <x:row r="1337" s="1214" customFormat="1"/>
    <x:row r="1338" s="1214" customFormat="1"/>
    <x:row r="1339" s="1214" customFormat="1"/>
    <x:row r="1340" s="1214" customFormat="1"/>
    <x:row r="1341" s="1214" customFormat="1"/>
    <x:row r="1342" s="1214" customFormat="1"/>
    <x:row r="1343" s="1214" customFormat="1"/>
    <x:row r="1344" s="1214" customFormat="1"/>
    <x:row r="1345" s="1214" customFormat="1"/>
    <x:row r="1346" s="1214" customFormat="1"/>
    <x:row r="1347" s="1214" customFormat="1"/>
    <x:row r="1348" s="1214" customFormat="1"/>
    <x:row r="1349" s="1214" customFormat="1"/>
    <x:row r="1350" s="1214" customFormat="1"/>
    <x:row r="1351" s="1214" customFormat="1"/>
    <x:row r="1352" s="1214" customFormat="1"/>
    <x:row r="1353" s="1214" customFormat="1"/>
    <x:row r="1354" s="1214" customFormat="1"/>
    <x:row r="1355" s="1214" customFormat="1"/>
    <x:row r="1356" s="1214" customFormat="1"/>
    <x:row r="1357" s="1214" customFormat="1"/>
    <x:row r="1358" s="1214" customFormat="1"/>
    <x:row r="1359" s="1214" customFormat="1"/>
    <x:row r="1360" s="1214" customFormat="1"/>
    <x:row r="1361" s="1214" customFormat="1"/>
    <x:row r="1362" s="1214" customFormat="1"/>
    <x:row r="1363" s="1214" customFormat="1"/>
    <x:row r="1364" s="1214" customFormat="1"/>
    <x:row r="1365" s="1214" customFormat="1"/>
  </x:sheetData>
  <x:mergeCells>
    <x:mergeCell ref="B2:J2"/>
    <x:mergeCell ref="B3:J3"/>
    <x:mergeCell ref="B5:C5"/>
    <x:mergeCell ref="B6:C6"/>
    <x:mergeCell ref="D5:E5"/>
    <x:mergeCell ref="D6:E6"/>
    <x:mergeCell ref="F5:G5"/>
    <x:mergeCell ref="F6:G6"/>
    <x:mergeCell ref="H5:I5"/>
    <x:mergeCell ref="H6:I6"/>
    <x:mergeCell ref="J5:K5"/>
    <x:mergeCell ref="J6:K6"/>
    <x:mergeCell ref="L5:M5"/>
    <x:mergeCell ref="L6:M6"/>
    <x:mergeCell ref="B7:M7"/>
    <x:mergeCell ref="B9:M9"/>
    <x:mergeCell ref="B18:M18"/>
    <x:mergeCell ref="B19:M19"/>
    <x:mergeCell ref="B21:M21"/>
    <x:mergeCell ref="B37:M37"/>
    <x:mergeCell ref="B38:G38"/>
    <x:mergeCell ref="I38:M38"/>
    <x:mergeCell ref="I39:L39"/>
    <x:mergeCell ref="I40:L40"/>
    <x:mergeCell ref="I41:L41"/>
    <x:mergeCell ref="I42:L42"/>
    <x:mergeCell ref="I43:L43"/>
    <x:mergeCell ref="I44:L44"/>
    <x:mergeCell ref="B45:G46"/>
    <x:mergeCell ref="I45:M46"/>
    <x:mergeCell ref="B48:M48"/>
    <x:mergeCell ref="B49:F49"/>
    <x:mergeCell ref="H49:M49"/>
    <x:mergeCell ref="B50:F50"/>
    <x:mergeCell ref="H50:M50"/>
    <x:mergeCell ref="B51:F51"/>
    <x:mergeCell ref="H51:M51"/>
    <x:mergeCell ref="B52:F52"/>
    <x:mergeCell ref="H52:M52"/>
    <x:mergeCell ref="B53:F53"/>
    <x:mergeCell ref="H53:M53"/>
    <x:mergeCell ref="B54:F54"/>
    <x:mergeCell ref="H54:M54"/>
    <x:mergeCell ref="B56:M56"/>
    <x:mergeCell ref="B58:M58"/>
    <x:mergeCell ref="B59:M59"/>
    <x:mergeCell ref="C60:F60"/>
    <x:mergeCell ref="J60:M60"/>
    <x:mergeCell ref="C61:F61"/>
    <x:mergeCell ref="J61:M61"/>
    <x:mergeCell ref="C62:F62"/>
    <x:mergeCell ref="J62:M62"/>
    <x:mergeCell ref="C63:F63"/>
    <x:mergeCell ref="J63:M63"/>
    <x:mergeCell ref="C64:F64"/>
    <x:mergeCell ref="J64:M64"/>
    <x:mergeCell ref="C65:F65"/>
    <x:mergeCell ref="J65:M65"/>
    <x:mergeCell ref="C66:F66"/>
    <x:mergeCell ref="J66:M66"/>
    <x:mergeCell ref="C67:F67"/>
    <x:mergeCell ref="J67:M67"/>
    <x:mergeCell ref="C68:F68"/>
    <x:mergeCell ref="J68:M68"/>
    <x:mergeCell ref="C69:F69"/>
    <x:mergeCell ref="J69:M69"/>
    <x:mergeCell ref="C70:F70"/>
    <x:mergeCell ref="J70:M70"/>
    <x:mergeCell ref="B72:M72"/>
    <x:mergeCell ref="B73:M73"/>
  </x:mergeCells>
  <x:conditionalFormatting sqref="L11:L15">
    <x:cfRule type="cellIs" dxfId="1661" priority="3" operator="greaterThan">
      <x:formula>0</x:formula>
    </x:cfRule>
  </x:conditionalFormatting>
  <x:conditionalFormatting sqref="G50:G54">
    <x:cfRule type="cellIs" dxfId="1662" priority="4" operator="greaterThan">
      <x:formula>0</x:formula>
    </x:cfRule>
  </x:conditionalFormatting>
  <x:conditionalFormatting sqref="G61:G70">
    <x:cfRule type="cellIs" dxfId="1663" priority="5" operator="equal">
      <x:formula>"Urgente"</x:formula>
    </x:cfRule>
    <x:cfRule type="cellIs" dxfId="1664" priority="6" operator="equal">
      <x:formula>"Prioritaire"</x:formula>
    </x:cfRule>
  </x:conditionalFormatting>
  <x:pageMargins left="0.25" right="0.25" top="0.35" bottom="0.35" header="0.15" footer="0.15"/>
  <x:pageSetup orientation="landscape" paperSize="9" fitToWidth="1" fitToHeight="0"/>
  <x:drawing xmlns:r="http://schemas.openxmlformats.org/officeDocument/2006/relationships" r:id="logoINR20261007"/>
  <x:extLst>
    <x:ext xmlns:x14="http://schemas.microsoft.com/office/spreadsheetml/2009/9/main" xmlns:xm="http://schemas.microsoft.com/office/excel/2006/main" uri="{78C0D931-6437-407d-A8EE-F0AAD7539E65}">
      <x14:conditionalFormattings>
        <x14:conditionalFormatting>
          <x14:cfRule type="dataBar" priority="1" id="{54AD6DB4-C8DC-F8F5-35B7-459A804E5B9E}">
            <x14:dataBar gradient="0">
              <x14:cfvo type="num">
                <xm:f>0</xm:f>
              </x14:cfvo>
              <x14:cfvo type="num">
                <xm:f>1</xm:f>
              </x14:cfvo>
              <x14:fillColor rgb="FF5B8C76"/>
            </x14:dataBar>
          </x14:cfRule>
          <xm:sqref>F6:F10</xm:sqref>
        </x14:conditionalFormatting>
      </x14:conditionalFormattings>
    </x:ext>
  </x:extLst>
</x: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9F16-76F2-6B44-9F39-A42E5FF7BC5C}">
  <sheetPr codeName="Feuil12"/>
  <dimension ref="A1:B32"/>
  <sheetViews>
    <sheetView workbookViewId="0">
      <selection activeCell="D10" sqref="D10"/>
    </sheetView>
  </sheetViews>
  <sheetFormatPr baseColWidth="10" defaultColWidth="11.5" defaultRowHeight="13"/>
  <sheetData>
    <row r="1" spans="1:2">
      <c r="A1" t="inlineStr">
        <is>
          <t>1.1</t>
        </is>
      </c>
      <c r="B1" t="inlineStr">
        <is>
          <t>Prendre en compte toutes les étapes de la vie des équipements et des logiciels, de leur création à leur fin de vie, pour contribuer à la transition énergétique.</t>
        </is>
      </c>
    </row>
    <row r="2" spans="1:2">
      <c r="A2" t="inlineStr">
        <is>
          <t>1.2</t>
        </is>
      </c>
      <c r="B2" t="inlineStr">
        <is>
          <t>Utiliser les équipements plus longtemps, même après la fin de leur amortissement, c’est-à-dire la période sur laquelle leur coût est réparti dans les comptes.</t>
        </is>
      </c>
    </row>
    <row r="3" spans="1:2">
      <c r="A3" t="inlineStr">
        <is>
          <t>1.3</t>
        </is>
      </c>
      <c r="B3" t="inlineStr">
        <is>
          <t>Concevoir des services numériques qui limitent leurs effets sur l’environnement. Choisir des technologies qui contribuent aux Objectifs de développement durable (ODD).</t>
        </is>
      </c>
    </row>
    <row r="4" spans="1:2">
      <c r="A4" t="inlineStr">
        <is>
          <t>1.4</t>
        </is>
      </c>
      <c r="B4" t="inlineStr">
        <is>
          <t>Adopter des pratiques qui consomment moins de matériel, de ressources, d’énergie et de consommables, comme le papier ou l’encre.</t>
        </is>
      </c>
    </row>
    <row r="5" spans="1:2">
      <c r="A5" t="inlineStr">
        <is>
          <t>1.5</t>
        </is>
      </c>
      <c r="B5" t="inlineStr">
        <is>
          <t>Réutiliser ou recycler les déchets pour en faire de nouvelles ressources. Soutenir les emplois liés à leur traitement et à l’économie circulaire.</t>
        </is>
      </c>
    </row>
    <row r="6" spans="1:2">
      <c r="A6" t="inlineStr">
        <is>
          <t>1.6</t>
        </is>
      </c>
      <c r="B6" t="inlineStr">
        <is>
          <t>Choisir des énergies renouvelables et encourager leur utilisation.</t>
        </is>
      </c>
    </row>
    <row r="7" spans="1:2">
      <c r="A7" t="inlineStr">
        <is>
          <t>1.7</t>
        </is>
      </c>
      <c r="B7" t="inlineStr">
        <is>
          <t>Réserver l’intelligence artificielle aux besoins qui la justifient et privilégier des solutions sobres en ressources.</t>
        </is>
      </c>
    </row>
    <row r="8" spans="1:2">
      <c r="A8" t="inlineStr">
        <is>
          <t>1.8</t>
        </is>
      </c>
      <c r="B8" t="inlineStr">
        <is>
          <t>Mesurer et réduire ce que consomme l’intelligence artificielle, pendant son entraînement comme pendant son utilisation.</t>
        </is>
      </c>
    </row>
    <row r="9" spans="1:2">
      <c r="A9" t="inlineStr">
        <is>
          <t>2.1</t>
        </is>
      </c>
      <c r="B9" t="inlineStr">
        <is>
          <t>Intégrer dans tous les achats des exigences qui tiennent compte de leurs effets sur la société et l’environnement.</t>
        </is>
      </c>
    </row>
    <row r="10" spans="1:2">
      <c r="A10" t="inlineStr">
        <is>
          <t>2.2</t>
        </is>
      </c>
      <c r="B10" t="inlineStr">
        <is>
          <t>Rendre les services numériques accessibles à toutes et tous. Mesurer leur respect du RGAA, le référentiel français sur l’accessibilité numérique.</t>
        </is>
      </c>
    </row>
    <row r="11" spans="1:2">
      <c r="A11" t="inlineStr">
        <is>
          <t>2.3</t>
        </is>
      </c>
      <c r="B11" t="inlineStr">
        <is>
          <t>Créer des applications utiles, faciles à utiliser et réellement utilisées : les « 3 U ». Les rendre accessibles pour permettre à chacun d’utiliser le numérique.</t>
        </is>
      </c>
    </row>
    <row r="12" spans="1:2">
      <c r="A12" t="inlineStr">
        <is>
          <t>2.4</t>
        </is>
      </c>
      <c r="B12" t="inlineStr">
        <is>
          <t>Concevoir les services avec leurs utilisateurs et utilisatrices, en se concentrant sur leurs besoins réels.</t>
        </is>
      </c>
    </row>
    <row r="13" spans="1:2">
      <c r="A13" t="inlineStr">
        <is>
          <t>2.5</t>
        </is>
      </c>
      <c r="B13" t="inlineStr">
        <is>
          <t>Vérifier que l’intelligence artificielle ne discrimine personne et que ses services peuvent être utilisés par toutes et tous.</t>
        </is>
      </c>
    </row>
    <row r="14" spans="1:2">
      <c r="A14" t="inlineStr">
        <is>
          <t>3.1</t>
        </is>
      </c>
      <c r="B14" t="inlineStr">
        <is>
          <t>Utiliser les données et les services numériques avec mesure, en respectant les personnes et l’environnement.</t>
        </is>
      </c>
    </row>
    <row r="15" spans="1:2">
      <c r="A15" t="inlineStr">
        <is>
          <t>3.2</t>
        </is>
      </c>
      <c r="B15" t="inlineStr">
        <is>
          <t>Supprimer les pratiques et les interfaces qui trompent les utilisateurs sur les sites web, aussi appelées « dark patterns ». Respecter la réglementation.</t>
        </is>
      </c>
    </row>
    <row r="16" spans="1:2">
      <c r="A16" t="inlineStr">
        <is>
          <t>3.3</t>
        </is>
      </c>
      <c r="B16" t="inlineStr">
        <is>
          <t>Collecter seulement les données nécessaires au service rendu. Protéger la vie privée, réduire les effets sur l’environnement et respecter le RGPD, le règlement sur la protection des données personnelles.</t>
        </is>
      </c>
    </row>
    <row r="17" spans="1:2">
      <c r="A17" t="inlineStr">
        <is>
          <t>3.4</t>
        </is>
      </c>
      <c r="B17" t="inlineStr">
        <is>
          <t>Recruter des personnes aux profils variés dans les métiers du numérique.</t>
        </is>
      </c>
    </row>
    <row r="18" spans="1:2">
      <c r="A18" t="inlineStr">
        <is>
          <t>3.5</t>
        </is>
      </c>
      <c r="B18" t="inlineStr">
        <is>
          <t>Améliorer les conditions de travail des personnes qui travaillent dans le numérique.</t>
        </is>
      </c>
    </row>
    <row r="19" spans="1:2">
      <c r="A19" t="inlineStr">
        <is>
          <t>3.6</t>
        </is>
      </c>
      <c r="B19" t="inlineStr">
        <is>
          <t>Fixer et appliquer des règles éthiques pour utiliser les algorithmes, en particulier l’intelligence artificielle. Encadrer l’utilisation des données et assurer leur protection.</t>
        </is>
      </c>
    </row>
    <row r="20" spans="1:2">
      <c r="A20" t="inlineStr">
        <is>
          <t>3.7</t>
        </is>
      </c>
      <c r="B20" t="inlineStr">
        <is>
          <t>Mettre en place et faire connaître les actions de responsabilité sociétale (RSE), qui prennent en compte les effets de l’organisation sur la société et l’environnement.</t>
        </is>
      </c>
    </row>
    <row r="21" spans="1:2">
      <c r="A21" t="inlineStr">
        <is>
          <t>3.8</t>
        </is>
      </c>
      <c r="B21" t="inlineStr">
        <is>
          <t>Indiquer quand une intelligence artificielle répond et expliquer comment elle prend ses décisions. Garder un contrôle humain sur les sujets sensibles.</t>
        </is>
      </c>
    </row>
    <row r="22" spans="1:2">
      <c r="A22" t="inlineStr">
        <is>
          <t>4.1</t>
        </is>
      </c>
      <c r="B22" t="inlineStr">
        <is>
          <t>Suivre des normes communes pour recueillir, regrouper, analyser et partager les données sur les effets des technologies de l’information et de la communication (TIC).</t>
        </is>
      </c>
    </row>
    <row r="23" spans="1:2">
      <c r="A23" t="inlineStr">
        <is>
          <t>4.2</t>
        </is>
      </c>
      <c r="B23" t="inlineStr">
        <is>
          <t>Évaluer les services numériques au fil du temps et partager les résultats.</t>
        </is>
      </c>
    </row>
    <row r="24" spans="1:2">
      <c r="A24" t="inlineStr">
        <is>
          <t>4.3</t>
        </is>
      </c>
      <c r="B24" t="inlineStr">
        <is>
          <t>Innover en utilisant de nouveaux outils numériques. Évaluer leurs effets et expliquer les résultats aux personnes qui les utilisent.</t>
        </is>
      </c>
    </row>
    <row r="25" spans="1:2">
      <c r="A25" t="inlineStr">
        <is>
          <t>4.4</t>
        </is>
      </c>
      <c r="B25" t="inlineStr">
        <is>
          <t>Renforcer la souveraineté numérique : garder la maîtrise de nos choix, de nos outils et de nos données.</t>
        </is>
      </c>
    </row>
    <row r="26" spans="1:2">
      <c r="A26" t="inlineStr">
        <is>
          <t>5.1</t>
        </is>
      </c>
      <c r="B26" t="inlineStr">
        <is>
          <t>Concevoir les systèmes et les services numériques en intégrant de nouvelles façons de répondre aux besoins sociaux.</t>
        </is>
      </c>
    </row>
    <row r="27" spans="1:2">
      <c r="A27" t="inlineStr">
        <is>
          <t>5.2</t>
        </is>
      </c>
      <c r="B27" t="inlineStr">
        <is>
          <t>Faire connaître et soutenir les initiatives des équipes qui encouragent l’engagement, la coopération entre services et le bien-être au travail.</t>
        </is>
      </c>
    </row>
    <row r="28" spans="1:2">
      <c r="A28" t="inlineStr">
        <is>
          <t>5.3</t>
        </is>
      </c>
      <c r="B28" t="inlineStr">
        <is>
          <t>Faire participer les personnes et les organisations concernées. S’appuyer sur leurs connaissances des questions d’environnement, de conditions de vie et de société.</t>
        </is>
      </c>
    </row>
    <row r="29" spans="1:2">
      <c r="A29" t="inlineStr">
        <is>
          <t>5.4</t>
        </is>
      </c>
      <c r="B29" t="inlineStr">
        <is>
          <t>Permettre aux générations futures d’innover pour mieux vivre ensemble, s’ouvrir aux autres et préserver l’équilibre de la nature.</t>
        </is>
      </c>
    </row>
    <row r="30" spans="1:2">
      <c r="A30" t="inlineStr">
        <is>
          <t>5.5</t>
        </is>
      </c>
      <c r="B30" t="inlineStr">
        <is>
          <t>Suivre les résultats obtenus et le respect des règles à l’aide d’indicateurs.</t>
        </is>
      </c>
    </row>
    <row r="31" spans="1:2">
      <c r="A31" t="inlineStr">
        <is>
          <t>5.6</t>
        </is>
      </c>
      <c r="B31" t="inlineStr">
        <is>
          <t>Proposer des améliorations et de nouvelles idées pour un numérique responsable, y compris des solutions sans outils numériques.</t>
        </is>
      </c>
    </row>
    <row r="32" spans="1:2">
      <c r="A32" t="inlineStr">
        <is>
          <t>5.7</t>
        </is>
      </c>
      <c r="B32" t="inlineStr">
        <is>
          <t>Décider avec les équipes comment utiliser l’intelligence artificielle. Les former à ses limites et préserver le sens de leur travail.</t>
        </is>
      </c>
    </row>
  </sheetData>
  <pageMargins left="0.7" right="0.7" top="0.75" bottom="0.75" header="0.3" footer="0.3"/>
  <drawing r:id="logoINR2026100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DF4D05BF8D67489DB7453D498BD6AF" ma:contentTypeVersion="9" ma:contentTypeDescription="Crée un document." ma:contentTypeScope="" ma:versionID="9070a87844bb581c29933625ce623948">
  <xsd:schema xmlns:xsd="http://www.w3.org/2001/XMLSchema" xmlns:xs="http://www.w3.org/2001/XMLSchema" xmlns:p="http://schemas.microsoft.com/office/2006/metadata/properties" xmlns:ns2="a8c2c4fd-65f4-4926-9eb8-66729ce2a800" targetNamespace="http://schemas.microsoft.com/office/2006/metadata/properties" ma:root="true" ma:fieldsID="989e9ad7d14a7fad952c8893d78b692d" ns2:_="">
    <xsd:import namespace="a8c2c4fd-65f4-4926-9eb8-66729ce2a8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c2c4fd-65f4-4926-9eb8-66729ce2a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7be37a6a-461b-4a7e-b7ca-2ca34336416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8c2c4fd-65f4-4926-9eb8-66729ce2a8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64589A-DBA8-4F00-8257-0D4FEF9BD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c2c4fd-65f4-4926-9eb8-66729ce2a8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89019A-D69F-44DE-BAD6-515FF214DA9F}">
  <ds:schemaRefs>
    <ds:schemaRef ds:uri="http://schemas.microsoft.com/sharepoint/v3/contenttype/forms"/>
  </ds:schemaRefs>
</ds:datastoreItem>
</file>

<file path=customXml/itemProps3.xml><?xml version="1.0" encoding="utf-8"?>
<ds:datastoreItem xmlns:ds="http://schemas.openxmlformats.org/officeDocument/2006/customXml" ds:itemID="{41BD8AE0-4973-48D7-9433-9280751D62B0}">
  <ds:schemaRefs>
    <ds:schemaRef ds:uri="http://schemas.microsoft.com/office/2006/documentManagement/types"/>
    <ds:schemaRef ds:uri="http://purl.org/dc/terms/"/>
    <ds:schemaRef ds:uri="http://schemas.microsoft.com/office/2006/metadata/properties"/>
    <ds:schemaRef ds:uri="http://www.w3.org/XML/1998/namespace"/>
    <ds:schemaRef ds:uri="http://schemas.openxmlformats.org/package/2006/metadata/core-properties"/>
    <ds:schemaRef ds:uri="http://purl.org/dc/elements/1.1/"/>
    <ds:schemaRef ds:uri="http://purl.org/dc/dcmitype/"/>
    <ds:schemaRef ds:uri="http://schemas.microsoft.com/office/infopath/2007/PartnerControls"/>
    <ds:schemaRef ds:uri="a8c2c4fd-65f4-4926-9eb8-66729ce2a80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12</vt:i4>
      </vt:variant>
      <vt:variant>
        <vt:lpstr>Plages nommées</vt:lpstr>
      </vt:variant>
      <vt:variant>
        <vt:i4>2</vt:i4>
      </vt:variant>
    </vt:vector>
  </HeadingPairs>
  <TitlesOfParts>
    <vt:vector size="14" baseType="lpstr">
      <vt:lpstr>Accueil</vt:lpstr>
      <vt:lpstr>Méthodologie</vt:lpstr>
      <vt:lpstr>Contexte</vt:lpstr>
      <vt:lpstr>ONR 1</vt:lpstr>
      <vt:lpstr>ONR 2</vt:lpstr>
      <vt:lpstr>ONR 3</vt:lpstr>
      <vt:lpstr>ONR 4</vt:lpstr>
      <vt:lpstr>ONR 5</vt:lpstr>
      <vt:lpstr>Priorisation</vt:lpstr>
      <vt:lpstr>Résultats détaillés</vt:lpstr>
      <vt:lpstr>Résultats synthèse</vt:lpstr>
      <vt:lpstr>Liste ONR</vt:lpstr>
      <vt:lpstr>'Résultats détaillés'!Zone_d_impression</vt:lpstr>
      <vt:lpstr>'Résultats synthèse'!Zone_d_impression</vt:lpstr>
    </vt:vector>
  </TitlesOfParts>
  <Manager/>
  <Company>Consultant indépendant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Grille de priorisation des ODD et de leurs cibles</dc:title>
  <dc:subject/>
  <dc:creator>Olivier Riffon, écoconseiller</dc:creator>
  <cp:keywords/>
  <dc:description>Grille réalisée pour prioriser les ODD et leurs cibles. Pour questions et commentaires : olivier_riffon@uqac.ca.</dc:description>
  <cp:lastModifiedBy>Guillaume Gallon</cp:lastModifiedBy>
  <cp:revision/>
  <dcterms:created xsi:type="dcterms:W3CDTF">2003-09-14T15:33:23Z</dcterms:created>
  <dcterms:modified xsi:type="dcterms:W3CDTF">2026-02-27T21:51:57Z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0x010100F3DF4D05BF8D67489DB7453D498BD6AF</vt:lpwstr>
  </property>
  <property fmtid="{D5CDD505-2E9C-101B-9397-08002B2CF9AE}" pid="3" name="MediaServiceImageTags">
    <vt:lpwstr/>
  </property>
</Properties>
</file>