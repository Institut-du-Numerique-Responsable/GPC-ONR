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13_ncr:1_{9DC4FCC2-3E29-434C-BFB1-3F4DB744CD08}" xr6:coauthVersionLast="47" xr6:coauthVersionMax="47" xr10:uidLastSave="{00000000-0000-0000-0000-000000000000}"/>
  <bookViews>
    <workbookView xWindow="24020" yWindow="2900" windowWidth="32420" windowHeight="19880" tabRatio="879" activeTab="3"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<sst xmlns="http://schemas.openxmlformats.org/spreadsheetml/2006/main" count="334" uniqueCount="152">
  <si>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</si>
  <si>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</si>
  <si>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</si>
  <si>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</si>
  <si>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</si>
  <si>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</si>
  <si>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</si>
  <si>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</si>
  <si>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</si>
  <si>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</si>
  <si>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</si>
  <si>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</si>
  <si>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</si>
  <si>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</si>
  <si>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</si>
  <si>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</si>
  <si>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</si>
  <si>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</si>
  <si>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</si>
  <si>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</si>
  <si>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</si>
  <si>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</si>
  <si>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</si>
  <si>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</si>
  <si>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</si>
  <si>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</si>
  <si>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</si>
  <si>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</si>
  <si>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</si>
  <si>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</si>
  <si>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</si>
  <si>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</si>
  <si>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</si>
  <si>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</si>
  <si>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</si>
  <si>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</si>
  <si>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</si>
  <si>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</si>
  <si>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</si>
  <si>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</si>
  <si>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</si>
  <si>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</si>
  <si>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</si>
  <si>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</si>
  <si>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</si>
  <si>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</si>
  <si>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</si>
  <si>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</si>
  <si>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</si>
  <si>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</si>
  <si>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</si>
  <si>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</si>
  <si>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</si>
  <si>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</si>
  <si>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</si>
  <si>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</si>
  <si>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</si>
  <si>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</si>
  <si>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</si>
  <si>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</si>
  <si>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</si>
  <si>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</si>
  <si>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</si>
  <si>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</si>
  <si>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</si>
  <si>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</si>
  <si>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</si>
  <si>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</si>
  <si>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</si>
  <si>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</si>
  <si>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</si>
  <si>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</si>
  <si>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</si>
  <si>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</si>
  <si>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</si>
  <si>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</si>
  <si>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</si>
  <si>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</si>
  <si>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</si>
  <si>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</si>
  <si>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</si>
  <si>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</si>
  <si>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</si>
  <si>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</si>
  <si>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</si>
  <si>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</si>
  <si>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</si>
  <si>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</si>
  <si>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</si>
  <si>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</si>
  <si>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</si>
  <si>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</si>
  <si>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</si>
  <si>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</si>
  <si>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</si>
  <si>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</si>
  <si>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</si>
  <si>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</si>
  <si>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</si>
  <si>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</si>
  <si>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</si>
  <si>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</si>
  <si>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</si>
  <si>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</si>
  <si>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</si>
  <si>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</si>
  <si>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</si>
  <si>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</si>
  <si>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</si>
  <si>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</si>
  <si>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</si>
  <si>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</si>
  <si>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</si>
  <si>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</si>
  <si>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</si>
  <si>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</si>
  <si>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</si>
  <si>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</si>
  <si>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</si>
  <si>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</si>
  <si>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</si>
  <si>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</si>
  <si>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</si>
  <si>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</si>
  <si>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</si>
  <si>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</si>
  <si>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</si>
  <si>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</si>
  <si>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</si>
  <si>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</si>
  <si>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</si>
  <si>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</si>
  <si>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</si>
  <si>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</si>
  <si>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</si>
  <si>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</si>
  <si>
    <t>Enjeux (opportunités et menaces) : Opportunité de réduire l'empreinte carbone globale de l'organisation et d'anticiper les futures réglementations environnementales. La menace est le coût initial potentiellement plus élevé d'équipements éco-conçus.</t>
  </si>
  <si>
    <t>Actuellement, le seul critère pris en compte lors des achats est le prix direct. Aucune analyse du cycle de vie (ACV) n'est demandée aux fournisseurs lors des appels d'offres</t>
  </si>
  <si>
    <t>Faiblesse : manque de connaissances de l'équipe Achats sur les labels environnementaux informatiques. Force : volonté forte de la direction des achats d'évoluer vers des pratiques durables</t>
  </si>
  <si>
    <t>Former l'équipe Achats aux critères du Numérique Responsable (labels TCO, EPEAT). Intégrer une pondération environnementale de 15% dans les prochains appels d'offres de renouvellement de serveurs</t>
  </si>
  <si>
    <t>Enjeux (opportunités et menaces) : Opportunité de faire des économies budgétaires significatives (CAPEX) et de réduire drastiquement la production de déchets électroniques (DEEE).</t>
  </si>
  <si>
    <t>La durée de renouvellement standard des ordinateurs portables est passée de 3 ans à 4 ans l'année dernière. Un contrat de maintenance est en place.</t>
  </si>
  <si>
    <t>Force : capacité technique à réparer en interne. Faiblesse : pression psychologique de certains utilisateurs exigeant du matériel neuf et esthétique.</t>
  </si>
  <si>
    <t>Allonger la politique d'amortissement à 5 ans minimum. Créer un stock de pièces détachées pour faciliter les réparations rapides. Lancer une campagne de communication interne pour valoriser l'impact carbone évité en gardant son ordinateur plus longtemps</t>
  </si>
  <si>
    <t>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t>
  </si>
  <si>
    <t>Actuellement, plusieurs projets d'IA générative (type ChatGPT) sont testés par les métiers, mais aucune mesure de leur impact énergétique n'est réalisée et aucune charte d'utilisation n'encadre le besoin réel</t>
  </si>
  <si>
    <t>Force : Une équipe Data/IT curieuse et compétente techniquement. Faiblesse : Manque total de connaissances sur les concepts de "Green AI" (comment mesurer la consommation d'un modèle, comment l'optimiser) et manque de recul critique sur l'utilité réelle de l'IA pour certains cas d'usage</t>
  </si>
  <si>
    <t>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t>
  </si>
  <si>
    <t>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t>
  </si>
  <si>
    <t>Documentation et mesures en place : Actuellement, les nouveaux services numériques ou sites web sont validés uniquement sur des critères fonctionnels, graphiques et financiers. Le "poids" informatique des pages et l'impact environnemental du code ne sont pas mesurés.</t>
  </si>
  <si>
    <t>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t>
  </si>
  <si>
    <t>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</si>
</sst>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6">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6">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 borderId="0" xfId="0" applyFont="1" applyFill="1" applyAlignment="1">
      <alignment horizontal="center" vertical="center" wrapText="1"/>
    </xf>
    <xf numFmtId="0" fontId="53" fillId="4" borderId="0" xfId="0" applyFont="1" applyFill="1" applyAlignment="1">
      <alignment horizontal="center" vertical="center" wrapText="1"/>
    </xf>
    <xf numFmtId="0" fontId="51" fillId="4" borderId="0" xfId="0" applyFont="1" applyFill="1" applyAlignment="1">
      <alignment vertical="top" wrapText="1"/>
    </xf>
    <xf numFmtId="0" fontId="54"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5"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2"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41" fillId="14" borderId="9" xfId="0" applyFont="1" applyFill="1" applyBorder="1" applyAlignment="1" applyProtection="1">
      <alignment horizontal="left" vertical="center" wrapText="1"/>
      <protection locked="0"/>
    </xf>
    <xf numFmtId="0" fontId="41" fillId="47" borderId="9" xfId="0" applyFont="1" applyFill="1" applyBorder="1" applyAlignment="1" applyProtection="1">
      <alignment horizontal="center" vertical="center" wrapText="1"/>
      <protection locked="0"/>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28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2</c:v>
                </c:pt>
                <c:pt idx="1">
                  <c:v>1</c:v>
                </c:pt>
                <c:pt idx="2">
                  <c:v>1</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2</c:v>
                </c:pt>
                <c:pt idx="1">
                  <c:v>1</c:v>
                </c:pt>
                <c:pt idx="2">
                  <c:v>1</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5" t="s">
        <v>1</v>
      </c>
      <c r="C2" s="326"/>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abSelected="1" topLeftCell="G7" zoomScaleNormal="100" workbookViewId="0">
      <selection activeCell="V9" sqref="V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10</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355" customHeight="1" thickBot="1">
      <c r="A5" s="52"/>
      <c r="B5" s="335"/>
      <c r="C5" s="336"/>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6"/>
      <c r="X5" s="290"/>
    </row>
    <row r="6" spans="1:24"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32"/>
      <c r="W6" s="331"/>
      <c r="X6" s="291"/>
    </row>
    <row r="7" spans="1:24" s="137" customFormat="1" ht="138">
      <c r="A7" s="136"/>
      <c r="B7" s="152" t="s">
        <v>36</v>
      </c>
      <c r="C7" s="319" t="s">
        <v>132</v>
      </c>
      <c r="D7" s="394" t="s">
        <v>136</v>
      </c>
      <c r="E7" s="169">
        <v>3</v>
      </c>
      <c r="F7" s="166">
        <v>1</v>
      </c>
      <c r="G7" s="323" t="s">
        <v>137</v>
      </c>
      <c r="H7" s="140">
        <v>3</v>
      </c>
      <c r="I7" s="172" t="s">
        <v>138</v>
      </c>
      <c r="J7" s="110" t="str">
        <f>S7</f>
        <v>Intervention urgente</v>
      </c>
      <c r="K7" s="88">
        <f>E7*10+F7</f>
        <v>31</v>
      </c>
      <c r="L7" s="88" t="b">
        <f>OR(K7=31)</f>
        <v>1</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Intervention urgente</v>
      </c>
      <c r="T7" s="90">
        <f t="shared" ref="T7:T12" si="1">IF(COUNTA(E7:F7)&lt;2,"",(IF(L7=TRUE,6,IF(M7=TRUE,5,IF(N7=TRUE,4,IF(O7=TRUE,3,IF(P7=TRUE,2,IF(Q7=TRUE,1,IF(R7=TRUE,0,0)))))))))</f>
        <v>6</v>
      </c>
      <c r="U7" s="91">
        <f>T7*10+H7</f>
      </c>
      <c r="V7" s="143" t="s">
        <v>139</v>
      </c>
      <c r="W7" s="287"/>
      <c r="X7" s="88"/>
    </row>
    <row r="8" spans="1:24" s="137" customFormat="1" ht="186">
      <c r="A8" s="136"/>
      <c r="B8" s="153" t="s">
        <v>37</v>
      </c>
      <c r="C8" s="317" t="s">
        <v>38</v>
      </c>
      <c r="D8" s="139" t="s">
        <v>140</v>
      </c>
      <c r="E8" s="169">
        <v>3</v>
      </c>
      <c r="F8" s="166">
        <v>3</v>
      </c>
      <c r="G8" s="323" t="s">
        <v>141</v>
      </c>
      <c r="H8" s="140">
        <v>2</v>
      </c>
      <c r="I8" s="172" t="s">
        <v>142</v>
      </c>
      <c r="J8" s="110" t="str">
        <f t="shared" ref="J8:J12" si="2">S8</f>
        <v>Intervention à moyen terme</v>
      </c>
      <c r="K8" s="88">
        <f t="shared" ref="K8:K12" si="3">E8*10+F8</f>
        <v>33</v>
      </c>
      <c r="L8" s="88" t="b">
        <f t="shared" ref="L8:L12" si="4">OR(K8=31)</f>
        <v>0</v>
      </c>
      <c r="M8" s="88" t="b">
        <f t="shared" ref="M8:M12" si="5">OR(K8=21,K8=32)</f>
        <v>0</v>
      </c>
      <c r="N8" s="88" t="b">
        <f t="shared" ref="N8:N12" si="6">OR(K8=22,K8=33)</f>
        <v>1</v>
      </c>
      <c r="O8" s="88" t="b">
        <f t="shared" ref="O8:O12" si="7">OR(K8=11,K8=12)</f>
        <v>0</v>
      </c>
      <c r="P8" s="88" t="b">
        <f t="shared" ref="P8:P12" si="8">OR(K8=23,K8=34)</f>
        <v>0</v>
      </c>
      <c r="Q8" s="88" t="b">
        <f t="shared" ref="Q8:Q12" si="9">OR(K8=13,K8=14,K8=24)</f>
        <v>0</v>
      </c>
      <c r="R8" s="88" t="b">
        <f t="shared" ref="R8:R12" si="10">OR(K8=1,K8=2,K8=3,K8=4)</f>
        <v>0</v>
      </c>
      <c r="S8" s="89" t="str">
        <f t="shared" si="0"/>
        <v>Intervention à moyen terme</v>
      </c>
      <c r="T8" s="90">
        <f t="shared" si="1"/>
        <v>4</v>
      </c>
      <c r="U8" s="91">
        <f t="shared" ref="U8:U12" si="11">T8*10+H8</f>
        <v>42</v>
      </c>
      <c r="V8" s="143" t="s">
        <v>143</v>
      </c>
      <c r="W8" s="302"/>
      <c r="X8" s="301"/>
    </row>
    <row r="9" spans="1:24" s="137" customFormat="1" ht="171">
      <c r="A9" s="136"/>
      <c r="B9" s="153" t="s">
        <v>39</v>
      </c>
      <c r="C9" s="317" t="s">
        <v>40</v>
      </c>
      <c r="D9" s="139" t="s">
        <v>148</v>
      </c>
      <c r="E9" s="169">
        <v>3</v>
      </c>
      <c r="F9" s="166">
        <v>2</v>
      </c>
      <c r="G9" s="323" t="s">
        <v>149</v>
      </c>
      <c r="H9" s="140">
        <v>2</v>
      </c>
      <c r="I9" s="172" t="s">
        <v>150</v>
      </c>
      <c r="J9" s="110" t="str">
        <f t="shared" si="2"/>
        <v>Intervention prioritaire</v>
      </c>
      <c r="K9" s="104">
        <f t="shared" si="3"/>
        <v>32</v>
      </c>
      <c r="L9" s="104" t="b">
        <f t="shared" si="4"/>
        <v>0</v>
      </c>
      <c r="M9" s="104" t="b">
        <f t="shared" si="5"/>
        <v>1</v>
      </c>
      <c r="N9" s="104" t="b">
        <f t="shared" si="6"/>
        <v>0</v>
      </c>
      <c r="O9" s="104" t="b">
        <f t="shared" si="7"/>
        <v>0</v>
      </c>
      <c r="P9" s="104" t="b">
        <f t="shared" si="8"/>
        <v>0</v>
      </c>
      <c r="Q9" s="104" t="b">
        <f t="shared" si="9"/>
        <v>0</v>
      </c>
      <c r="R9" s="104" t="b">
        <f t="shared" si="10"/>
        <v>0</v>
      </c>
      <c r="S9" s="105" t="str">
        <f t="shared" si="0"/>
        <v>Intervention prioritaire</v>
      </c>
      <c r="T9" s="106">
        <f t="shared" si="1"/>
        <v>5</v>
      </c>
      <c r="U9" s="104">
        <f t="shared" si="11"/>
        <v>52</v>
      </c>
      <c r="V9" s="143" t="s">
        <v>151</v>
      </c>
      <c r="W9" s="288"/>
      <c r="X9" s="300"/>
    </row>
    <row r="10" spans="1:24" s="137" customFormat="1" ht="63">
      <c r="A10" s="136"/>
      <c r="B10" s="154" t="s">
        <v>41</v>
      </c>
      <c r="C10" s="320" t="s">
        <v>42</v>
      </c>
      <c r="D10" s="139"/>
      <c r="E10" s="170"/>
      <c r="F10" s="168"/>
      <c r="G10" s="324"/>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89"/>
      <c r="X10" s="88"/>
    </row>
    <row r="11" spans="1:24" s="137" customFormat="1" ht="63">
      <c r="A11" s="136"/>
      <c r="B11" s="155" t="s">
        <v>43</v>
      </c>
      <c r="C11" s="321" t="s">
        <v>44</v>
      </c>
      <c r="D11" s="139"/>
      <c r="E11" s="170"/>
      <c r="F11" s="168"/>
      <c r="G11" s="324"/>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3"/>
      <c r="X11" s="298"/>
    </row>
    <row r="12" spans="1:24" s="138" customFormat="1" ht="42">
      <c r="A12" s="136"/>
      <c r="B12" s="154" t="s">
        <v>45</v>
      </c>
      <c r="C12" s="322" t="s">
        <v>46</v>
      </c>
      <c r="D12" s="139"/>
      <c r="E12" s="171"/>
      <c r="F12" s="167"/>
      <c r="G12" s="324"/>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4"/>
      <c r="X12" s="298"/>
    </row>
    <row r="13" spans="1:24" ht="171">
      <c r="B13" s="154" t="s">
        <v>47</v>
      </c>
      <c r="C13" s="322" t="s">
        <v>48</v>
      </c>
      <c r="D13" s="139" t="s">
        <v>144</v>
      </c>
      <c r="E13" s="171">
        <v>3</v>
      </c>
      <c r="F13" s="395">
        <v>1</v>
      </c>
      <c r="G13" s="324" t="s">
        <v>145</v>
      </c>
      <c r="H13" s="140">
        <v>2</v>
      </c>
      <c r="I13" s="172" t="s">
        <v>146</v>
      </c>
      <c r="J13" s="147" t="str">
        <f t="shared" ref="J13" si="12">S13</f>
        <v>Intervention urgente</v>
      </c>
      <c r="K13" s="96">
        <f t="shared" ref="K13" si="13">E13*10+F13</f>
        <v>31</v>
      </c>
      <c r="L13" s="96" t="b">
        <f t="shared" ref="L13" si="14">OR(K13=31)</f>
        <v>1</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Intervention urgente</v>
      </c>
      <c r="T13" s="98">
        <f t="shared" ref="T13" si="22">IF(COUNTA(E13:F13)&lt;2,"",(IF(L13=TRUE,6,IF(M13=TRUE,5,IF(N13=TRUE,4,IF(O13=TRUE,3,IF(P13=TRUE,2,IF(Q13=TRUE,1,IF(R13=TRUE,0,0)))))))))</f>
        <v>6</v>
      </c>
      <c r="U13" s="99">
        <f t="shared" ref="U13" si="23">T13*10+H13</f>
        <v>62</v>
      </c>
      <c r="V13" s="149" t="s">
        <v>147</v>
      </c>
      <c r="W13" s="305"/>
      <c r="X13" s="298"/>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F7 D7:D13">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7: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49</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16"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t="s">
        <v>131</v>
      </c>
      <c r="X5" s="290"/>
    </row>
    <row r="6" spans="1:24" s="60" customFormat="1" ht="19" customHeight="1" thickBot="1">
      <c r="A6" s="59"/>
      <c r="B6" s="308" t="s">
        <v>35</v>
      </c>
      <c r="C6" s="309"/>
      <c r="D6" s="310"/>
      <c r="E6" s="310"/>
      <c r="F6" s="310"/>
      <c r="G6" s="310"/>
      <c r="H6" s="310"/>
      <c r="I6" s="310"/>
      <c r="J6" s="310"/>
      <c r="K6" s="310"/>
      <c r="L6" s="310"/>
      <c r="M6" s="310"/>
      <c r="N6" s="310"/>
      <c r="O6" s="310"/>
      <c r="P6" s="310"/>
      <c r="Q6" s="310"/>
      <c r="R6" s="310"/>
      <c r="S6" s="310"/>
      <c r="T6" s="310"/>
      <c r="U6" s="310"/>
      <c r="V6" s="311"/>
      <c r="W6" s="312"/>
      <c r="X6" s="313"/>
    </row>
    <row r="7" spans="1:24" s="137" customFormat="1" ht="42">
      <c r="A7" s="136"/>
      <c r="B7" s="180" t="s">
        <v>50</v>
      </c>
      <c r="C7" s="317" t="s">
        <v>51</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7"/>
      <c r="X7" s="297"/>
    </row>
    <row r="8" spans="1:24" s="137" customFormat="1" ht="63">
      <c r="A8" s="136"/>
      <c r="B8" s="180" t="s">
        <v>52</v>
      </c>
      <c r="C8" s="317" t="s">
        <v>53</v>
      </c>
      <c r="D8" s="139"/>
      <c r="E8" s="169"/>
      <c r="F8" s="166"/>
      <c r="G8" s="323"/>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3"/>
      <c r="X8" s="292"/>
    </row>
    <row r="9" spans="1:24" s="137" customFormat="1" ht="63">
      <c r="A9" s="136"/>
      <c r="B9" s="180" t="s">
        <v>54</v>
      </c>
      <c r="C9" s="317" t="s">
        <v>55</v>
      </c>
      <c r="D9" s="139"/>
      <c r="E9" s="169"/>
      <c r="F9" s="166"/>
      <c r="G9" s="323"/>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6"/>
      <c r="X9" s="298"/>
    </row>
    <row r="10" spans="1:24" s="137" customFormat="1" ht="63">
      <c r="A10" s="136"/>
      <c r="B10" s="180" t="s">
        <v>56</v>
      </c>
      <c r="C10" s="317" t="s">
        <v>57</v>
      </c>
      <c r="D10" s="139"/>
      <c r="E10" s="169"/>
      <c r="F10" s="166"/>
      <c r="G10" s="323"/>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3"/>
      <c r="X10" s="292"/>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7" t="s">
        <v>58</v>
      </c>
      <c r="C2" s="328"/>
      <c r="D2" s="328" t="s">
        <v>0</v>
      </c>
      <c r="E2" s="328"/>
      <c r="F2" s="328"/>
      <c r="G2" s="329"/>
      <c r="H2" s="49"/>
      <c r="I2" s="49"/>
      <c r="J2" s="49"/>
      <c r="V2" s="49"/>
      <c r="W2" s="49"/>
    </row>
    <row r="3" spans="1:447" s="46" customFormat="1" ht="17" thickBot="1">
      <c r="B3" s="349"/>
      <c r="C3" s="350"/>
      <c r="D3" s="350"/>
      <c r="E3" s="350"/>
      <c r="F3" s="350"/>
      <c r="G3" s="350"/>
      <c r="H3" s="350"/>
      <c r="I3" s="350"/>
      <c r="J3" s="351"/>
      <c r="K3" s="351"/>
      <c r="L3" s="351"/>
      <c r="M3" s="351"/>
      <c r="N3" s="351"/>
      <c r="O3" s="351"/>
      <c r="P3" s="351"/>
      <c r="Q3" s="351"/>
      <c r="R3" s="351"/>
      <c r="S3" s="351"/>
      <c r="T3" s="351"/>
      <c r="U3" s="351"/>
      <c r="V3" s="351"/>
      <c r="W3" s="352"/>
    </row>
    <row r="4" spans="1:447" ht="19">
      <c r="A4" s="46"/>
      <c r="B4" s="333"/>
      <c r="C4" s="334"/>
      <c r="D4" s="337" t="s">
        <v>11</v>
      </c>
      <c r="E4" s="338"/>
      <c r="F4" s="339" t="s">
        <v>12</v>
      </c>
      <c r="G4" s="340"/>
      <c r="H4" s="341" t="s">
        <v>13</v>
      </c>
      <c r="I4" s="342"/>
      <c r="J4" s="79" t="s">
        <v>14</v>
      </c>
      <c r="K4" s="80"/>
      <c r="L4" s="80"/>
      <c r="M4" s="80"/>
      <c r="N4" s="80"/>
      <c r="O4" s="80"/>
      <c r="P4" s="80"/>
      <c r="Q4" s="80"/>
      <c r="R4" s="80"/>
      <c r="S4" s="80"/>
      <c r="T4" s="80"/>
      <c r="U4" s="80"/>
      <c r="V4" s="353" t="s">
        <v>15</v>
      </c>
      <c r="W4" s="353"/>
      <c r="X4" s="353"/>
    </row>
    <row r="5" spans="1:447" s="53" customFormat="1" ht="207" customHeight="1"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c r="X5" s="290"/>
    </row>
    <row r="6" spans="1:447"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47"/>
      <c r="W6" s="348"/>
    </row>
    <row r="7" spans="1:447" s="137" customFormat="1" ht="63">
      <c r="A7" s="136"/>
      <c r="B7" s="181" t="s">
        <v>59</v>
      </c>
      <c r="C7" s="317" t="s">
        <v>60</v>
      </c>
      <c r="D7" s="139"/>
      <c r="E7" s="169"/>
      <c r="F7" s="166"/>
      <c r="G7" s="323"/>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4"/>
      <c r="X7" s="298"/>
      <c r="Y7" s="182"/>
      <c r="Z7" s="182"/>
    </row>
    <row r="8" spans="1:447" s="137" customFormat="1" ht="63">
      <c r="A8" s="136"/>
      <c r="B8" s="181" t="s">
        <v>61</v>
      </c>
      <c r="C8" s="317" t="s">
        <v>62</v>
      </c>
      <c r="D8" s="139"/>
      <c r="E8" s="169"/>
      <c r="F8" s="166"/>
      <c r="G8" s="323"/>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3"/>
      <c r="X8" s="292"/>
    </row>
    <row r="9" spans="1:447" s="137" customFormat="1" ht="105">
      <c r="A9" s="136"/>
      <c r="B9" s="181" t="s">
        <v>63</v>
      </c>
      <c r="C9" s="317" t="s">
        <v>64</v>
      </c>
      <c r="D9" s="139"/>
      <c r="E9" s="169"/>
      <c r="F9" s="166"/>
      <c r="G9" s="323"/>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6"/>
      <c r="X9" s="298"/>
    </row>
    <row r="10" spans="1:447" s="138" customFormat="1" ht="42">
      <c r="A10" s="136"/>
      <c r="B10" s="181" t="s">
        <v>65</v>
      </c>
      <c r="C10" s="318" t="s">
        <v>66</v>
      </c>
      <c r="D10" s="139"/>
      <c r="E10" s="169"/>
      <c r="F10" s="166"/>
      <c r="G10" s="323"/>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5"/>
      <c r="X10" s="298"/>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7" t="s">
        <v>68</v>
      </c>
      <c r="D11" s="139"/>
      <c r="E11" s="169"/>
      <c r="F11" s="166"/>
      <c r="G11" s="323"/>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6"/>
      <c r="X11" s="292"/>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7" t="s">
        <v>70</v>
      </c>
      <c r="D12" s="139"/>
      <c r="E12" s="171"/>
      <c r="F12" s="167"/>
      <c r="G12" s="323"/>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6"/>
      <c r="X12" s="298"/>
    </row>
    <row r="13" spans="1:447" s="137" customFormat="1" ht="21">
      <c r="A13" s="136"/>
      <c r="B13" s="181" t="s">
        <v>71</v>
      </c>
      <c r="C13" s="317" t="s">
        <v>72</v>
      </c>
      <c r="D13" s="139"/>
      <c r="E13" s="171"/>
      <c r="F13" s="167"/>
      <c r="G13" s="323"/>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5"/>
      <c r="X13" s="292"/>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7" t="s">
        <v>73</v>
      </c>
      <c r="C2" s="328"/>
      <c r="D2" s="328"/>
      <c r="E2" s="328"/>
      <c r="F2" s="328"/>
      <c r="G2" s="329"/>
      <c r="H2" s="49"/>
      <c r="I2" s="49"/>
      <c r="J2" s="49"/>
      <c r="V2" s="49"/>
      <c r="W2" s="49"/>
    </row>
    <row r="3" spans="1:24" s="46" customFormat="1" ht="17" thickBot="1">
      <c r="B3" s="349"/>
      <c r="C3" s="350"/>
      <c r="D3" s="350"/>
      <c r="E3" s="350"/>
      <c r="F3" s="350"/>
      <c r="G3" s="350"/>
      <c r="H3" s="350"/>
      <c r="I3" s="350"/>
      <c r="J3" s="351"/>
      <c r="K3" s="351"/>
      <c r="L3" s="351"/>
      <c r="M3" s="351"/>
      <c r="N3" s="351"/>
      <c r="O3" s="351"/>
      <c r="P3" s="351"/>
      <c r="Q3" s="351"/>
      <c r="R3" s="351"/>
      <c r="S3" s="351"/>
      <c r="T3" s="351"/>
      <c r="U3" s="351"/>
      <c r="V3" s="350"/>
      <c r="W3" s="357"/>
    </row>
    <row r="4" spans="1:24" ht="21.75" customHeight="1">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168" customHeight="1" thickBot="1">
      <c r="A5" s="52"/>
      <c r="B5" s="335"/>
      <c r="C5" s="336"/>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31.5" customHeight="1" thickBot="1">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84">
      <c r="A7" s="136"/>
      <c r="B7" s="180" t="s">
        <v>74</v>
      </c>
      <c r="C7" s="317" t="s">
        <v>75</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4"/>
      <c r="X7" s="292"/>
    </row>
    <row r="8" spans="1:24" s="137" customFormat="1" ht="63">
      <c r="A8" s="136"/>
      <c r="B8" s="180" t="s">
        <v>76</v>
      </c>
      <c r="C8" s="317" t="s">
        <v>77</v>
      </c>
      <c r="D8" s="139"/>
      <c r="E8" s="169"/>
      <c r="F8" s="166"/>
      <c r="G8" s="323"/>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3"/>
      <c r="X8" s="292"/>
    </row>
    <row r="9" spans="1:24" s="137" customFormat="1" ht="63">
      <c r="A9" s="136"/>
      <c r="B9" s="180" t="s">
        <v>78</v>
      </c>
      <c r="C9" s="317" t="s">
        <v>79</v>
      </c>
      <c r="D9" s="139"/>
      <c r="E9" s="169"/>
      <c r="F9" s="166"/>
      <c r="G9" s="323"/>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6"/>
      <c r="X9" s="298"/>
    </row>
    <row r="10" spans="1:24" ht="42">
      <c r="B10" s="180" t="s">
        <v>80</v>
      </c>
      <c r="C10" s="317" t="s">
        <v>81</v>
      </c>
      <c r="D10" s="139"/>
      <c r="E10" s="169"/>
      <c r="F10" s="166"/>
      <c r="G10" s="323"/>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6"/>
      <c r="X10" s="298"/>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82</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20" thickBot="1">
      <c r="A5" s="52"/>
      <c r="B5" s="335"/>
      <c r="C5" s="336"/>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18">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43" thickBot="1">
      <c r="A7" s="136"/>
      <c r="B7" s="180" t="s">
        <v>83</v>
      </c>
      <c r="C7" s="317" t="s">
        <v>84</v>
      </c>
      <c r="D7" s="184"/>
      <c r="E7" s="169"/>
      <c r="F7" s="166"/>
      <c r="G7" s="323"/>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8"/>
    </row>
    <row r="8" spans="1:24" s="137" customFormat="1" ht="64" thickBot="1">
      <c r="A8" s="136"/>
      <c r="B8" s="180" t="s">
        <v>85</v>
      </c>
      <c r="C8" s="317" t="s">
        <v>86</v>
      </c>
      <c r="D8" s="184"/>
      <c r="E8" s="169"/>
      <c r="F8" s="166"/>
      <c r="G8" s="323"/>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8"/>
    </row>
    <row r="9" spans="1:24" s="137" customFormat="1" ht="64" thickBot="1">
      <c r="A9" s="136"/>
      <c r="B9" s="180" t="s">
        <v>87</v>
      </c>
      <c r="C9" s="317" t="s">
        <v>135</v>
      </c>
      <c r="D9" s="184"/>
      <c r="E9" s="169"/>
      <c r="F9" s="166"/>
      <c r="G9" s="323"/>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8"/>
    </row>
    <row r="10" spans="1:24" s="137" customFormat="1" ht="64" thickBot="1">
      <c r="A10" s="136"/>
      <c r="B10" s="180" t="s">
        <v>89</v>
      </c>
      <c r="C10" s="317" t="s">
        <v>90</v>
      </c>
      <c r="D10" s="184"/>
      <c r="E10" s="169"/>
      <c r="F10" s="166"/>
      <c r="G10" s="323"/>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8"/>
    </row>
    <row r="11" spans="1:24" s="137" customFormat="1" ht="22" thickBot="1">
      <c r="A11" s="136"/>
      <c r="B11" s="180" t="s">
        <v>91</v>
      </c>
      <c r="C11" s="317" t="s">
        <v>92</v>
      </c>
      <c r="D11" s="184"/>
      <c r="E11" s="169"/>
      <c r="F11" s="166"/>
      <c r="G11" s="323"/>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8"/>
    </row>
    <row r="12" spans="1:24" s="138" customFormat="1" ht="43" thickBot="1">
      <c r="A12" s="136"/>
      <c r="B12" s="180" t="s">
        <v>93</v>
      </c>
      <c r="C12" s="317" t="s">
        <v>94</v>
      </c>
      <c r="D12" s="184"/>
      <c r="E12" s="169"/>
      <c r="F12" s="166"/>
      <c r="G12" s="323"/>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299"/>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8" t="s">
        <v>95</v>
      </c>
      <c r="C2" s="358"/>
      <c r="D2" s="358"/>
      <c r="E2" s="358"/>
      <c r="F2" s="358"/>
      <c r="G2" s="1"/>
      <c r="H2" s="1"/>
      <c r="I2" s="1"/>
      <c r="J2" s="1"/>
      <c r="K2" s="1"/>
    </row>
    <row r="3" spans="1:11" ht="22" thickBot="1">
      <c r="A3" s="1"/>
      <c r="B3" s="2"/>
      <c r="C3" s="1"/>
      <c r="D3" s="1"/>
      <c r="E3" s="1"/>
      <c r="F3" s="1"/>
      <c r="G3" s="1"/>
      <c r="H3" s="1"/>
      <c r="I3" s="1"/>
      <c r="J3" s="1"/>
      <c r="K3" s="1"/>
    </row>
    <row r="4" spans="1:11" ht="59.25" customHeight="1">
      <c r="A4" s="359" t="s">
        <v>11</v>
      </c>
      <c r="B4" s="3">
        <v>3</v>
      </c>
      <c r="C4" s="4"/>
      <c r="D4" s="26"/>
      <c r="E4" s="5"/>
      <c r="F4" s="6"/>
      <c r="G4" s="7"/>
      <c r="H4" s="8" t="s">
        <v>23</v>
      </c>
      <c r="I4" s="9" t="s">
        <v>27</v>
      </c>
      <c r="J4" s="1"/>
      <c r="K4" s="1"/>
    </row>
    <row r="5" spans="1:11" ht="59.25" customHeight="1">
      <c r="A5" s="359"/>
      <c r="B5" s="10">
        <v>2</v>
      </c>
      <c r="C5" s="28"/>
      <c r="D5" s="11"/>
      <c r="E5" s="30"/>
      <c r="F5" s="13"/>
      <c r="G5" s="7"/>
      <c r="H5" s="27" t="s">
        <v>24</v>
      </c>
      <c r="I5" s="15" t="s">
        <v>28</v>
      </c>
      <c r="J5" s="1"/>
      <c r="K5" s="1"/>
    </row>
    <row r="6" spans="1:11" ht="59.25" customHeight="1">
      <c r="A6" s="359"/>
      <c r="B6" s="10">
        <v>1</v>
      </c>
      <c r="C6" s="29"/>
      <c r="D6" s="12"/>
      <c r="E6" s="16"/>
      <c r="F6" s="13"/>
      <c r="G6" s="7"/>
      <c r="H6" s="14" t="s">
        <v>25</v>
      </c>
      <c r="I6" s="18" t="s">
        <v>29</v>
      </c>
      <c r="J6" s="1"/>
      <c r="K6" s="1"/>
    </row>
    <row r="7" spans="1:11" ht="59.25" customHeight="1">
      <c r="A7" s="359"/>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0" t="s">
        <v>96</v>
      </c>
      <c r="D9" s="360"/>
      <c r="E9" s="360"/>
      <c r="F9" s="360"/>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6" t="s">
        <v>97</v>
      </c>
      <c r="C2" s="367"/>
      <c r="D2" s="370"/>
      <c r="E2" s="371"/>
      <c r="F2" s="372"/>
      <c r="G2" s="373"/>
      <c r="H2" s="374"/>
      <c r="I2" s="375"/>
      <c r="J2" s="111"/>
      <c r="K2" s="112"/>
      <c r="L2" s="112"/>
      <c r="M2" s="112"/>
      <c r="N2" s="112"/>
      <c r="O2" s="112"/>
      <c r="P2" s="112"/>
      <c r="Q2" s="112"/>
      <c r="R2" s="112"/>
      <c r="S2" s="112"/>
      <c r="T2" s="112"/>
      <c r="U2" s="112"/>
      <c r="V2" s="376" t="s">
        <v>98</v>
      </c>
      <c r="W2" s="377"/>
      <c r="X2" s="378"/>
      <c r="Y2" s="364" t="s">
        <v>99</v>
      </c>
      <c r="Z2" s="365"/>
    </row>
    <row r="3" spans="1:38" s="114" customFormat="1" ht="218" thickBot="1">
      <c r="A3" s="113"/>
      <c r="B3" s="368"/>
      <c r="C3" s="369"/>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1" t="str">
        <f>'ONR 1'!B2</f>
        <v xml:space="preserve">ONR 1  -   SOBRIÉTÉ : S'engager à optimiser les outils numériques pour limiter leurs impacts et consommation					</v>
      </c>
      <c r="C4" s="382"/>
      <c r="D4" s="382"/>
      <c r="E4" s="382"/>
      <c r="F4" s="382"/>
      <c r="G4" s="382"/>
      <c r="H4" s="382"/>
      <c r="I4" s="382"/>
      <c r="J4" s="382"/>
      <c r="K4" s="382"/>
      <c r="L4" s="382"/>
      <c r="M4" s="382"/>
      <c r="N4" s="382"/>
      <c r="O4" s="382"/>
      <c r="P4" s="382"/>
      <c r="Q4" s="382"/>
      <c r="R4" s="382"/>
      <c r="S4" s="382"/>
      <c r="T4" s="382"/>
      <c r="U4" s="382"/>
      <c r="V4" s="382"/>
      <c r="W4" s="382"/>
      <c r="X4" s="382"/>
      <c r="Y4" s="382"/>
      <c r="Z4" s="383"/>
      <c r="AB4" s="116" t="str">
        <f>B4</f>
        <v xml:space="preserve">ONR 1  -   SOBRIÉTÉ : S'engager à optimiser les outils numériques pour limiter leurs impacts et consommation					</v>
      </c>
      <c r="AC4" s="116">
        <f>SUMPRODUCT(--(B5:B11&lt;&gt;""))</f>
        <v>7</v>
      </c>
      <c r="AD4" s="116">
        <f>AC4-AE4</f>
        <v>0</v>
      </c>
      <c r="AE4" s="117">
        <f t="shared" ref="AE4:AL4" si="0">SUM(AE5:AE11)</f>
        <v>3</v>
      </c>
      <c r="AF4" s="117">
        <f t="shared" si="0"/>
        <v>2</v>
      </c>
      <c r="AG4" s="117">
        <f t="shared" si="0"/>
        <v>1</v>
      </c>
      <c r="AH4" s="117">
        <f t="shared" si="0"/>
        <v>1</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t="str">
        <f>'ONR 1'!D7</f>
        <v>Enjeux (opportunités et menaces) : Opportunité de réduire l'empreinte carbone globale de l'organisation et d'anticiper les futures réglementations environnementales. La menace est le coût initial potentiellement plus élevé d'équipements éco-conçus.</v>
      </c>
      <c r="E5" s="267">
        <f>'ONR 1'!E7</f>
        <v>3</v>
      </c>
      <c r="F5" s="274">
        <f>'ONR 1'!F7</f>
        <v>1</v>
      </c>
      <c r="G5" s="200" t="str">
        <f>'ONR 1'!G7</f>
        <v>Actuellement, le seul critère pris en compte lors des achats est le prix direct. Aucune analyse du cycle de vie (ACV) n'est demandée aux fournisseurs lors des appels d'offres</v>
      </c>
      <c r="H5" s="201">
        <f>'ONR 1'!H7</f>
        <v>3</v>
      </c>
      <c r="I5" s="225" t="str">
        <f>'ONR 1'!I7</f>
        <v>Faiblesse : manque de connaissances de l'équipe Achats sur les labels environnementaux informatiques. Force : volonté forte de la direction des achats d'évoluer vers des pratiques durables</v>
      </c>
      <c r="J5" s="226" t="str">
        <f>S5</f>
        <v>Intervention urgente</v>
      </c>
      <c r="K5" s="227">
        <f t="shared" ref="K5:K9" si="1">E5*10+F5</f>
        <v>31</v>
      </c>
      <c r="L5" s="227" t="b">
        <f>OR(K5=31)</f>
        <v>1</v>
      </c>
      <c r="M5" s="227" t="b">
        <f>OR(K5=21,K5=32)</f>
        <v>0</v>
      </c>
      <c r="N5" s="227" t="b">
        <f>OR(K5=22,K5=33)</f>
        <v>0</v>
      </c>
      <c r="O5" s="227" t="b">
        <f>OR(K5=11,K5=12)</f>
        <v>0</v>
      </c>
      <c r="P5" s="227" t="b">
        <f>OR(K5=23,K5=34)</f>
        <v>0</v>
      </c>
      <c r="Q5" s="227" t="b">
        <f>OR(K5=13,K5=14,K5=24)</f>
        <v>0</v>
      </c>
      <c r="R5" s="227" t="b">
        <f>OR(K5=1,K5=2,K5=3,K5=4)</f>
        <v>0</v>
      </c>
      <c r="S5" s="228" t="str">
        <f t="shared" ref="S5:S9" si="2">IF(COUNTA(E5:F5)&lt;2,"",(IF(L5=TRUE,$L$3,IF(M5=TRUE,$M$3,IF(N5=TRUE,$N$3,IF(O5=TRUE,$O$3,IF(P5=TRUE,$P$3,IF(Q5=TRUE,$Q$3,IF(R5=TRUE,$R$3,0)))))))))</f>
        <v>Intervention urgente</v>
      </c>
      <c r="T5" s="226">
        <f t="shared" ref="T5:T9" si="3">IF(COUNTA(E5:F5)&lt;2,"",(IF(L5=TRUE,6,IF(M5=TRUE,5,IF(N5=TRUE,4,IF(O5=TRUE,3,IF(P5=TRUE,2,IF(Q5=TRUE,1,IF(R5=TRUE,0,0)))))))))</f>
        <v>6</v>
      </c>
      <c r="U5" s="227">
        <f t="shared" ref="U5:U9" si="4">T5*10+H5</f>
        <v>63</v>
      </c>
      <c r="V5" s="229" t="str">
        <f t="shared" ref="V5:V11" si="5">G5</f>
        <v>Actuellement, le seul critère pris en compte lors des achats est le prix direct. Aucune analyse du cycle de vie (ACV) n'est demandée aux fournisseurs lors des appels d'offres</v>
      </c>
      <c r="W5" s="203" t="str">
        <f>'ONR 1'!V7</f>
        <v>Former l'équipe Achats aux critères du Numérique Responsable (labels TCO, EPEAT). Intégrer une pondération environnementale de 15% dans les prochains appels d'offres de renouvellement de serveurs</v>
      </c>
      <c r="X5" s="204">
        <f>'ONR 1'!W7</f>
        <v>0</v>
      </c>
      <c r="Y5" s="230" t="str">
        <f t="shared" ref="Y5:Y11" si="6">I5</f>
        <v>Faiblesse : manque de connaissances de l'équipe Achats sur les labels environnementaux informatiques. Force : volonté forte de la direction des achats d'évoluer vers des pratiques durables</v>
      </c>
      <c r="Z5" s="230" t="str">
        <f t="shared" ref="Z5:Z11" si="7">D5</f>
        <v>Enjeux (opportunités et menaces) : Opportunité de réduire l'empreinte carbone globale de l'organisation et d'anticiper les futures réglementations environnementales. La menace est le coût initial potentiellement plus élevé d'équipements éco-conçus.</v>
      </c>
      <c r="AE5" s="206">
        <f t="shared" ref="AE5:AE11" si="8">IF(K5=0,1,0)</f>
        <v>0</v>
      </c>
      <c r="AF5" s="206">
        <f t="shared" ref="AF5:AL11" si="9">IF(L5=TRUE,1,0)</f>
        <v>1</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t="str">
        <f>'ONR 1'!D8</f>
        <v>Enjeux (opportunités et menaces) : Opportunité de faire des économies budgétaires significatives (CAPEX) et de réduire drastiquement la production de déchets électroniques (DEEE).</v>
      </c>
      <c r="E6" s="268">
        <f>'ONR 1'!E8</f>
        <v>3</v>
      </c>
      <c r="F6" s="275">
        <f>'ONR 1'!F8</f>
        <v>3</v>
      </c>
      <c r="G6" s="207" t="str">
        <f>'ONR 1'!G8</f>
        <v>La durée de renouvellement standard des ordinateurs portables est passée de 3 ans à 4 ans l'année dernière. Un contrat de maintenance est en place.</v>
      </c>
      <c r="H6" s="201">
        <f>'ONR 1'!H8</f>
        <v>2</v>
      </c>
      <c r="I6" s="225" t="str">
        <f>'ONR 1'!I8</f>
        <v>Force : capacité technique à réparer en interne. Faiblesse : pression psychologique de certains utilisateurs exigeant du matériel neuf et esthétique.</v>
      </c>
      <c r="J6" s="232" t="str">
        <f t="shared" ref="J6:J9" si="10">S6</f>
        <v>Intervention à moyen terme</v>
      </c>
      <c r="K6" s="233">
        <f t="shared" si="1"/>
        <v>33</v>
      </c>
      <c r="L6" s="233" t="b">
        <f t="shared" ref="L6:L9" si="11">OR(K6=31)</f>
        <v>0</v>
      </c>
      <c r="M6" s="233" t="b">
        <f t="shared" ref="M6:M9" si="12">OR(K6=21,K6=32)</f>
        <v>0</v>
      </c>
      <c r="N6" s="233" t="b">
        <f t="shared" ref="N6:N9" si="13">OR(K6=22,K6=33)</f>
        <v>1</v>
      </c>
      <c r="O6" s="233" t="b">
        <f t="shared" ref="O6:O9" si="14">OR(K6=11,K6=12)</f>
        <v>0</v>
      </c>
      <c r="P6" s="233" t="b">
        <f t="shared" ref="P6:P9" si="15">OR(K6=23,K6=34)</f>
        <v>0</v>
      </c>
      <c r="Q6" s="233" t="b">
        <f t="shared" ref="Q6:Q9" si="16">OR(K6=13,K6=14,K6=24)</f>
        <v>0</v>
      </c>
      <c r="R6" s="233" t="b">
        <f t="shared" ref="R6:R9" si="17">OR(K6=1,K6=2,K6=3,K6=4)</f>
        <v>0</v>
      </c>
      <c r="S6" s="234" t="str">
        <f t="shared" si="2"/>
        <v>Intervention à moyen terme</v>
      </c>
      <c r="T6" s="232">
        <f t="shared" si="3"/>
        <v>4</v>
      </c>
      <c r="U6" s="233">
        <f t="shared" si="4"/>
        <v>42</v>
      </c>
      <c r="V6" s="235" t="str">
        <f t="shared" si="5"/>
        <v>La durée de renouvellement standard des ordinateurs portables est passée de 3 ans à 4 ans l'année dernière. Un contrat de maintenance est en place.</v>
      </c>
      <c r="W6" s="235" t="str">
        <f>'ONR 1'!V8</f>
        <v>Allonger la politique d'amortissement à 5 ans minimum. Créer un stock de pièces détachées pour faciliter les réparations rapides. Lancer une campagne de communication interne pour valoriser l'impact carbone évité en gardant son ordinateur plus longtemps</v>
      </c>
      <c r="X6" s="204">
        <f>'ONR 1'!W8</f>
        <v>0</v>
      </c>
      <c r="Y6" s="236" t="str">
        <f t="shared" si="6"/>
        <v>Force : capacité technique à réparer en interne. Faiblesse : pression psychologique de certains utilisateurs exigeant du matériel neuf et esthétique.</v>
      </c>
      <c r="Z6" s="236" t="str">
        <f t="shared" si="7"/>
        <v>Enjeux (opportunités et menaces) : Opportunité de faire des économies budgétaires significatives (CAPEX) et de réduire drastiquement la production de déchets électroniques (DEEE).</v>
      </c>
      <c r="AE6" s="206">
        <f t="shared" si="8"/>
        <v>0</v>
      </c>
      <c r="AF6" s="206">
        <f t="shared" si="9"/>
        <v>0</v>
      </c>
      <c r="AG6" s="206">
        <f t="shared" si="9"/>
        <v>0</v>
      </c>
      <c r="AH6" s="206">
        <f t="shared" si="9"/>
        <v>1</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t="str">
        <f>'ONR 1'!D9</f>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E7" s="268">
        <f>'ONR 1'!E9</f>
        <v>3</v>
      </c>
      <c r="F7" s="275">
        <f>'ONR 1'!F9</f>
        <v>2</v>
      </c>
      <c r="G7" s="207" t="str">
        <f>'ONR 1'!G9</f>
        <v>Documentation et mesures en place : Actuellement, les nouveaux services numériques ou sites web sont validés uniquement sur des critères fonctionnels, graphiques et financiers. Le "poids" informatique des pages et l'impact environnemental du code ne sont pas mesurés.</v>
      </c>
      <c r="H7" s="201">
        <f>'ONR 1'!H9</f>
        <v>2</v>
      </c>
      <c r="I7" s="225" t="str">
        <f>'ONR 1'!I9</f>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J7" s="232" t="str">
        <f t="shared" si="10"/>
        <v>Intervention prioritaire</v>
      </c>
      <c r="K7" s="233">
        <f t="shared" si="1"/>
        <v>32</v>
      </c>
      <c r="L7" s="233" t="b">
        <f t="shared" si="11"/>
        <v>0</v>
      </c>
      <c r="M7" s="233" t="b">
        <f t="shared" si="12"/>
        <v>1</v>
      </c>
      <c r="N7" s="233" t="b">
        <f t="shared" si="13"/>
        <v>0</v>
      </c>
      <c r="O7" s="233" t="b">
        <f t="shared" si="14"/>
        <v>0</v>
      </c>
      <c r="P7" s="233" t="b">
        <f t="shared" si="15"/>
        <v>0</v>
      </c>
      <c r="Q7" s="233" t="b">
        <f t="shared" si="16"/>
        <v>0</v>
      </c>
      <c r="R7" s="233" t="b">
        <f t="shared" si="17"/>
        <v>0</v>
      </c>
      <c r="S7" s="234" t="str">
        <f t="shared" si="2"/>
        <v>Intervention prioritaire</v>
      </c>
      <c r="T7" s="232">
        <f t="shared" si="3"/>
        <v>5</v>
      </c>
      <c r="U7" s="233">
        <f t="shared" si="4"/>
        <v>52</v>
      </c>
      <c r="V7" s="235" t="str">
        <f t="shared" si="5"/>
        <v>Documentation et mesures en place : Actuellement, les nouveaux services numériques ou sites web sont validés uniquement sur des critères fonctionnels, graphiques et financiers. Le "poids" informatique des pages et l'impact environnemental du code ne sont pas mesurés.</v>
      </c>
      <c r="W7" s="142" t="str">
        <f>'ONR 1'!V9</f>
        <v>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v>
      </c>
      <c r="X7" s="204">
        <f>'ONR 1'!W9</f>
        <v>0</v>
      </c>
      <c r="Y7" s="236" t="str">
        <f t="shared" si="6"/>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Z7" s="236" t="str">
        <f t="shared" si="7"/>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AE7" s="206">
        <f t="shared" si="8"/>
        <v>0</v>
      </c>
      <c r="AF7" s="206">
        <f t="shared" si="9"/>
        <v>0</v>
      </c>
      <c r="AG7" s="206">
        <f t="shared" si="9"/>
        <v>1</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t="str">
        <f>'ONR 1'!D13</f>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E11" s="270">
        <f>'ONR 1'!E13</f>
        <v>3</v>
      </c>
      <c r="F11" s="277">
        <f>'ONR 1'!F13</f>
        <v>1</v>
      </c>
      <c r="G11" s="211" t="str">
        <f>'ONR 1'!G13</f>
        <v>Actuellement, plusieurs projets d'IA générative (type ChatGPT) sont testés par les métiers, mais aucune mesure de leur impact énergétique n'est réalisée et aucune charte d'utilisation n'encadre le besoin réel</v>
      </c>
      <c r="H11" s="212">
        <f>'ONR 1'!H13</f>
        <v>2</v>
      </c>
      <c r="I11" s="225" t="str">
        <f>'ONR 1'!I13</f>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J11" s="232" t="str">
        <f t="shared" si="18"/>
        <v>Intervention urgente</v>
      </c>
      <c r="K11" s="233">
        <f t="shared" si="19"/>
        <v>31</v>
      </c>
      <c r="L11" s="233" t="b">
        <f t="shared" si="20"/>
        <v>1</v>
      </c>
      <c r="M11" s="233" t="b">
        <f t="shared" si="21"/>
        <v>0</v>
      </c>
      <c r="N11" s="233" t="b">
        <f t="shared" si="22"/>
        <v>0</v>
      </c>
      <c r="O11" s="233" t="b">
        <f t="shared" si="23"/>
        <v>0</v>
      </c>
      <c r="P11" s="233" t="b">
        <f t="shared" si="24"/>
        <v>0</v>
      </c>
      <c r="Q11" s="233" t="b">
        <f t="shared" si="25"/>
        <v>0</v>
      </c>
      <c r="R11" s="233" t="b">
        <f t="shared" si="26"/>
        <v>0</v>
      </c>
      <c r="S11" s="234" t="str">
        <f t="shared" si="27"/>
        <v>Intervention urgente</v>
      </c>
      <c r="T11" s="232">
        <f t="shared" si="28"/>
        <v>6</v>
      </c>
      <c r="U11" s="233">
        <f t="shared" si="29"/>
        <v>62</v>
      </c>
      <c r="V11" s="241" t="str">
        <f t="shared" si="5"/>
        <v>Actuellement, plusieurs projets d'IA générative (type ChatGPT) sont testés par les métiers, mais aucune mesure de leur impact énergétique n'est réalisée et aucune charte d'utilisation n'encadre le besoin réel</v>
      </c>
      <c r="W11" s="241" t="str">
        <f>'ONR 1'!V13</f>
        <v>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v>
      </c>
      <c r="X11" s="204">
        <f>'ONR 1'!W13</f>
        <v>0</v>
      </c>
      <c r="Y11" s="236" t="str">
        <f t="shared" si="6"/>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Z11" s="236" t="str">
        <f t="shared" si="7"/>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AE11" s="206">
        <f t="shared" si="8"/>
        <v>0</v>
      </c>
      <c r="AF11" s="206">
        <f t="shared" si="9"/>
        <v>1</v>
      </c>
      <c r="AG11" s="206">
        <f t="shared" si="9"/>
        <v>0</v>
      </c>
      <c r="AH11" s="206">
        <f t="shared" si="9"/>
        <v>0</v>
      </c>
      <c r="AI11" s="206">
        <f t="shared" si="9"/>
        <v>0</v>
      </c>
      <c r="AJ11" s="206">
        <f t="shared" si="9"/>
        <v>0</v>
      </c>
      <c r="AK11" s="206">
        <f t="shared" si="9"/>
        <v>0</v>
      </c>
      <c r="AL11" s="206">
        <f t="shared" si="9"/>
        <v>0</v>
      </c>
    </row>
    <row r="12" spans="1:38" s="116" customFormat="1" ht="23" thickBot="1">
      <c r="A12" s="115"/>
      <c r="B12" s="361" t="str">
        <f>'ONR 2'!B2</f>
        <v>ONR 2  -   INCLUSION : S'engager à développer des services numériques accessibles à toutes et tous, inclusifs et durables</v>
      </c>
      <c r="C12" s="362"/>
      <c r="D12" s="362"/>
      <c r="E12" s="362"/>
      <c r="F12" s="362"/>
      <c r="G12" s="362"/>
      <c r="H12" s="362"/>
      <c r="I12" s="362"/>
      <c r="J12" s="362"/>
      <c r="K12" s="362"/>
      <c r="L12" s="362"/>
      <c r="M12" s="362"/>
      <c r="N12" s="362"/>
      <c r="O12" s="362"/>
      <c r="P12" s="362"/>
      <c r="Q12" s="362"/>
      <c r="R12" s="362"/>
      <c r="S12" s="362"/>
      <c r="T12" s="362"/>
      <c r="U12" s="362"/>
      <c r="V12" s="362"/>
      <c r="W12" s="362"/>
      <c r="X12" s="362"/>
      <c r="Y12" s="362"/>
      <c r="Z12" s="379"/>
      <c r="AB12" s="116" t="str">
        <f>B12</f>
        <v>ONR 2  -   INCLUSION : S'engager à développer des services numériques accessibles à toutes et tous, inclusifs et durables</v>
      </c>
      <c r="AC12" s="116">
        <f>SUMPRODUCT(--(B13:B16&lt;&gt;""))</f>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0" t="str">
        <f>'ONR 3'!B2:C2</f>
        <v xml:space="preserve">ONR 3  -  RSE : S'engager pour des pratiques numériques éthiques et responsables </v>
      </c>
      <c r="C17" s="380"/>
      <c r="D17" s="380"/>
      <c r="E17" s="380"/>
      <c r="F17" s="380"/>
      <c r="G17" s="380"/>
      <c r="H17" s="380"/>
      <c r="I17" s="380"/>
      <c r="J17" s="380"/>
      <c r="K17" s="380"/>
      <c r="L17" s="380"/>
      <c r="M17" s="380"/>
      <c r="N17" s="380"/>
      <c r="O17" s="380"/>
      <c r="P17" s="380"/>
      <c r="Q17" s="380"/>
      <c r="R17" s="380"/>
      <c r="S17" s="380"/>
      <c r="T17" s="380"/>
      <c r="U17" s="380"/>
      <c r="V17" s="380"/>
      <c r="W17" s="380"/>
      <c r="X17" s="380"/>
      <c r="Y17" s="380"/>
      <c r="Z17" s="380"/>
      <c r="AB17" s="116" t="str">
        <f>B17</f>
        <v xml:space="preserve">ONR 3  -  RSE : S'engager pour des pratiques numériques éthiques et responsables </v>
      </c>
      <c r="AC17" s="116">
        <f>SUMPRODUCT(--(B18:B24&lt;&gt;""))</f>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1" t="str">
        <f>'ONR 4'!B2:C2</f>
        <v>ONR 4  -  RESILIENCE ET STRATEGIE :  S'engager vers un numérique responsable, indispensable pour assurer la résilience des organisations</v>
      </c>
      <c r="C25" s="362"/>
      <c r="D25" s="362"/>
      <c r="E25" s="362"/>
      <c r="F25" s="362"/>
      <c r="G25" s="362"/>
      <c r="H25" s="362"/>
      <c r="I25" s="362"/>
      <c r="J25" s="362"/>
      <c r="K25" s="362"/>
      <c r="L25" s="362"/>
      <c r="M25" s="362"/>
      <c r="N25" s="362"/>
      <c r="O25" s="362"/>
      <c r="P25" s="362"/>
      <c r="Q25" s="362"/>
      <c r="R25" s="362"/>
      <c r="S25" s="362"/>
      <c r="T25" s="362"/>
      <c r="U25" s="362"/>
      <c r="V25" s="362"/>
      <c r="W25" s="362"/>
      <c r="X25" s="362"/>
      <c r="Y25" s="362"/>
      <c r="Z25" s="379"/>
      <c r="AB25" s="116" t="str">
        <f>B25</f>
        <v>ONR 4  -  RESILIENCE ET STRATEGIE :  S'engager vers un numérique responsable, indispensable pour assurer la résilience des organisations</v>
      </c>
      <c r="AC25" s="116">
        <f>SUMPRODUCT(--(B26:B29&lt;&gt;""))</f>
        <v>4</v>
      </c>
      <c r="AD25" s="116">
        <f>AC25-AE25</f>
        <v>0</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1" t="str">
        <f>'ONR 5'!B2:C2</f>
        <v>ONR 5  -  MANAGEMENT :  S'engager à faire les choses avec sens en respectant et en préservant les ressources qui produisent</v>
      </c>
      <c r="C30" s="362"/>
      <c r="D30" s="362"/>
      <c r="E30" s="362"/>
      <c r="F30" s="362"/>
      <c r="G30" s="362"/>
      <c r="H30" s="362"/>
      <c r="I30" s="362"/>
      <c r="J30" s="362"/>
      <c r="K30" s="362"/>
      <c r="L30" s="362"/>
      <c r="M30" s="362"/>
      <c r="N30" s="362"/>
      <c r="O30" s="362"/>
      <c r="P30" s="362"/>
      <c r="Q30" s="362"/>
      <c r="R30" s="362"/>
      <c r="S30" s="362"/>
      <c r="T30" s="362"/>
      <c r="U30" s="362"/>
      <c r="V30" s="362"/>
      <c r="W30" s="362"/>
      <c r="X30" s="362"/>
      <c r="Y30" s="362"/>
      <c r="Z30" s="363"/>
      <c r="AB30" s="116" t="str">
        <f>B30</f>
        <v>ONR 5  -  MANAGEMENT :  S'engager à faire les choses avec sens en respectant et en préservant les ressources qui produisent</v>
      </c>
      <c r="AC30" s="116">
        <f>SUMPRODUCT(--(B31:B36&lt;&gt;""))</f>
        <v>6</v>
      </c>
      <c r="AD30" s="116">
        <f>AC30-AE30</f>
        <v>0</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5" t="s">
        <v>124</v>
      </c>
      <c r="C2" s="386"/>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7" t="s">
        <v>125</v>
      </c>
      <c r="C3" s="388"/>
      <c r="D3" s="45">
        <f t="shared" ref="D3:M3" si="0">SUM(D4:D8)</f>
        <v>28</v>
      </c>
      <c r="E3" s="65">
        <f t="shared" si="0"/>
        <v>3</v>
      </c>
      <c r="F3" s="63">
        <f t="shared" si="0"/>
        <v>24</v>
      </c>
      <c r="G3" s="262">
        <f t="shared" si="0"/>
        <v>2</v>
      </c>
      <c r="H3" s="263">
        <f t="shared" si="0"/>
        <v>1</v>
      </c>
      <c r="I3" s="262">
        <f t="shared" si="0"/>
        <v>1</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7</v>
      </c>
      <c r="E4" s="66" t="str">
        <f>IF('Résultats détaillés'!AD4=0,"",'Résultats détaillés'!AD4)</f>
        <v/>
      </c>
      <c r="F4" s="64">
        <f>IF('Résultats détaillés'!AE4=0,"",'Résultats détaillés'!AE4)</f>
        <v>3</v>
      </c>
      <c r="G4" s="44">
        <f>IF('Résultats détaillés'!AF4=0,"",'Résultats détaillés'!AF4)</f>
        <v>2</v>
      </c>
      <c r="H4" s="44">
        <f>IF('Résultats détaillés'!AG4=0,"",'Résultats détaillés'!AG4)</f>
        <v>1</v>
      </c>
      <c r="I4" s="44">
        <f>IF('Résultats détaillés'!AH4=0,"",'Résultats détaillés'!AH4)</f>
        <v>1</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4</v>
      </c>
      <c r="E7" s="66" t="str">
        <f>IF('Résultats détaillés'!AD25=0,"",'Résultats détaillés'!AD25)</f>
        <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6</v>
      </c>
      <c r="E8" s="66" t="str">
        <f>IF('Résultats détaillés'!AD30=0,"",'Résultats détaillés'!AD30)</f>
        <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1" t="s">
        <v>126</v>
      </c>
      <c r="C10" s="391"/>
    </row>
    <row r="11" spans="2:32" s="1" customFormat="1" ht="20.25" customHeight="1">
      <c r="B11" s="392" t="s">
        <v>127</v>
      </c>
      <c r="C11" s="392"/>
    </row>
    <row r="12" spans="2:32" s="1" customFormat="1" ht="20.25" customHeight="1">
      <c r="B12" s="393" t="s">
        <v>128</v>
      </c>
      <c r="C12" s="393"/>
    </row>
    <row r="13" spans="2:32" s="1" customFormat="1" ht="20.25" customHeight="1">
      <c r="B13" s="389" t="s">
        <v>129</v>
      </c>
      <c r="C13" s="389"/>
    </row>
    <row r="14" spans="2:32" s="1" customFormat="1" ht="20.25" customHeight="1">
      <c r="B14" s="390" t="s">
        <v>130</v>
      </c>
      <c r="C14" s="390"/>
    </row>
    <row r="15" spans="2:32" s="1" customFormat="1"/>
    <row r="16" spans="2:32" s="1" customFormat="1"/>
    <row r="17" spans="3:13" s="1" customFormat="1"/>
    <row r="18" spans="3:13" s="1" customFormat="1"/>
    <row r="19" spans="3:13" s="1" customFormat="1" ht="24">
      <c r="C19" s="384"/>
      <c r="D19" s="384"/>
      <c r="E19" s="283"/>
      <c r="F19" s="283"/>
      <c r="G19" s="282"/>
      <c r="H19" s="282"/>
      <c r="I19" s="282"/>
      <c r="J19" s="282"/>
      <c r="K19" s="282"/>
      <c r="L19" s="282"/>
      <c r="M19" s="282"/>
    </row>
    <row r="20" spans="3:13" s="1" customFormat="1" ht="16">
      <c r="C20" s="284"/>
      <c r="D20" s="284"/>
      <c r="E20" s="285"/>
      <c r="F20" s="285"/>
      <c r="G20" s="285"/>
      <c r="H20" s="285"/>
      <c r="I20" s="285"/>
      <c r="J20" s="285"/>
      <c r="K20" s="285"/>
      <c r="L20" s="285"/>
      <c r="M20" s="285"/>
    </row>
    <row r="21" spans="3:13" s="1" customFormat="1" ht="16">
      <c r="C21" s="284"/>
      <c r="D21" s="284"/>
      <c r="E21" s="285"/>
      <c r="F21" s="285"/>
      <c r="G21" s="285"/>
      <c r="H21" s="285"/>
      <c r="I21" s="285"/>
      <c r="J21" s="285"/>
      <c r="K21" s="285"/>
      <c r="L21" s="285"/>
      <c r="M21" s="285"/>
    </row>
    <row r="22" spans="3:13" s="1" customFormat="1" ht="16">
      <c r="C22" s="284"/>
      <c r="D22" s="284"/>
      <c r="E22" s="285"/>
      <c r="F22" s="285"/>
      <c r="G22" s="285"/>
      <c r="H22" s="285"/>
      <c r="I22" s="285"/>
      <c r="J22" s="285"/>
      <c r="K22" s="285"/>
      <c r="L22" s="285"/>
      <c r="M22" s="285"/>
    </row>
    <row r="23" spans="3:13" s="1" customFormat="1" ht="16">
      <c r="C23" s="284"/>
      <c r="D23" s="284"/>
      <c r="E23" s="285"/>
      <c r="F23" s="285"/>
      <c r="G23" s="285"/>
      <c r="H23" s="285"/>
      <c r="I23" s="285"/>
      <c r="J23" s="285"/>
      <c r="K23" s="285"/>
      <c r="L23" s="285"/>
      <c r="M23" s="285"/>
    </row>
    <row r="24" spans="3:13" s="1" customFormat="1" ht="16">
      <c r="C24" s="284"/>
      <c r="D24" s="284"/>
      <c r="E24" s="285"/>
      <c r="F24" s="285"/>
      <c r="G24" s="285"/>
      <c r="H24" s="285"/>
      <c r="I24" s="285"/>
      <c r="J24" s="285"/>
      <c r="K24" s="285"/>
      <c r="L24" s="285"/>
      <c r="M24" s="285"/>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