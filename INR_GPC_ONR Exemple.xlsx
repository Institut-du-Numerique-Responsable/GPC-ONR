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13_ncr:1_{9DC4FCC2-3E29-434C-BFB1-3F4DB744CD08}" xr6:coauthVersionLast="47" xr6:coauthVersionMax="47" xr10:uidLastSave="{00000000-0000-0000-0000-000000000000}"/>
  <bookViews>
    <workbookView xWindow="24020" yWindow="2900" windowWidth="32420" windowHeight="19880" tabRatio="879" activeTab="3"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ullCalcOnLoad="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X36" i="45" l="1"/>
  <c r="X34" i="45"/>
  <c r="X35" i="45"/>
  <c r="X32" i="45"/>
  <c r="X33" i="45"/>
  <c r="X31" i="45"/>
  <c r="X29" i="45"/>
  <c r="X27" i="45"/>
  <c r="X28" i="45"/>
  <c r="X26" i="45"/>
  <c r="X23" i="45"/>
  <c r="X24" i="45"/>
  <c r="X21" i="45"/>
  <c r="X22" i="45"/>
  <c r="X19" i="45"/>
  <c r="X20" i="45"/>
  <c r="X18" i="45"/>
  <c r="X16" i="45"/>
  <c r="X14" i="45"/>
  <c r="X15" i="45"/>
  <c r="X13" i="45"/>
  <c r="X11" i="45"/>
  <c r="X6" i="45"/>
  <c r="X7" i="45"/>
  <c r="X8" i="45"/>
  <c r="X9" i="45"/>
  <c r="X10" i="45"/>
  <c r="X5" i="45"/>
  <c r="W6" i="45"/>
  <c r="B10" i="45"/>
  <c r="C10" i="45"/>
  <c r="D10" i="45"/>
  <c r="Z10" i="45" s="1"/>
  <c r="E10" i="45"/>
  <c r="F10" i="45"/>
  <c r="G10" i="45"/>
  <c r="V10" i="45" s="1"/>
  <c r="H10" i="45"/>
  <c r="I10" i="45"/>
  <c r="Y10" i="45" s="1"/>
  <c r="W10" i="45"/>
  <c r="B11" i="45"/>
  <c r="C11" i="45"/>
  <c r="D11" i="45"/>
  <c r="Z11" i="45" s="1"/>
  <c r="E11" i="45"/>
  <c r="F11" i="45"/>
  <c r="G11" i="45"/>
  <c r="V11" i="45" s="1"/>
  <c r="H11" i="45"/>
  <c r="I11" i="45"/>
  <c r="Y11" i="45" s="1"/>
  <c r="W11" i="45"/>
  <c r="B14" i="45"/>
  <c r="C14" i="45"/>
  <c r="D14" i="45"/>
  <c r="Z14" i="45" s="1"/>
  <c r="E14" i="45"/>
  <c r="F14" i="45"/>
  <c r="G14" i="45"/>
  <c r="V14" i="45" s="1"/>
  <c r="H14" i="45"/>
  <c r="I14" i="45"/>
  <c r="Y14" i="45" s="1"/>
  <c r="W14" i="45"/>
  <c r="B15" i="45"/>
  <c r="C15" i="45"/>
  <c r="D15" i="45"/>
  <c r="Z15" i="45" s="1"/>
  <c r="E15" i="45"/>
  <c r="F15" i="45"/>
  <c r="G15" i="45"/>
  <c r="V15" i="45" s="1"/>
  <c r="H15" i="45"/>
  <c r="I15" i="45"/>
  <c r="Y15" i="45" s="1"/>
  <c r="W15" i="45"/>
  <c r="B16" i="45"/>
  <c r="C16" i="45"/>
  <c r="D16" i="45"/>
  <c r="Z16" i="45" s="1"/>
  <c r="E16" i="45"/>
  <c r="F16" i="45"/>
  <c r="G16" i="45"/>
  <c r="V16" i="45" s="1"/>
  <c r="H16" i="45"/>
  <c r="I16" i="45"/>
  <c r="Y16" i="45" s="1"/>
  <c r="W16" i="45"/>
  <c r="B28" i="45"/>
  <c r="C28" i="45"/>
  <c r="D28" i="45"/>
  <c r="Z28" i="45" s="1"/>
  <c r="E28" i="45"/>
  <c r="F28" i="45"/>
  <c r="K28" i="45" s="1"/>
  <c r="P28" i="45" s="1"/>
  <c r="AJ28" i="45" s="1"/>
  <c r="G28" i="45"/>
  <c r="V28" i="45" s="1"/>
  <c r="H28" i="45"/>
  <c r="I28" i="45"/>
  <c r="Y28" i="45" s="1"/>
  <c r="W28" i="45"/>
  <c r="B29" i="45"/>
  <c r="C29" i="45"/>
  <c r="D29" i="45"/>
  <c r="Z29" i="45" s="1"/>
  <c r="E29" i="45"/>
  <c r="F29" i="45"/>
  <c r="G29" i="45"/>
  <c r="V29" i="45" s="1"/>
  <c r="H29" i="45"/>
  <c r="I29" i="45"/>
  <c r="Y29" i="45" s="1"/>
  <c r="W29" i="45"/>
  <c r="B36" i="45"/>
  <c r="C36" i="45"/>
  <c r="D36" i="45"/>
  <c r="Z36" i="45" s="1"/>
  <c r="E36" i="45"/>
  <c r="F36" i="45"/>
  <c r="G36" i="45"/>
  <c r="V36" i="45" s="1"/>
  <c r="H36" i="45"/>
  <c r="I36" i="45"/>
  <c r="Y36" i="45" s="1"/>
  <c r="W36" i="45"/>
  <c r="G2" i="65"/>
  <c r="I5" i="45"/>
  <c r="K11" i="49"/>
  <c r="L11" i="49" s="1"/>
  <c r="K12" i="49"/>
  <c r="M12" i="49" s="1"/>
  <c r="K10" i="48"/>
  <c r="O10" i="48" s="1"/>
  <c r="S10" i="48"/>
  <c r="J10" i="48" s="1"/>
  <c r="K7" i="49"/>
  <c r="R7" i="49" s="1"/>
  <c r="K13" i="46"/>
  <c r="L13" i="46" s="1"/>
  <c r="H32" i="45"/>
  <c r="H33" i="45"/>
  <c r="H34" i="45"/>
  <c r="H35" i="45"/>
  <c r="H31" i="45"/>
  <c r="F32" i="45"/>
  <c r="F33" i="45"/>
  <c r="F34" i="45"/>
  <c r="F35" i="45"/>
  <c r="F31" i="45"/>
  <c r="C32" i="45"/>
  <c r="C33" i="45"/>
  <c r="C34" i="45"/>
  <c r="C35" i="45"/>
  <c r="E32" i="45"/>
  <c r="E33" i="45"/>
  <c r="E34" i="45"/>
  <c r="E35" i="45"/>
  <c r="E31" i="45"/>
  <c r="H5" i="45"/>
  <c r="K12" i="46"/>
  <c r="O12" i="46" s="1"/>
  <c r="K11" i="46"/>
  <c r="R11" i="46" s="1"/>
  <c r="K10" i="46"/>
  <c r="Q10" i="46" s="1"/>
  <c r="K9" i="46"/>
  <c r="O9" i="46" s="1"/>
  <c r="K8" i="46"/>
  <c r="O8" i="46" s="1"/>
  <c r="K7" i="46"/>
  <c r="D18" i="45"/>
  <c r="D19" i="45"/>
  <c r="Z19" i="45" s="1"/>
  <c r="D20" i="45"/>
  <c r="Z20" i="45" s="1"/>
  <c r="D21" i="45"/>
  <c r="Z21" i="45" s="1"/>
  <c r="D22" i="45"/>
  <c r="Z22" i="45" s="1"/>
  <c r="D23" i="45"/>
  <c r="Z23" i="45" s="1"/>
  <c r="K7" i="21"/>
  <c r="N7" i="21" s="1"/>
  <c r="K8" i="21"/>
  <c r="L8" i="21" s="1"/>
  <c r="K9" i="21"/>
  <c r="M9" i="21" s="1"/>
  <c r="K10" i="21"/>
  <c r="L10" i="21" s="1"/>
  <c r="E18" i="45"/>
  <c r="F18" i="45"/>
  <c r="G18" i="45"/>
  <c r="H18" i="45"/>
  <c r="I18" i="45"/>
  <c r="E19" i="45"/>
  <c r="F19" i="45"/>
  <c r="G19" i="45"/>
  <c r="H19" i="45"/>
  <c r="I19" i="45"/>
  <c r="E20" i="45"/>
  <c r="F20" i="45"/>
  <c r="G20" i="45"/>
  <c r="H20" i="45"/>
  <c r="I20" i="45"/>
  <c r="E21" i="45"/>
  <c r="F21" i="45"/>
  <c r="G21" i="45"/>
  <c r="H21" i="45"/>
  <c r="I21" i="45"/>
  <c r="E22" i="45"/>
  <c r="F22" i="45"/>
  <c r="G22" i="45"/>
  <c r="H22" i="45"/>
  <c r="I22" i="45"/>
  <c r="E23" i="45"/>
  <c r="F23" i="45"/>
  <c r="G23" i="45"/>
  <c r="H23" i="45"/>
  <c r="I23" i="45"/>
  <c r="K13" i="47"/>
  <c r="O13" i="47" s="1"/>
  <c r="K12" i="47"/>
  <c r="O12" i="47" s="1"/>
  <c r="K11" i="47"/>
  <c r="R11" i="47" s="1"/>
  <c r="K10" i="47"/>
  <c r="O10" i="47" s="1"/>
  <c r="K9" i="47"/>
  <c r="O9" i="47" s="1"/>
  <c r="K8" i="47"/>
  <c r="O8" i="47" s="1"/>
  <c r="K7" i="47"/>
  <c r="R7" i="47" s="1"/>
  <c r="K36" i="45" l="1"/>
  <c r="N36" i="45" s="1"/>
  <c r="AH36" i="45" s="1"/>
  <c r="N11" i="49"/>
  <c r="R11" i="49"/>
  <c r="Q11" i="49"/>
  <c r="P11" i="49"/>
  <c r="O11" i="49"/>
  <c r="M11" i="49"/>
  <c r="P7" i="49"/>
  <c r="O7" i="49"/>
  <c r="N7" i="49"/>
  <c r="Q7" i="49"/>
  <c r="M7" i="49"/>
  <c r="L28" i="45"/>
  <c r="AF28" i="45" s="1"/>
  <c r="N10" i="48"/>
  <c r="M10" i="48"/>
  <c r="L10" i="48"/>
  <c r="K10" i="45"/>
  <c r="R13" i="46"/>
  <c r="P36" i="45"/>
  <c r="AJ36" i="45" s="1"/>
  <c r="L36" i="45"/>
  <c r="AF36" i="45" s="1"/>
  <c r="T11" i="49"/>
  <c r="U11" i="49" s="1"/>
  <c r="S11" i="49"/>
  <c r="J11" i="49" s="1"/>
  <c r="K16" i="45"/>
  <c r="Q16" i="45" s="1"/>
  <c r="R16" i="45"/>
  <c r="L16" i="45"/>
  <c r="M16" i="45"/>
  <c r="N16" i="45"/>
  <c r="O16" i="45"/>
  <c r="K14" i="45"/>
  <c r="L14" i="45" s="1"/>
  <c r="AF14" i="45" s="1"/>
  <c r="O36" i="45"/>
  <c r="AI36" i="45" s="1"/>
  <c r="M36" i="45"/>
  <c r="AG36" i="45" s="1"/>
  <c r="AE28" i="45"/>
  <c r="O28" i="45"/>
  <c r="AI28" i="45" s="1"/>
  <c r="N28" i="45"/>
  <c r="AH28" i="45" s="1"/>
  <c r="M28" i="45"/>
  <c r="AG28" i="45" s="1"/>
  <c r="AE36" i="45"/>
  <c r="P10" i="45"/>
  <c r="AJ10" i="45" s="1"/>
  <c r="L10" i="45"/>
  <c r="AF10" i="45" s="1"/>
  <c r="M10" i="45"/>
  <c r="AG10" i="45" s="1"/>
  <c r="O13" i="46"/>
  <c r="K11" i="45"/>
  <c r="M11" i="45" s="1"/>
  <c r="AE10" i="45"/>
  <c r="O10" i="45"/>
  <c r="AI10" i="45" s="1"/>
  <c r="N10" i="45"/>
  <c r="AH10" i="45" s="1"/>
  <c r="R10" i="45"/>
  <c r="AL10" i="45" s="1"/>
  <c r="Q10" i="45"/>
  <c r="AK10" i="45" s="1"/>
  <c r="K15" i="45"/>
  <c r="AE15" i="45" s="1"/>
  <c r="K29" i="45"/>
  <c r="L29" i="45" s="1"/>
  <c r="AF29" i="45" s="1"/>
  <c r="R28" i="45"/>
  <c r="AL28" i="45" s="1"/>
  <c r="Q28" i="45"/>
  <c r="AK28" i="45" s="1"/>
  <c r="R36" i="45"/>
  <c r="AL36" i="45" s="1"/>
  <c r="Q36" i="45"/>
  <c r="AK36" i="45" s="1"/>
  <c r="T10" i="48"/>
  <c r="U10" i="48" s="1"/>
  <c r="L7" i="49"/>
  <c r="Q13" i="46"/>
  <c r="P13" i="46"/>
  <c r="N13" i="46"/>
  <c r="Q10" i="48"/>
  <c r="R10" i="48"/>
  <c r="P10" i="48"/>
  <c r="L12" i="49"/>
  <c r="N12" i="49"/>
  <c r="R12" i="49"/>
  <c r="Q12" i="49"/>
  <c r="P12" i="49"/>
  <c r="O12" i="49"/>
  <c r="M13" i="46"/>
  <c r="Q7" i="21"/>
  <c r="P7" i="21"/>
  <c r="O7" i="21"/>
  <c r="L7" i="21"/>
  <c r="M7" i="21"/>
  <c r="S7" i="21" s="1"/>
  <c r="J7" i="21" s="1"/>
  <c r="K21" i="45"/>
  <c r="M21" i="45" s="1"/>
  <c r="Q9" i="46"/>
  <c r="R9" i="46"/>
  <c r="L9" i="46"/>
  <c r="M9" i="46"/>
  <c r="N9" i="46"/>
  <c r="P9" i="46"/>
  <c r="K19" i="45"/>
  <c r="O19" i="45" s="1"/>
  <c r="R10" i="21"/>
  <c r="Q10" i="21"/>
  <c r="O10" i="21"/>
  <c r="N10" i="21"/>
  <c r="M10" i="21"/>
  <c r="P9" i="21"/>
  <c r="O9" i="21"/>
  <c r="L9" i="21"/>
  <c r="R8" i="21"/>
  <c r="O8" i="21"/>
  <c r="N8" i="21"/>
  <c r="N10" i="46"/>
  <c r="R10" i="46"/>
  <c r="Q12" i="46"/>
  <c r="P12" i="46"/>
  <c r="L12" i="46"/>
  <c r="M12" i="46"/>
  <c r="P8" i="46"/>
  <c r="Q8" i="46"/>
  <c r="L8" i="46"/>
  <c r="M8" i="46"/>
  <c r="R7" i="46"/>
  <c r="N7" i="46"/>
  <c r="L7" i="46"/>
  <c r="Q7" i="46"/>
  <c r="M7" i="46"/>
  <c r="P7" i="46"/>
  <c r="O7" i="46"/>
  <c r="O10" i="46"/>
  <c r="L11" i="46"/>
  <c r="P11" i="46"/>
  <c r="N8" i="46"/>
  <c r="R8" i="46"/>
  <c r="L10" i="46"/>
  <c r="P10" i="46"/>
  <c r="M11" i="46"/>
  <c r="Q11" i="46"/>
  <c r="N12" i="46"/>
  <c r="R12" i="46"/>
  <c r="O11" i="46"/>
  <c r="M10" i="46"/>
  <c r="N11" i="46"/>
  <c r="Q8" i="21"/>
  <c r="M8" i="21"/>
  <c r="P10" i="21"/>
  <c r="R9" i="21"/>
  <c r="N9" i="21"/>
  <c r="P8" i="21"/>
  <c r="R7" i="21"/>
  <c r="Q9" i="21"/>
  <c r="K23" i="45"/>
  <c r="K20" i="45"/>
  <c r="P20" i="45" s="1"/>
  <c r="K22" i="45"/>
  <c r="P22" i="45" s="1"/>
  <c r="K18" i="45"/>
  <c r="N18" i="45" s="1"/>
  <c r="M13" i="47"/>
  <c r="P13" i="47"/>
  <c r="Q13" i="47"/>
  <c r="L13" i="47"/>
  <c r="L12" i="47"/>
  <c r="P12" i="47"/>
  <c r="P10" i="47"/>
  <c r="Q10" i="47"/>
  <c r="M10" i="47"/>
  <c r="R10" i="47"/>
  <c r="N10" i="47"/>
  <c r="L10" i="47"/>
  <c r="L9" i="47"/>
  <c r="M9" i="47"/>
  <c r="P9" i="47"/>
  <c r="Q9" i="47"/>
  <c r="L8" i="47"/>
  <c r="P8" i="47"/>
  <c r="O11" i="47"/>
  <c r="L7" i="47"/>
  <c r="P7" i="47"/>
  <c r="M8" i="47"/>
  <c r="Q8" i="47"/>
  <c r="N9" i="47"/>
  <c r="R9" i="47"/>
  <c r="L11" i="47"/>
  <c r="P11" i="47"/>
  <c r="M12" i="47"/>
  <c r="Q12" i="47"/>
  <c r="N13" i="47"/>
  <c r="R13" i="47"/>
  <c r="O7" i="47"/>
  <c r="M7" i="47"/>
  <c r="Q7" i="47"/>
  <c r="N8" i="47"/>
  <c r="R8" i="47"/>
  <c r="M11" i="47"/>
  <c r="Q11" i="47"/>
  <c r="N12" i="47"/>
  <c r="R12" i="47"/>
  <c r="N7" i="47"/>
  <c r="N11" i="47"/>
  <c r="O29" i="45" l="1"/>
  <c r="AI29" i="45" s="1"/>
  <c r="N29" i="45"/>
  <c r="AH29" i="45" s="1"/>
  <c r="P16" i="45"/>
  <c r="M29" i="45"/>
  <c r="AG29" i="45" s="1"/>
  <c r="O14" i="45"/>
  <c r="AI14" i="45" s="1"/>
  <c r="M14" i="45"/>
  <c r="AG14" i="45" s="1"/>
  <c r="N14" i="45"/>
  <c r="AH14" i="45" s="1"/>
  <c r="AE14" i="45"/>
  <c r="T16" i="45"/>
  <c r="U16" i="45" s="1"/>
  <c r="P14" i="45"/>
  <c r="AJ14" i="45" s="1"/>
  <c r="R14" i="45"/>
  <c r="AL14" i="45" s="1"/>
  <c r="S10" i="21"/>
  <c r="S36" i="45"/>
  <c r="J36" i="45" s="1"/>
  <c r="Q14" i="45"/>
  <c r="AK14" i="45" s="1"/>
  <c r="T36" i="45"/>
  <c r="U36" i="45" s="1"/>
  <c r="L11" i="45"/>
  <c r="S16" i="45"/>
  <c r="J16" i="45" s="1"/>
  <c r="P29" i="45"/>
  <c r="AJ29" i="45" s="1"/>
  <c r="AE29" i="45"/>
  <c r="T28" i="45"/>
  <c r="U28" i="45" s="1"/>
  <c r="S28" i="45"/>
  <c r="J28" i="45" s="1"/>
  <c r="O23" i="45"/>
  <c r="AI23" i="45" s="1"/>
  <c r="AE23" i="45"/>
  <c r="O11" i="45"/>
  <c r="P11" i="45"/>
  <c r="R11" i="45"/>
  <c r="Q11" i="45"/>
  <c r="N11" i="45"/>
  <c r="S8" i="21"/>
  <c r="J8" i="21" s="1"/>
  <c r="S10" i="45"/>
  <c r="J10" i="45" s="1"/>
  <c r="T10" i="45"/>
  <c r="U10" i="45" s="1"/>
  <c r="R29" i="45"/>
  <c r="AL29" i="45" s="1"/>
  <c r="Q29" i="45"/>
  <c r="AK29" i="45" s="1"/>
  <c r="L15" i="45"/>
  <c r="AF15" i="45" s="1"/>
  <c r="M15" i="45"/>
  <c r="AG15" i="45" s="1"/>
  <c r="N15" i="45"/>
  <c r="AH15" i="45" s="1"/>
  <c r="O15" i="45"/>
  <c r="AI15" i="45" s="1"/>
  <c r="P15" i="45"/>
  <c r="AJ15" i="45" s="1"/>
  <c r="Q15" i="45"/>
  <c r="AK15" i="45" s="1"/>
  <c r="R15" i="45"/>
  <c r="AL15" i="45" s="1"/>
  <c r="S29" i="45"/>
  <c r="J29" i="45" s="1"/>
  <c r="S12" i="49"/>
  <c r="J12" i="49" s="1"/>
  <c r="T12" i="49"/>
  <c r="U12" i="49" s="1"/>
  <c r="S7" i="49"/>
  <c r="J7" i="49" s="1"/>
  <c r="T7" i="49"/>
  <c r="U7" i="49" s="1"/>
  <c r="T13" i="46"/>
  <c r="U13" i="46" s="1"/>
  <c r="S13" i="46"/>
  <c r="J13" i="46" s="1"/>
  <c r="T7" i="21"/>
  <c r="U7" i="21" s="1"/>
  <c r="O21" i="45"/>
  <c r="N21" i="45"/>
  <c r="L21" i="45"/>
  <c r="P21" i="45"/>
  <c r="R21" i="45"/>
  <c r="Q21" i="45"/>
  <c r="T10" i="21"/>
  <c r="U10" i="21" s="1"/>
  <c r="M19" i="45"/>
  <c r="Q19" i="45"/>
  <c r="N19" i="45"/>
  <c r="P19" i="45"/>
  <c r="L19" i="45"/>
  <c r="R19" i="45"/>
  <c r="S11" i="46"/>
  <c r="J11" i="46" s="1"/>
  <c r="T11" i="46"/>
  <c r="U11" i="46" s="1"/>
  <c r="S10" i="46"/>
  <c r="J10" i="46" s="1"/>
  <c r="T10" i="46"/>
  <c r="U10" i="46" s="1"/>
  <c r="T9" i="46"/>
  <c r="U9" i="46" s="1"/>
  <c r="S9" i="46"/>
  <c r="J9" i="46" s="1"/>
  <c r="T8" i="46"/>
  <c r="U8" i="46" s="1"/>
  <c r="S8" i="46"/>
  <c r="J8" i="46" s="1"/>
  <c r="R23" i="45"/>
  <c r="AL23" i="45" s="1"/>
  <c r="L23" i="45"/>
  <c r="AF23" i="45" s="1"/>
  <c r="P23" i="45"/>
  <c r="AJ23" i="45" s="1"/>
  <c r="N22" i="45"/>
  <c r="R20" i="45"/>
  <c r="L18" i="45"/>
  <c r="S9" i="21"/>
  <c r="J9" i="21" s="1"/>
  <c r="T9" i="21"/>
  <c r="U9" i="21" s="1"/>
  <c r="T8" i="21"/>
  <c r="U8" i="21" s="1"/>
  <c r="S12" i="46"/>
  <c r="J12" i="46" s="1"/>
  <c r="T12" i="46"/>
  <c r="U12" i="46" s="1"/>
  <c r="T7" i="46"/>
  <c r="U7" i="46" s="1"/>
  <c r="S7" i="46"/>
  <c r="J7" i="46" s="1"/>
  <c r="Q18" i="45"/>
  <c r="O18" i="45"/>
  <c r="M18" i="45"/>
  <c r="R18" i="45"/>
  <c r="P18" i="45"/>
  <c r="L22" i="45"/>
  <c r="Q20" i="45"/>
  <c r="O20" i="45"/>
  <c r="O22" i="45"/>
  <c r="L20" i="45"/>
  <c r="Q22" i="45"/>
  <c r="R22" i="45"/>
  <c r="Q23" i="45"/>
  <c r="AK23" i="45" s="1"/>
  <c r="N23" i="45"/>
  <c r="AH23" i="45" s="1"/>
  <c r="M22" i="45"/>
  <c r="M20" i="45"/>
  <c r="N20" i="45"/>
  <c r="M23" i="45"/>
  <c r="AG23" i="45" s="1"/>
  <c r="S13" i="47"/>
  <c r="J13" i="47" s="1"/>
  <c r="T13" i="47"/>
  <c r="U13" i="47" s="1"/>
  <c r="T12" i="47"/>
  <c r="U12" i="47" s="1"/>
  <c r="S12" i="47"/>
  <c r="J12" i="47" s="1"/>
  <c r="T11" i="47"/>
  <c r="U11" i="47" s="1"/>
  <c r="S11" i="47"/>
  <c r="J11" i="47" s="1"/>
  <c r="T10" i="47"/>
  <c r="U10" i="47" s="1"/>
  <c r="S10" i="47"/>
  <c r="J10" i="47" s="1"/>
  <c r="T9" i="47"/>
  <c r="U9" i="47" s="1"/>
  <c r="S9" i="47"/>
  <c r="J9" i="47" s="1"/>
  <c r="S8" i="47"/>
  <c r="J8" i="47" s="1"/>
  <c r="T8" i="47"/>
  <c r="U8" i="47" s="1"/>
  <c r="T7" i="47"/>
  <c r="U7" i="47" s="1"/>
  <c r="S7" i="47"/>
  <c r="J7" i="47" s="1"/>
  <c r="T29" i="45" l="1"/>
  <c r="U29" i="45" s="1"/>
  <c r="T14" i="45"/>
  <c r="U14" i="45" s="1"/>
  <c r="S14" i="45"/>
  <c r="J14" i="45" s="1"/>
  <c r="S11" i="45"/>
  <c r="J11" i="45" s="1"/>
  <c r="T11" i="45"/>
  <c r="U11" i="45" s="1"/>
  <c r="S15" i="45"/>
  <c r="J15" i="45" s="1"/>
  <c r="T15" i="45"/>
  <c r="U15" i="45" s="1"/>
  <c r="S21" i="45"/>
  <c r="J21" i="45" s="1"/>
  <c r="T21" i="45"/>
  <c r="U21" i="45" s="1"/>
  <c r="S23" i="45"/>
  <c r="J23" i="45" s="1"/>
  <c r="T20" i="45"/>
  <c r="U20" i="45" s="1"/>
  <c r="T23" i="45"/>
  <c r="U23" i="45" s="1"/>
  <c r="S22" i="45"/>
  <c r="J22" i="45" s="1"/>
  <c r="T22" i="45"/>
  <c r="U22" i="45" s="1"/>
  <c r="S19" i="45"/>
  <c r="J19" i="45" s="1"/>
  <c r="S18" i="45"/>
  <c r="J18" i="45" s="1"/>
  <c r="T19" i="45"/>
  <c r="U19" i="45" s="1"/>
  <c r="T18" i="45"/>
  <c r="U18" i="45" s="1"/>
  <c r="S20" i="45"/>
  <c r="J20" i="45" s="1"/>
  <c r="W26" i="45" l="1"/>
  <c r="E3" i="45"/>
  <c r="F3" i="45"/>
  <c r="G3" i="45"/>
  <c r="H3" i="45"/>
  <c r="I3" i="45"/>
  <c r="J3" i="45"/>
  <c r="B4" i="45"/>
  <c r="AB4" i="45" s="1"/>
  <c r="C4" i="65" s="1"/>
  <c r="B5" i="45"/>
  <c r="C5" i="45"/>
  <c r="D5" i="45"/>
  <c r="Z5" i="45" s="1"/>
  <c r="E5" i="45"/>
  <c r="F5" i="45"/>
  <c r="G5" i="45"/>
  <c r="V5" i="45" s="1"/>
  <c r="Y5" i="45"/>
  <c r="W5" i="45"/>
  <c r="B6" i="45"/>
  <c r="C6" i="45"/>
  <c r="D6" i="45"/>
  <c r="Z6" i="45" s="1"/>
  <c r="E6" i="45"/>
  <c r="F6" i="45"/>
  <c r="G6" i="45"/>
  <c r="V6" i="45" s="1"/>
  <c r="H6" i="45"/>
  <c r="I6" i="45"/>
  <c r="Y6" i="45" s="1"/>
  <c r="B7" i="45"/>
  <c r="C7" i="45"/>
  <c r="D7" i="45"/>
  <c r="Z7" i="45" s="1"/>
  <c r="E7" i="45"/>
  <c r="F7" i="45"/>
  <c r="G7" i="45"/>
  <c r="V7" i="45" s="1"/>
  <c r="H7" i="45"/>
  <c r="I7" i="45"/>
  <c r="Y7" i="45" s="1"/>
  <c r="W7" i="45"/>
  <c r="B8" i="45"/>
  <c r="C8" i="45"/>
  <c r="D8" i="45"/>
  <c r="Z8" i="45" s="1"/>
  <c r="E8" i="45"/>
  <c r="F8" i="45"/>
  <c r="G8" i="45"/>
  <c r="V8" i="45" s="1"/>
  <c r="H8" i="45"/>
  <c r="I8" i="45"/>
  <c r="Y8" i="45" s="1"/>
  <c r="W8" i="45"/>
  <c r="B9" i="45"/>
  <c r="C9" i="45"/>
  <c r="D9" i="45"/>
  <c r="Z9" i="45" s="1"/>
  <c r="E9" i="45"/>
  <c r="F9" i="45"/>
  <c r="G9" i="45"/>
  <c r="V9" i="45" s="1"/>
  <c r="H9" i="45"/>
  <c r="I9" i="45"/>
  <c r="Y9" i="45" s="1"/>
  <c r="W9" i="45"/>
  <c r="B12" i="45"/>
  <c r="B13" i="45"/>
  <c r="C13" i="45"/>
  <c r="D13" i="45"/>
  <c r="Z13" i="45" s="1"/>
  <c r="E13" i="45"/>
  <c r="F13" i="45"/>
  <c r="G13" i="45"/>
  <c r="V13" i="45" s="1"/>
  <c r="H13" i="45"/>
  <c r="I13" i="45"/>
  <c r="Y13" i="45" s="1"/>
  <c r="W13" i="45"/>
  <c r="B17" i="45"/>
  <c r="B18" i="45"/>
  <c r="C18" i="45"/>
  <c r="Z18" i="45"/>
  <c r="V18" i="45"/>
  <c r="Y18" i="45"/>
  <c r="W18" i="45"/>
  <c r="C19" i="45"/>
  <c r="V19" i="45"/>
  <c r="Y19" i="45"/>
  <c r="W19" i="45"/>
  <c r="C20" i="45"/>
  <c r="V20" i="45"/>
  <c r="Y20" i="45"/>
  <c r="W20" i="45"/>
  <c r="C21" i="45"/>
  <c r="V21" i="45"/>
  <c r="Y21" i="45"/>
  <c r="W21" i="45"/>
  <c r="C22" i="45"/>
  <c r="V22" i="45"/>
  <c r="Y22" i="45"/>
  <c r="W22" i="45"/>
  <c r="C23" i="45"/>
  <c r="V23" i="45"/>
  <c r="Y23" i="45"/>
  <c r="W23" i="45"/>
  <c r="C24" i="45"/>
  <c r="D24" i="45"/>
  <c r="Z24" i="45" s="1"/>
  <c r="E24" i="45"/>
  <c r="F24" i="45"/>
  <c r="G24" i="45"/>
  <c r="V24" i="45" s="1"/>
  <c r="H24" i="45"/>
  <c r="I24" i="45"/>
  <c r="Y24" i="45" s="1"/>
  <c r="W24" i="45"/>
  <c r="B25" i="45"/>
  <c r="B26" i="45"/>
  <c r="C26" i="45"/>
  <c r="D26" i="45"/>
  <c r="Z26" i="45" s="1"/>
  <c r="E26" i="45"/>
  <c r="F26" i="45"/>
  <c r="G26" i="45"/>
  <c r="V26" i="45" s="1"/>
  <c r="H26" i="45"/>
  <c r="I26" i="45"/>
  <c r="Y26" i="45" s="1"/>
  <c r="B27" i="45"/>
  <c r="C27" i="45"/>
  <c r="D27" i="45"/>
  <c r="Z27" i="45" s="1"/>
  <c r="E27" i="45"/>
  <c r="F27" i="45"/>
  <c r="G27" i="45"/>
  <c r="V27" i="45" s="1"/>
  <c r="H27" i="45"/>
  <c r="I27" i="45"/>
  <c r="Y27" i="45" s="1"/>
  <c r="W27" i="45"/>
  <c r="K13" i="45" l="1"/>
  <c r="L13" i="45" s="1"/>
  <c r="K26" i="45"/>
  <c r="Q26" i="45" s="1"/>
  <c r="K6" i="45"/>
  <c r="L6" i="45" s="1"/>
  <c r="K8" i="45"/>
  <c r="L8" i="45" s="1"/>
  <c r="K27" i="45"/>
  <c r="K5" i="45"/>
  <c r="O5" i="45" s="1"/>
  <c r="K24" i="45"/>
  <c r="AE24" i="45" s="1"/>
  <c r="K9" i="45"/>
  <c r="K7" i="45"/>
  <c r="R13" i="45" l="1"/>
  <c r="P26" i="45"/>
  <c r="AE26" i="45"/>
  <c r="Q13" i="45"/>
  <c r="O13" i="45"/>
  <c r="N6" i="45"/>
  <c r="N13" i="45"/>
  <c r="P13" i="45"/>
  <c r="N26" i="45"/>
  <c r="AH26" i="45" s="1"/>
  <c r="L26" i="45"/>
  <c r="AF26" i="45" s="1"/>
  <c r="M13" i="45"/>
  <c r="O6" i="45"/>
  <c r="R26" i="45"/>
  <c r="M26" i="45"/>
  <c r="AG26" i="45" s="1"/>
  <c r="O26" i="45"/>
  <c r="P6" i="45"/>
  <c r="R6" i="45"/>
  <c r="Q6" i="45"/>
  <c r="O8" i="45"/>
  <c r="M6" i="45"/>
  <c r="P8" i="45"/>
  <c r="R8" i="45"/>
  <c r="M8" i="45"/>
  <c r="N8" i="45"/>
  <c r="Q8" i="45"/>
  <c r="O9" i="45"/>
  <c r="L9" i="45"/>
  <c r="Q9" i="45"/>
  <c r="M9" i="45"/>
  <c r="R9" i="45"/>
  <c r="N9" i="45"/>
  <c r="P9" i="45"/>
  <c r="O27" i="45"/>
  <c r="L27" i="45"/>
  <c r="Q27" i="45"/>
  <c r="M27" i="45"/>
  <c r="R27" i="45"/>
  <c r="N27" i="45"/>
  <c r="P27" i="45"/>
  <c r="O7" i="45"/>
  <c r="N7" i="45"/>
  <c r="P7" i="45"/>
  <c r="Q7" i="45"/>
  <c r="R7" i="45"/>
  <c r="L7" i="45"/>
  <c r="M7" i="45"/>
  <c r="L24" i="45"/>
  <c r="AF24" i="45" s="1"/>
  <c r="P24" i="45"/>
  <c r="AJ24" i="45" s="1"/>
  <c r="Q24" i="45"/>
  <c r="AK24" i="45" s="1"/>
  <c r="M24" i="45"/>
  <c r="AG24" i="45" s="1"/>
  <c r="R24" i="45"/>
  <c r="AL24" i="45" s="1"/>
  <c r="N24" i="45"/>
  <c r="AH24" i="45" s="1"/>
  <c r="O24" i="45"/>
  <c r="AI24" i="45" s="1"/>
  <c r="L5" i="45"/>
  <c r="Q5" i="45"/>
  <c r="M5" i="45"/>
  <c r="R5" i="45"/>
  <c r="N5" i="45"/>
  <c r="P5" i="45"/>
  <c r="T13" i="45" l="1"/>
  <c r="U13" i="45" s="1"/>
  <c r="T26" i="45"/>
  <c r="U26" i="45" s="1"/>
  <c r="S13" i="45"/>
  <c r="J13" i="45" s="1"/>
  <c r="S26" i="45"/>
  <c r="J26" i="45" s="1"/>
  <c r="T6" i="45"/>
  <c r="U6" i="45" s="1"/>
  <c r="S6" i="45"/>
  <c r="J6" i="45" s="1"/>
  <c r="T8" i="45"/>
  <c r="U8" i="45" s="1"/>
  <c r="S8" i="45"/>
  <c r="J8" i="45" s="1"/>
  <c r="T5" i="45"/>
  <c r="U5" i="45" s="1"/>
  <c r="S5" i="45"/>
  <c r="J5" i="45" s="1"/>
  <c r="T7" i="45"/>
  <c r="U7" i="45" s="1"/>
  <c r="S7" i="45"/>
  <c r="J7" i="45" s="1"/>
  <c r="T27" i="45"/>
  <c r="U27" i="45" s="1"/>
  <c r="S27" i="45"/>
  <c r="J27" i="45" s="1"/>
  <c r="T24" i="45"/>
  <c r="U24" i="45" s="1"/>
  <c r="S24" i="45"/>
  <c r="J24" i="45" s="1"/>
  <c r="T9" i="45"/>
  <c r="U9" i="45" s="1"/>
  <c r="S9" i="45"/>
  <c r="J9" i="45" s="1"/>
  <c r="D8" i="65" l="1"/>
  <c r="B32" i="45"/>
  <c r="B33" i="45"/>
  <c r="B34" i="45"/>
  <c r="B35" i="45"/>
  <c r="C31" i="45"/>
  <c r="B31" i="45"/>
  <c r="B30" i="45"/>
  <c r="AG13" i="45" l="1"/>
  <c r="AH13" i="45"/>
  <c r="AL13" i="45"/>
  <c r="AJ13" i="45"/>
  <c r="AE13" i="45"/>
  <c r="AB30" i="45"/>
  <c r="C8" i="65"/>
  <c r="D2" i="65"/>
  <c r="D7" i="65"/>
  <c r="D6" i="65"/>
  <c r="D5" i="65"/>
  <c r="D4" i="65"/>
  <c r="E2" i="65"/>
  <c r="F2" i="65"/>
  <c r="H2" i="65"/>
  <c r="I2" i="65"/>
  <c r="J2" i="65"/>
  <c r="K2" i="65"/>
  <c r="L2" i="65"/>
  <c r="M2" i="65"/>
  <c r="AB12" i="45"/>
  <c r="C5" i="65" s="1"/>
  <c r="AB25" i="45"/>
  <c r="C7" i="65" s="1"/>
  <c r="AB17" i="45"/>
  <c r="C6" i="65" s="1"/>
  <c r="W35" i="45"/>
  <c r="W34" i="45"/>
  <c r="W33" i="45"/>
  <c r="W32" i="45"/>
  <c r="W31" i="45"/>
  <c r="I35" i="45"/>
  <c r="Y35" i="45" s="1"/>
  <c r="G35" i="45"/>
  <c r="V35" i="45" s="1"/>
  <c r="D35" i="45"/>
  <c r="Z35" i="45" s="1"/>
  <c r="I34" i="45"/>
  <c r="Y34" i="45" s="1"/>
  <c r="G34" i="45"/>
  <c r="V34" i="45" s="1"/>
  <c r="D34" i="45"/>
  <c r="Z34" i="45" s="1"/>
  <c r="I33" i="45"/>
  <c r="Y33" i="45" s="1"/>
  <c r="G33" i="45"/>
  <c r="V33" i="45" s="1"/>
  <c r="D33" i="45"/>
  <c r="Z33" i="45" s="1"/>
  <c r="I32" i="45"/>
  <c r="Y32" i="45" s="1"/>
  <c r="G32" i="45"/>
  <c r="V32" i="45" s="1"/>
  <c r="D32" i="45"/>
  <c r="Z32" i="45" s="1"/>
  <c r="I31" i="45"/>
  <c r="Y31" i="45" s="1"/>
  <c r="G31" i="45"/>
  <c r="V31" i="45" s="1"/>
  <c r="D31" i="45"/>
  <c r="Z31" i="45" s="1"/>
  <c r="K10" i="49"/>
  <c r="Q10" i="49" s="1"/>
  <c r="K9" i="49"/>
  <c r="P9" i="49" s="1"/>
  <c r="K8" i="49"/>
  <c r="M8" i="49" s="1"/>
  <c r="K9" i="48"/>
  <c r="N9" i="48" s="1"/>
  <c r="K8" i="48"/>
  <c r="P8" i="48" s="1"/>
  <c r="K7" i="48"/>
  <c r="O7" i="48" s="1"/>
  <c r="L8" i="49" l="1"/>
  <c r="P7" i="48"/>
  <c r="P10" i="49"/>
  <c r="L10" i="49"/>
  <c r="N10" i="49"/>
  <c r="O10" i="49"/>
  <c r="M10" i="49"/>
  <c r="R10" i="49"/>
  <c r="O9" i="49"/>
  <c r="Q9" i="49"/>
  <c r="R9" i="49"/>
  <c r="L9" i="49"/>
  <c r="M9" i="49"/>
  <c r="N9" i="49"/>
  <c r="O8" i="49"/>
  <c r="R8" i="49"/>
  <c r="Q8" i="49"/>
  <c r="P8" i="49"/>
  <c r="N8" i="49"/>
  <c r="M9" i="48"/>
  <c r="Q9" i="48"/>
  <c r="L9" i="48"/>
  <c r="R7" i="48"/>
  <c r="P9" i="48"/>
  <c r="O9" i="48"/>
  <c r="R9" i="48"/>
  <c r="L8" i="48"/>
  <c r="R8" i="48"/>
  <c r="Q8" i="48"/>
  <c r="N8" i="48"/>
  <c r="M8" i="48"/>
  <c r="O8" i="48"/>
  <c r="N7" i="48"/>
  <c r="M7" i="48"/>
  <c r="Q7" i="48"/>
  <c r="L7" i="48"/>
  <c r="AK13" i="45"/>
  <c r="AI13" i="45"/>
  <c r="AF22" i="45"/>
  <c r="K33" i="45"/>
  <c r="AE33" i="45" s="1"/>
  <c r="D3" i="65"/>
  <c r="AK22" i="45"/>
  <c r="K35" i="45"/>
  <c r="AE35" i="45" s="1"/>
  <c r="AF13" i="45"/>
  <c r="AH20" i="45"/>
  <c r="AJ26" i="45"/>
  <c r="K32" i="45"/>
  <c r="Q32" i="45" s="1"/>
  <c r="AK32" i="45" s="1"/>
  <c r="K34" i="45"/>
  <c r="N34" i="45" s="1"/>
  <c r="AH34" i="45" s="1"/>
  <c r="AI20" i="45"/>
  <c r="AE20" i="45"/>
  <c r="AK20" i="45"/>
  <c r="K31" i="45"/>
  <c r="AI22" i="45"/>
  <c r="AL21" i="45"/>
  <c r="AL19" i="45"/>
  <c r="AE16" i="45"/>
  <c r="AK8" i="45"/>
  <c r="AJ9" i="45"/>
  <c r="AG7" i="45"/>
  <c r="AL18" i="45"/>
  <c r="AL20" i="45"/>
  <c r="AG11" i="45"/>
  <c r="AK6" i="45"/>
  <c r="AI6" i="45"/>
  <c r="AG6" i="45"/>
  <c r="AL6" i="45"/>
  <c r="AJ6" i="45"/>
  <c r="AH6" i="45"/>
  <c r="AE6" i="45"/>
  <c r="AJ5" i="45"/>
  <c r="T7" i="48" l="1"/>
  <c r="U7" i="48" s="1"/>
  <c r="S7" i="48"/>
  <c r="J7" i="48" s="1"/>
  <c r="S9" i="49"/>
  <c r="J9" i="49" s="1"/>
  <c r="S10" i="49"/>
  <c r="J10" i="49" s="1"/>
  <c r="T10" i="49"/>
  <c r="U10" i="49" s="1"/>
  <c r="T9" i="49"/>
  <c r="U9" i="49" s="1"/>
  <c r="S8" i="49"/>
  <c r="J8" i="49" s="1"/>
  <c r="T8" i="49"/>
  <c r="U8" i="49" s="1"/>
  <c r="S9" i="48"/>
  <c r="J9" i="48" s="1"/>
  <c r="T9" i="48"/>
  <c r="U9" i="48" s="1"/>
  <c r="T8" i="48"/>
  <c r="U8" i="48" s="1"/>
  <c r="S8" i="48"/>
  <c r="J8" i="48" s="1"/>
  <c r="R35" i="45"/>
  <c r="AL35" i="45" s="1"/>
  <c r="N35" i="45"/>
  <c r="AH35" i="45" s="1"/>
  <c r="Q33" i="45"/>
  <c r="AK33" i="45" s="1"/>
  <c r="Q35" i="45"/>
  <c r="AK35" i="45" s="1"/>
  <c r="N33" i="45"/>
  <c r="AH33" i="45" s="1"/>
  <c r="P32" i="45"/>
  <c r="AJ32" i="45" s="1"/>
  <c r="P33" i="45"/>
  <c r="AJ33" i="45" s="1"/>
  <c r="AH9" i="45"/>
  <c r="M35" i="45"/>
  <c r="AG35" i="45" s="1"/>
  <c r="AE21" i="45"/>
  <c r="O35" i="45"/>
  <c r="AI35" i="45" s="1"/>
  <c r="AG22" i="45"/>
  <c r="O33" i="45"/>
  <c r="AI33" i="45" s="1"/>
  <c r="AH18" i="45"/>
  <c r="L33" i="45"/>
  <c r="AF33" i="45" s="1"/>
  <c r="L32" i="45"/>
  <c r="AF32" i="45" s="1"/>
  <c r="P34" i="45"/>
  <c r="AJ34" i="45" s="1"/>
  <c r="M33" i="45"/>
  <c r="AG33" i="45" s="1"/>
  <c r="R33" i="45"/>
  <c r="AL33" i="45" s="1"/>
  <c r="AK26" i="45"/>
  <c r="AL22" i="45"/>
  <c r="AE18" i="45"/>
  <c r="AG16" i="45"/>
  <c r="AJ22" i="45"/>
  <c r="AE22" i="45"/>
  <c r="AI26" i="45"/>
  <c r="AJ7" i="45"/>
  <c r="AH22" i="45"/>
  <c r="AI16" i="45"/>
  <c r="AE32" i="45"/>
  <c r="AL7" i="45"/>
  <c r="AF8" i="45"/>
  <c r="AL16" i="45"/>
  <c r="L35" i="45"/>
  <c r="AF35" i="45" s="1"/>
  <c r="AJ20" i="45"/>
  <c r="AE7" i="45"/>
  <c r="AH16" i="45"/>
  <c r="M32" i="45"/>
  <c r="AG32" i="45" s="1"/>
  <c r="AF20" i="45"/>
  <c r="P35" i="45"/>
  <c r="AJ35" i="45" s="1"/>
  <c r="AG21" i="45"/>
  <c r="AH7" i="45"/>
  <c r="AK9" i="45"/>
  <c r="AI7" i="45"/>
  <c r="AL9" i="45"/>
  <c r="AE12" i="45"/>
  <c r="AJ16" i="45"/>
  <c r="N32" i="45"/>
  <c r="AH32" i="45" s="1"/>
  <c r="R32" i="45"/>
  <c r="AL32" i="45" s="1"/>
  <c r="AG20" i="45"/>
  <c r="AF16" i="45"/>
  <c r="AK16" i="45"/>
  <c r="O32" i="45"/>
  <c r="AI32" i="45" s="1"/>
  <c r="R34" i="45"/>
  <c r="AL34" i="45" s="1"/>
  <c r="AH21" i="45"/>
  <c r="O34" i="45"/>
  <c r="AI34" i="45" s="1"/>
  <c r="AE34" i="45"/>
  <c r="Q34" i="45"/>
  <c r="AK34" i="45" s="1"/>
  <c r="L34" i="45"/>
  <c r="M34" i="45"/>
  <c r="AG34" i="45" s="1"/>
  <c r="AL26" i="45"/>
  <c r="AG9" i="45"/>
  <c r="AG18" i="45"/>
  <c r="AJ18" i="45"/>
  <c r="AH19" i="45"/>
  <c r="AK18" i="45"/>
  <c r="AI18" i="45"/>
  <c r="AI21" i="45"/>
  <c r="AJ21" i="45"/>
  <c r="AK21" i="45"/>
  <c r="R31" i="45"/>
  <c r="AL31" i="45" s="1"/>
  <c r="Q31" i="45"/>
  <c r="AK31" i="45" s="1"/>
  <c r="AE31" i="45"/>
  <c r="M31" i="45"/>
  <c r="AG31" i="45" s="1"/>
  <c r="O31" i="45"/>
  <c r="AI31" i="45" s="1"/>
  <c r="L31" i="45"/>
  <c r="P31" i="45"/>
  <c r="AJ31" i="45" s="1"/>
  <c r="N31" i="45"/>
  <c r="AH31" i="45" s="1"/>
  <c r="AF18" i="45"/>
  <c r="AH8" i="45"/>
  <c r="AI8" i="45"/>
  <c r="AE8" i="45"/>
  <c r="AG8" i="45"/>
  <c r="AL8" i="45"/>
  <c r="AJ8" i="45"/>
  <c r="AF7" i="45"/>
  <c r="AK7" i="45"/>
  <c r="AI9" i="45"/>
  <c r="AF9" i="45"/>
  <c r="AE9" i="45"/>
  <c r="AK19" i="45"/>
  <c r="AJ19" i="45"/>
  <c r="AG19" i="45"/>
  <c r="AI19" i="45"/>
  <c r="AE19" i="45"/>
  <c r="AJ27" i="45"/>
  <c r="AL27" i="45"/>
  <c r="AH27" i="45"/>
  <c r="AK27" i="45"/>
  <c r="AG27" i="45"/>
  <c r="AI27" i="45"/>
  <c r="AE27" i="45"/>
  <c r="AK5" i="45"/>
  <c r="AH5" i="45"/>
  <c r="AH11" i="45"/>
  <c r="AE11" i="45"/>
  <c r="AF11" i="45"/>
  <c r="AI11" i="45"/>
  <c r="AL11" i="45"/>
  <c r="AK11" i="45"/>
  <c r="AJ11" i="45"/>
  <c r="AF6" i="45"/>
  <c r="AG5" i="45"/>
  <c r="AL5" i="45"/>
  <c r="AE5" i="45"/>
  <c r="AI5" i="45"/>
  <c r="AF5" i="45"/>
  <c r="AH30" i="45" l="1"/>
  <c r="AK30" i="45"/>
  <c r="AJ30" i="45"/>
  <c r="AI30" i="45"/>
  <c r="AG30" i="45"/>
  <c r="AL30" i="45"/>
  <c r="AE30" i="45"/>
  <c r="F8" i="65" s="1"/>
  <c r="AL12" i="45"/>
  <c r="M5" i="65" s="1"/>
  <c r="AF4" i="45"/>
  <c r="G4" i="65" s="1"/>
  <c r="AG4" i="45"/>
  <c r="H4" i="65" s="1"/>
  <c r="AE4" i="45"/>
  <c r="AD4" i="45" s="1"/>
  <c r="E4" i="65" s="1"/>
  <c r="AH4" i="45"/>
  <c r="I4" i="65" s="1"/>
  <c r="S33" i="45"/>
  <c r="J33" i="45" s="1"/>
  <c r="AG12" i="45"/>
  <c r="H5" i="65" s="1"/>
  <c r="AH25" i="45"/>
  <c r="I7" i="65" s="1"/>
  <c r="T33" i="45"/>
  <c r="U33" i="45" s="1"/>
  <c r="AI12" i="45"/>
  <c r="J5" i="65" s="1"/>
  <c r="T35" i="45"/>
  <c r="U35" i="45" s="1"/>
  <c r="S32" i="45"/>
  <c r="J32" i="45" s="1"/>
  <c r="AH12" i="45"/>
  <c r="I5" i="65" s="1"/>
  <c r="J8" i="65"/>
  <c r="AJ4" i="45"/>
  <c r="K4" i="65" s="1"/>
  <c r="AK12" i="45"/>
  <c r="L5" i="65" s="1"/>
  <c r="AJ12" i="45"/>
  <c r="K5" i="65" s="1"/>
  <c r="AI17" i="45"/>
  <c r="J6" i="65" s="1"/>
  <c r="M8" i="65"/>
  <c r="AH17" i="45"/>
  <c r="I6" i="65" s="1"/>
  <c r="AG17" i="45"/>
  <c r="H6" i="65" s="1"/>
  <c r="T32" i="45"/>
  <c r="U32" i="45" s="1"/>
  <c r="S35" i="45"/>
  <c r="J35" i="45" s="1"/>
  <c r="I8" i="65"/>
  <c r="K8" i="65"/>
  <c r="L8" i="65"/>
  <c r="AJ17" i="45"/>
  <c r="K6" i="65" s="1"/>
  <c r="AF34" i="45"/>
  <c r="S34" i="45"/>
  <c r="J34" i="45" s="1"/>
  <c r="T34" i="45"/>
  <c r="U34" i="45" s="1"/>
  <c r="H8" i="65"/>
  <c r="AL17" i="45"/>
  <c r="M6" i="65" s="1"/>
  <c r="AE17" i="45"/>
  <c r="AD17" i="45" s="1"/>
  <c r="E6" i="65" s="1"/>
  <c r="AF31" i="45"/>
  <c r="T31" i="45"/>
  <c r="U31" i="45" s="1"/>
  <c r="S31" i="45"/>
  <c r="J31" i="45" s="1"/>
  <c r="AK4" i="45"/>
  <c r="L4" i="65" s="1"/>
  <c r="AF21" i="45"/>
  <c r="AK17" i="45"/>
  <c r="L6" i="65" s="1"/>
  <c r="AF19" i="45"/>
  <c r="AF27" i="45"/>
  <c r="AF25" i="45" s="1"/>
  <c r="G7" i="65" s="1"/>
  <c r="AG25" i="45"/>
  <c r="H7" i="65" s="1"/>
  <c r="AE25" i="45"/>
  <c r="F7" i="65" s="1"/>
  <c r="AI25" i="45"/>
  <c r="J7" i="65" s="1"/>
  <c r="AJ25" i="45"/>
  <c r="K7" i="65" s="1"/>
  <c r="AK25" i="45"/>
  <c r="L7" i="65" s="1"/>
  <c r="AL25" i="45"/>
  <c r="M7" i="65" s="1"/>
  <c r="F5" i="65"/>
  <c r="AD12" i="45"/>
  <c r="E5" i="65" s="1"/>
  <c r="AF12" i="45"/>
  <c r="G5" i="65" s="1"/>
  <c r="AI4" i="45"/>
  <c r="J4" i="65" s="1"/>
  <c r="AL4" i="45"/>
  <c r="M4" i="65" s="1"/>
  <c r="AF30" i="45" l="1"/>
  <c r="G8" i="65" s="1"/>
  <c r="F4" i="65"/>
  <c r="I3" i="65"/>
  <c r="K3" i="65"/>
  <c r="AD30" i="45"/>
  <c r="E8" i="65" s="1"/>
  <c r="L3" i="65"/>
  <c r="AD25" i="45"/>
  <c r="E7" i="65" s="1"/>
  <c r="H3" i="65"/>
  <c r="F6" i="65"/>
  <c r="AF17" i="45"/>
  <c r="G6" i="65" s="1"/>
  <c r="J3" i="65"/>
  <c r="M3" i="65"/>
  <c r="F3" i="65" l="1"/>
  <c r="G3" i="65"/>
  <c r="E3" i="6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disposent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 en fonction de ses niveaux d’importance et de performance actuelle. 
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cible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pertinents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<sst xmlns="http://schemas.openxmlformats.org/spreadsheetml/2006/main" count="334" uniqueCount="152">
  <si>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</si>
  <si>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</si>
  <si>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</si>
  <si>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</si>
  <si>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</si>
  <si>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</si>
  <si>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</si>
  <si>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</si>
  <si>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</si>
  <si>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</si>
  <si>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					</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</si>
  <si>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</si>
  <si>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</si>
  <si>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</si>
  <si>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</si>
  <si>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</si>
  <si>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</si>
  <si>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</si>
  <si>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</si>
  <si>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</si>
  <si>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</si>
  <si>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</si>
  <si>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</si>
  <si>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</si>
  <si>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</si>
  <si>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</si>
  <si>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</si>
  <si>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</si>
  <si>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</si>
  <si>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</si>
  <si>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</si>
  <si>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</si>
  <si>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</si>
  <si>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</si>
  <si>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</si>
  <si>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</si>
  <si>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</si>
  <si>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</si>
  <si>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même au-delà de leur amortissement comptable</t>
  </si>
  <si>
    <t>1.3</t>
  </si>
  <si>
    <t>En éco-concevant les services numériques, et en choisissant des technologies qui contribuent aux Objectifs de développement durable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</si>
  <si>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</si>
  <si>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</si>
  <si>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</si>
  <si>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</si>
  <si>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</si>
  <si>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</si>
  <si>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</si>
  <si>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</si>
  <si>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ONR 2  -   INCLUSION : S'engager à développer des services numériques accessibles à toutes et tous, inclusifs et durables</t>
  </si>
  <si>
    <t>2.1</t>
  </si>
  <si>
    <t>En généralisant une démarche d’achats responsables avec l’adoption de clauses sociétales et environnementales.</t>
  </si>
  <si>
    <t>2.2</t>
  </si>
  <si>
    <t>En rendant nos services numériques accessibles à toutes et tous, et en mesurant leur conformité au RGAA</t>
  </si>
  <si>
    <t>2.3</t>
  </si>
  <si>
    <t>En déployant les applications autour des 3 U : Utiles, Utilisables, Utilisées pour en simplifier l’usage en intégrant l’accessibilité universelle pour réussir l’e-inclusion de tous</t>
  </si>
  <si>
    <t>2.4</t>
  </si>
  <si>
    <t>En associant l’utilisateur à la conception pour éviter des outils surdimensionnés et améliorer progressivement le niveau de conformité des services en ligne.</t>
  </si>
  <si>
    <t xml:space="preserve">ONR 3  -  RSE : S'engager pour des pratiques numériques éthiques et responsables </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</si>
  <si>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</si>
  <si>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</si>
  <si>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</si>
  <si>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</si>
  <si>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</si>
  <si>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</si>
  <si>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</si>
  <si>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</si>
  <si>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</si>
  <si>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</si>
  <si>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</si>
  <si>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</si>
  <si>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</si>
  <si>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</si>
  <si>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ONR 4  -  RESILIENCE ET STRATEGIE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</si>
  <si>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</si>
  <si>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</si>
  <si>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</si>
  <si>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participant à une démarche collaborative de conception et d’évaluation des services numériques en adéquation avec les réels besoins.</t>
  </si>
  <si>
    <t>4.3</t>
  </si>
  <si>
    <t>En restant innovant dans l’utilisation de nouveaux outils numériques et assurer leur analyse d'impact avec transparence et visibilité pour les utilisateurs</t>
  </si>
  <si>
    <t>4.4</t>
  </si>
  <si>
    <t>En permettant et en garantissant plus de souveraineté numérique</t>
  </si>
  <si>
    <t>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</si>
  <si>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</si>
  <si>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</si>
  <si>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</si>
  <si>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</si>
  <si>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</si>
  <si>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</si>
  <si>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</si>
  <si>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</si>
  <si>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</si>
  <si>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</si>
  <si>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</si>
  <si>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</si>
  <si>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</si>
  <si>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</si>
  <si>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</si>
  <si>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</si>
  <si>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</si>
  <si>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</si>
  <si>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</si>
  <si>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</si>
  <si>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</si>
  <si>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</si>
  <si>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</si>
  <si>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</si>
  <si>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</si>
  <si>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</si>
  <si>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</si>
  <si>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</si>
  <si>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</si>
  <si>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</si>
  <si>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</si>
  <si>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</si>
  <si>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</si>
  <si>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</si>
  <si>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</si>
  <si>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</si>
  <si>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</si>
  <si>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</si>
  <si>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</si>
  <si>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</si>
  <si>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</si>
  <si>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</si>
  <si>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</si>
  <si>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</si>
  <si>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</si>
  <si>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</si>
  <si>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</si>
  <si>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</si>
  <si>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</si>
  <si>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</si>
  <si>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</si>
  <si>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</si>
  <si>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</si>
  <si>
    <t>Enjeux (opportunités et menaces) : Opportunité de réduire l'empreinte carbone globale de l'organisation et d'anticiper les futures réglementations environnementales. La menace est le coût initial potentiellement plus élevé d'équipements éco-conçus.</t>
  </si>
  <si>
    <t>Actuellement, le seul critère pris en compte lors des achats est le prix direct. Aucune analyse du cycle de vie (ACV) n'est demandée aux fournisseurs lors des appels d'offres</t>
  </si>
  <si>
    <t>Faiblesse : manque de connaissances de l'équipe Achats sur les labels environnementaux informatiques. Force : volonté forte de la direction des achats d'évoluer vers des pratiques durables</t>
  </si>
  <si>
    <t>Former l'équipe Achats aux critères du Numérique Responsable (labels TCO, EPEAT). Intégrer une pondération environnementale de 15% dans les prochains appels d'offres de renouvellement de serveurs</t>
  </si>
  <si>
    <t>Enjeux (opportunités et menaces) : Opportunité de faire des économies budgétaires significatives (CAPEX) et de réduire drastiquement la production de déchets électroniques (DEEE).</t>
  </si>
  <si>
    <t>La durée de renouvellement standard des ordinateurs portables est passée de 3 ans à 4 ans l'année dernière. Un contrat de maintenance est en place.</t>
  </si>
  <si>
    <t>Force : capacité technique à réparer en interne. Faiblesse : pression psychologique de certains utilisateurs exigeant du matériel neuf et esthétique.</t>
  </si>
  <si>
    <t>Allonger la politique d'amortissement à 5 ans minimum. Créer un stock de pièces détachées pour faciliter les réparations rapides. Lancer une campagne de communication interne pour valoriser l'impact carbone évité en gardant son ordinateur plus longtemps</t>
  </si>
  <si>
    <t>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t>
  </si>
  <si>
    <t>Actuellement, plusieurs projets d'IA générative (type ChatGPT) sont testés par les métiers, mais aucune mesure de leur impact énergétique n'est réalisée et aucune charte d'utilisation n'encadre le besoin réel</t>
  </si>
  <si>
    <t>Force : Une équipe Data/IT curieuse et compétente techniquement. Faiblesse : Manque total de connaissances sur les concepts de "Green AI" (comment mesurer la consommation d'un modèle, comment l'optimiser) et manque de recul critique sur l'utilité réelle de l'IA pour certains cas d'usage</t>
  </si>
  <si>
    <t>1. Créer une grille d'évaluation préalable (Go/No-Go) pour chaque nouveau projet : l'IA est-elle indispensable ou une méthode informatique classique suffit-elle ?
2. Privilégier des modèles plus petits et spécialisés (Small Language Models) plutôt que de faire appel à des modèles massifs et très énergivores pour des tâches simples.
3. Sensibiliser les développeurs et les data scientists aux techniques d'éco-conception logicielle appliquées à l'IA (optimisation du code, limitation des calculs redondants)</t>
  </si>
  <si>
    <t>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t>
  </si>
  <si>
    <t>Documentation et mesures en place : Actuellement, les nouveaux services numériques ou sites web sont validés uniquement sur des critères fonctionnels, graphiques et financiers. Le "poids" informatique des pages et l'impact environnemental du code ne sont pas mesurés.</t>
  </si>
  <si>
    <t>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t>
  </si>
  <si>
    <t>1. Former les équipes (Designers, Développeurs, Chefs de projet) aux bonnes pratiques de l'éco-conception numérique.
2. Modifier les cahiers des charges (appels d'offres) : imposer des critères de performance environnementale aux prestataires qui créent les futurs sites ou applications de l'organisation (ex: limite de poids des images, optimisation des requêtes serveurs).
3. Créer une grille d'impact : pour chaque nouveau projet numérique, évaluer formellement à quel(s) Objectif(s) de Développement Durable (ODD) il contribue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</si>
</sst>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6">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6">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 borderId="0" xfId="0" applyFont="1" applyFill="1" applyAlignment="1">
      <alignment horizontal="center" vertical="center" wrapText="1"/>
    </xf>
    <xf numFmtId="0" fontId="53" fillId="4" borderId="0" xfId="0" applyFont="1" applyFill="1" applyAlignment="1">
      <alignment horizontal="center" vertical="center" wrapText="1"/>
    </xf>
    <xf numFmtId="0" fontId="51" fillId="4" borderId="0" xfId="0" applyFont="1" applyFill="1" applyAlignment="1">
      <alignment vertical="top" wrapText="1"/>
    </xf>
    <xf numFmtId="0" fontId="54"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5"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2"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xf numFmtId="0" fontId="41" fillId="14" borderId="9" xfId="0" applyFont="1" applyFill="1" applyBorder="1" applyAlignment="1" applyProtection="1">
      <alignment horizontal="left" vertical="center" wrapText="1"/>
      <protection locked="0"/>
    </xf>
    <xf numFmtId="0" fontId="41" fillId="47" borderId="9" xfId="0" applyFont="1" applyFill="1" applyBorder="1" applyAlignment="1" applyProtection="1">
      <alignment horizontal="center" vertical="center" wrapText="1"/>
      <protection locked="0"/>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ODD</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2</c:v>
                </c:pt>
                <c:pt idx="1">
                  <c:v>1</c:v>
                </c:pt>
                <c:pt idx="2">
                  <c:v>1</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5" t="s">
        <v>1</v>
      </c>
      <c r="C2" s="326"/>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3"/>
  <sheetViews>
    <sheetView tabSelected="1" topLeftCell="G7" zoomScaleNormal="100" workbookViewId="0">
      <selection activeCell="V9" sqref="V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10</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355" customHeight="1" thickBot="1">
      <c r="A5" s="52"/>
      <c r="B5" s="335"/>
      <c r="C5" s="336"/>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6"/>
      <c r="X5" s="290"/>
    </row>
    <row r="6" spans="1:24" s="60" customFormat="1" ht="19" thickBot="1">
      <c r="A6" s="59"/>
      <c r="B6" s="330" t="s">
        <v>35</v>
      </c>
      <c r="C6" s="331"/>
      <c r="D6" s="332"/>
      <c r="E6" s="332"/>
      <c r="F6" s="332"/>
      <c r="G6" s="332"/>
      <c r="H6" s="332"/>
      <c r="I6" s="332"/>
      <c r="J6" s="332"/>
      <c r="K6" s="332"/>
      <c r="L6" s="332"/>
      <c r="M6" s="332"/>
      <c r="N6" s="332"/>
      <c r="O6" s="332"/>
      <c r="P6" s="332"/>
      <c r="Q6" s="332"/>
      <c r="R6" s="332"/>
      <c r="S6" s="332"/>
      <c r="T6" s="332"/>
      <c r="U6" s="332"/>
      <c r="V6" s="332"/>
      <c r="W6" s="331"/>
      <c r="X6" s="291"/>
    </row>
    <row r="7" spans="1:24" s="137" customFormat="1" ht="138">
      <c r="A7" s="136"/>
      <c r="B7" s="152" t="s">
        <v>36</v>
      </c>
      <c r="C7" s="319" t="s">
        <v>132</v>
      </c>
      <c r="D7" s="394" t="s">
        <v>136</v>
      </c>
      <c r="E7" s="169">
        <v>3</v>
      </c>
      <c r="F7" s="166">
        <v>1</v>
      </c>
      <c r="G7" s="323" t="s">
        <v>137</v>
      </c>
      <c r="H7" s="140">
        <v>3</v>
      </c>
      <c r="I7" s="172" t="s">
        <v>138</v>
      </c>
      <c r="J7" s="110" t="str">
        <f>S7</f>
        <v>Intervention urgente</v>
      </c>
      <c r="K7" s="88">
        <f>E7*10+F7</f>
        <v>31</v>
      </c>
      <c r="L7" s="88" t="b">
        <f>OR(K7=31)</f>
        <v>1</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Intervention urgente</v>
      </c>
      <c r="T7" s="90">
        <f t="shared" ref="T7:T12" si="1">IF(COUNTA(E7:F7)&lt;2,"",(IF(L7=TRUE,6,IF(M7=TRUE,5,IF(N7=TRUE,4,IF(O7=TRUE,3,IF(P7=TRUE,2,IF(Q7=TRUE,1,IF(R7=TRUE,0,0)))))))))</f>
        <v>6</v>
      </c>
      <c r="U7" s="91">
        <f>T7*10+H7</f>
      </c>
      <c r="V7" s="143" t="s">
        <v>139</v>
      </c>
      <c r="W7" s="287"/>
      <c r="X7" s="88"/>
    </row>
    <row r="8" spans="1:24" s="137" customFormat="1" ht="186">
      <c r="A8" s="136"/>
      <c r="B8" s="153" t="s">
        <v>37</v>
      </c>
      <c r="C8" s="317" t="s">
        <v>38</v>
      </c>
      <c r="D8" s="139" t="s">
        <v>140</v>
      </c>
      <c r="E8" s="169">
        <v>3</v>
      </c>
      <c r="F8" s="166">
        <v>3</v>
      </c>
      <c r="G8" s="323" t="s">
        <v>141</v>
      </c>
      <c r="H8" s="140">
        <v>2</v>
      </c>
      <c r="I8" s="172" t="s">
        <v>142</v>
      </c>
      <c r="J8" s="110" t="str">
        <f t="shared" ref="J8:J12" si="2">S8</f>
        <v>Intervention à moyen terme</v>
      </c>
      <c r="K8" s="88">
        <f t="shared" ref="K8:K12" si="3">E8*10+F8</f>
        <v>33</v>
      </c>
      <c r="L8" s="88" t="b">
        <f t="shared" ref="L8:L12" si="4">OR(K8=31)</f>
        <v>0</v>
      </c>
      <c r="M8" s="88" t="b">
        <f t="shared" ref="M8:M12" si="5">OR(K8=21,K8=32)</f>
        <v>0</v>
      </c>
      <c r="N8" s="88" t="b">
        <f t="shared" ref="N8:N12" si="6">OR(K8=22,K8=33)</f>
        <v>1</v>
      </c>
      <c r="O8" s="88" t="b">
        <f t="shared" ref="O8:O12" si="7">OR(K8=11,K8=12)</f>
        <v>0</v>
      </c>
      <c r="P8" s="88" t="b">
        <f t="shared" ref="P8:P12" si="8">OR(K8=23,K8=34)</f>
        <v>0</v>
      </c>
      <c r="Q8" s="88" t="b">
        <f t="shared" ref="Q8:Q12" si="9">OR(K8=13,K8=14,K8=24)</f>
        <v>0</v>
      </c>
      <c r="R8" s="88" t="b">
        <f t="shared" ref="R8:R12" si="10">OR(K8=1,K8=2,K8=3,K8=4)</f>
        <v>0</v>
      </c>
      <c r="S8" s="89" t="str">
        <f t="shared" si="0"/>
        <v>Intervention à moyen terme</v>
      </c>
      <c r="T8" s="90">
        <f t="shared" si="1"/>
        <v>4</v>
      </c>
      <c r="U8" s="91">
        <f t="shared" ref="U8:U12" si="11">T8*10+H8</f>
        <v>42</v>
      </c>
      <c r="V8" s="143" t="s">
        <v>143</v>
      </c>
      <c r="W8" s="302"/>
      <c r="X8" s="301"/>
    </row>
    <row r="9" spans="1:24" s="137" customFormat="1" ht="171">
      <c r="A9" s="136"/>
      <c r="B9" s="153" t="s">
        <v>39</v>
      </c>
      <c r="C9" s="317" t="s">
        <v>40</v>
      </c>
      <c r="D9" s="139" t="s">
        <v>148</v>
      </c>
      <c r="E9" s="169">
        <v>3</v>
      </c>
      <c r="F9" s="166">
        <v>2</v>
      </c>
      <c r="G9" s="323" t="s">
        <v>149</v>
      </c>
      <c r="H9" s="140">
        <v>2</v>
      </c>
      <c r="I9" s="172" t="s">
        <v>150</v>
      </c>
      <c r="J9" s="110" t="str">
        <f t="shared" si="2"/>
        <v>Intervention prioritaire</v>
      </c>
      <c r="K9" s="104">
        <f t="shared" si="3"/>
        <v>32</v>
      </c>
      <c r="L9" s="104" t="b">
        <f t="shared" si="4"/>
        <v>0</v>
      </c>
      <c r="M9" s="104" t="b">
        <f t="shared" si="5"/>
        <v>1</v>
      </c>
      <c r="N9" s="104" t="b">
        <f t="shared" si="6"/>
        <v>0</v>
      </c>
      <c r="O9" s="104" t="b">
        <f t="shared" si="7"/>
        <v>0</v>
      </c>
      <c r="P9" s="104" t="b">
        <f t="shared" si="8"/>
        <v>0</v>
      </c>
      <c r="Q9" s="104" t="b">
        <f t="shared" si="9"/>
        <v>0</v>
      </c>
      <c r="R9" s="104" t="b">
        <f t="shared" si="10"/>
        <v>0</v>
      </c>
      <c r="S9" s="105" t="str">
        <f t="shared" si="0"/>
        <v>Intervention prioritaire</v>
      </c>
      <c r="T9" s="106">
        <f t="shared" si="1"/>
        <v>5</v>
      </c>
      <c r="U9" s="104">
        <f t="shared" si="11"/>
        <v>52</v>
      </c>
      <c r="V9" s="143" t="s">
        <v>151</v>
      </c>
      <c r="W9" s="288"/>
      <c r="X9" s="300"/>
    </row>
    <row r="10" spans="1:24" s="137" customFormat="1" ht="63">
      <c r="A10" s="136"/>
      <c r="B10" s="154" t="s">
        <v>41</v>
      </c>
      <c r="C10" s="320" t="s">
        <v>42</v>
      </c>
      <c r="D10" s="139"/>
      <c r="E10" s="170"/>
      <c r="F10" s="168"/>
      <c r="G10" s="324"/>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89"/>
      <c r="X10" s="88"/>
    </row>
    <row r="11" spans="1:24" s="137" customFormat="1" ht="63">
      <c r="A11" s="136"/>
      <c r="B11" s="155" t="s">
        <v>43</v>
      </c>
      <c r="C11" s="321" t="s">
        <v>44</v>
      </c>
      <c r="D11" s="139"/>
      <c r="E11" s="170"/>
      <c r="F11" s="168"/>
      <c r="G11" s="324"/>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3"/>
      <c r="X11" s="298"/>
    </row>
    <row r="12" spans="1:24" s="138" customFormat="1" ht="42">
      <c r="A12" s="136"/>
      <c r="B12" s="154" t="s">
        <v>45</v>
      </c>
      <c r="C12" s="322" t="s">
        <v>46</v>
      </c>
      <c r="D12" s="139"/>
      <c r="E12" s="171"/>
      <c r="F12" s="167"/>
      <c r="G12" s="324"/>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4"/>
      <c r="X12" s="298"/>
    </row>
    <row r="13" spans="1:24" ht="171">
      <c r="B13" s="154" t="s">
        <v>47</v>
      </c>
      <c r="C13" s="322" t="s">
        <v>48</v>
      </c>
      <c r="D13" s="139" t="s">
        <v>144</v>
      </c>
      <c r="E13" s="171">
        <v>3</v>
      </c>
      <c r="F13" s="395">
        <v>1</v>
      </c>
      <c r="G13" s="324" t="s">
        <v>145</v>
      </c>
      <c r="H13" s="140">
        <v>2</v>
      </c>
      <c r="I13" s="172" t="s">
        <v>146</v>
      </c>
      <c r="J13" s="147" t="str">
        <f t="shared" ref="J13" si="12">S13</f>
        <v>Intervention urgente</v>
      </c>
      <c r="K13" s="96">
        <f t="shared" ref="K13" si="13">E13*10+F13</f>
        <v>31</v>
      </c>
      <c r="L13" s="96" t="b">
        <f t="shared" ref="L13" si="14">OR(K13=31)</f>
        <v>1</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Intervention urgente</v>
      </c>
      <c r="T13" s="98">
        <f t="shared" ref="T13" si="22">IF(COUNTA(E13:F13)&lt;2,"",(IF(L13=TRUE,6,IF(M13=TRUE,5,IF(N13=TRUE,4,IF(O13=TRUE,3,IF(P13=TRUE,2,IF(Q13=TRUE,1,IF(R13=TRUE,0,0)))))))))</f>
        <v>6</v>
      </c>
      <c r="U13" s="99">
        <f t="shared" ref="U13" si="23">T13*10+H13</f>
        <v>62</v>
      </c>
      <c r="V13" s="149" t="s">
        <v>147</v>
      </c>
      <c r="W13" s="305"/>
      <c r="X13" s="298"/>
    </row>
  </sheetData>
  <mergeCells count="8">
    <mergeCell ref="B2:G2"/>
    <mergeCell ref="B6:W6"/>
    <mergeCell ref="B4:C5"/>
    <mergeCell ref="D4:E4"/>
    <mergeCell ref="F4:G4"/>
    <mergeCell ref="H4:I4"/>
    <mergeCell ref="B3:X3"/>
    <mergeCell ref="V4:X4"/>
  </mergeCells>
  <phoneticPr fontId="42" type="noConversion"/>
  <conditionalFormatting sqref="A4 I7:I13 G7">
    <cfRule type="expression" dxfId="405" priority="269">
      <formula>FIND("Agir",B4)</formula>
    </cfRule>
    <cfRule type="expression" dxfId="404" priority="270">
      <formula>FIND("Réagir",B4)</formula>
    </cfRule>
  </conditionalFormatting>
  <conditionalFormatting sqref="A4 I7:I13">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3">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F7 D7:D13">
    <cfRule type="expression" dxfId="391" priority="77" stopIfTrue="1">
      <formula>ISTEXT(D7)</formula>
    </cfRule>
  </conditionalFormatting>
  <conditionalFormatting sqref="D9:D13">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7:D13">
    <cfRule type="expression" dxfId="386" priority="78">
      <formula>FIND("Conforter",F7)</formula>
    </cfRule>
  </conditionalFormatting>
  <conditionalFormatting sqref="F8:F13">
    <cfRule type="expression" dxfId="385" priority="119">
      <formula>FIND("Conforter",I8)</formula>
    </cfRule>
  </conditionalFormatting>
  <conditionalFormatting sqref="G7:H7 F8:H13">
    <cfRule type="expression" dxfId="384" priority="115" stopIfTrue="1">
      <formula>ISTEXT(F7)</formula>
    </cfRule>
  </conditionalFormatting>
  <conditionalFormatting sqref="G7:H13">
    <cfRule type="expression" dxfId="383" priority="114">
      <formula>FIND("Conforter",J7)</formula>
    </cfRule>
    <cfRule type="expression" dxfId="382" priority="113" stopIfTrue="1">
      <formula>ISTEXT(G7)</formula>
    </cfRule>
  </conditionalFormatting>
  <conditionalFormatting sqref="G9:H13">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3">
    <cfRule type="expression" dxfId="378" priority="92" stopIfTrue="1">
      <formula>ISTEXT(G9)</formula>
    </cfRule>
  </conditionalFormatting>
  <conditionalFormatting sqref="H7 G8:H13">
    <cfRule type="expression" dxfId="377" priority="117">
      <formula>FIND("Réagir",I7)</formula>
    </cfRule>
    <cfRule type="expression" dxfId="376" priority="116">
      <formula>FIND("Agir",I7)</formula>
    </cfRule>
  </conditionalFormatting>
  <conditionalFormatting sqref="H7:H13">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3 V7:W13">
    <cfRule type="containsText" dxfId="372" priority="120" stopIfTrue="1" operator="containsText" text="Première">
      <formula>NOT(ISERROR(SEARCH("Première",H7)))</formula>
    </cfRule>
  </conditionalFormatting>
  <conditionalFormatting sqref="H7:I7 V7:W13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3">
    <cfRule type="expression" dxfId="366" priority="96">
      <formula>FIND("Réagir",J9)</formula>
    </cfRule>
    <cfRule type="expression" dxfId="365" priority="95">
      <formula>FIND("Agir",J9)</formula>
    </cfRule>
  </conditionalFormatting>
  <conditionalFormatting sqref="I12:I13">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3">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3">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3">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49</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216" thickBot="1">
      <c r="A5" s="52"/>
      <c r="B5" s="335"/>
      <c r="C5" s="336"/>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0" t="s">
        <v>33</v>
      </c>
      <c r="W5" s="290" t="s">
        <v>131</v>
      </c>
      <c r="X5" s="290"/>
    </row>
    <row r="6" spans="1:24" s="60" customFormat="1" ht="19" customHeight="1" thickBot="1">
      <c r="A6" s="59"/>
      <c r="B6" s="308" t="s">
        <v>35</v>
      </c>
      <c r="C6" s="309"/>
      <c r="D6" s="310"/>
      <c r="E6" s="310"/>
      <c r="F6" s="310"/>
      <c r="G6" s="310"/>
      <c r="H6" s="310"/>
      <c r="I6" s="310"/>
      <c r="J6" s="310"/>
      <c r="K6" s="310"/>
      <c r="L6" s="310"/>
      <c r="M6" s="310"/>
      <c r="N6" s="310"/>
      <c r="O6" s="310"/>
      <c r="P6" s="310"/>
      <c r="Q6" s="310"/>
      <c r="R6" s="310"/>
      <c r="S6" s="310"/>
      <c r="T6" s="310"/>
      <c r="U6" s="310"/>
      <c r="V6" s="311"/>
      <c r="W6" s="312"/>
      <c r="X6" s="313"/>
    </row>
    <row r="7" spans="1:24" s="137" customFormat="1" ht="42">
      <c r="A7" s="136"/>
      <c r="B7" s="180" t="s">
        <v>50</v>
      </c>
      <c r="C7" s="317" t="s">
        <v>51</v>
      </c>
      <c r="D7" s="139"/>
      <c r="E7" s="169"/>
      <c r="F7" s="166"/>
      <c r="G7" s="323"/>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7"/>
      <c r="X7" s="297"/>
    </row>
    <row r="8" spans="1:24" s="137" customFormat="1" ht="63">
      <c r="A8" s="136"/>
      <c r="B8" s="180" t="s">
        <v>52</v>
      </c>
      <c r="C8" s="317" t="s">
        <v>53</v>
      </c>
      <c r="D8" s="139"/>
      <c r="E8" s="169"/>
      <c r="F8" s="166"/>
      <c r="G8" s="323"/>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3"/>
      <c r="X8" s="292"/>
    </row>
    <row r="9" spans="1:24" s="137" customFormat="1" ht="63">
      <c r="A9" s="136"/>
      <c r="B9" s="180" t="s">
        <v>54</v>
      </c>
      <c r="C9" s="317" t="s">
        <v>55</v>
      </c>
      <c r="D9" s="139"/>
      <c r="E9" s="169"/>
      <c r="F9" s="166"/>
      <c r="G9" s="323"/>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6"/>
      <c r="X9" s="298"/>
    </row>
    <row r="10" spans="1:24" s="137" customFormat="1" ht="63">
      <c r="A10" s="136"/>
      <c r="B10" s="180" t="s">
        <v>56</v>
      </c>
      <c r="C10" s="317" t="s">
        <v>57</v>
      </c>
      <c r="D10" s="139"/>
      <c r="E10" s="169"/>
      <c r="F10" s="166"/>
      <c r="G10" s="323"/>
      <c r="H10" s="140"/>
      <c r="I10" s="141"/>
      <c r="J10" s="110"/>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3"/>
      <c r="X10" s="292"/>
    </row>
    <row r="11" spans="1:24">
      <c r="V11"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0 I7:I10">
    <cfRule type="expression" dxfId="332" priority="79">
      <formula>FIND("Réagir",E7)</formula>
    </cfRule>
    <cfRule type="expression" dxfId="331" priority="78">
      <formula>FIND("Agir",E7)</formula>
    </cfRule>
  </conditionalFormatting>
  <conditionalFormatting sqref="D7:D10">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0">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0">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0 G8:H10">
    <cfRule type="expression" dxfId="317" priority="69" stopIfTrue="1">
      <formula>ISTEXT(G7)</formula>
    </cfRule>
  </conditionalFormatting>
  <conditionalFormatting sqref="H7:H10">
    <cfRule type="expression" dxfId="316" priority="45" stopIfTrue="1">
      <formula>ISTEXT(H7)</formula>
    </cfRule>
    <cfRule type="expression" dxfId="315" priority="46">
      <formula>FIND("Conforter",J7)</formula>
    </cfRule>
  </conditionalFormatting>
  <conditionalFormatting sqref="I7:I10 D7:D10">
    <cfRule type="expression" dxfId="314" priority="77" stopIfTrue="1">
      <formula>ISTEXT(D7)</formula>
    </cfRule>
  </conditionalFormatting>
  <conditionalFormatting sqref="I7:J10">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0">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0">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3"/>
  <sheetViews>
    <sheetView zoomScale="90" zoomScaleNormal="90" workbookViewId="0">
      <selection activeCell="G7" sqref="G7:G13"/>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7" t="s">
        <v>58</v>
      </c>
      <c r="C2" s="328"/>
      <c r="D2" s="328" t="s">
        <v>0</v>
      </c>
      <c r="E2" s="328"/>
      <c r="F2" s="328"/>
      <c r="G2" s="329"/>
      <c r="H2" s="49"/>
      <c r="I2" s="49"/>
      <c r="J2" s="49"/>
      <c r="V2" s="49"/>
      <c r="W2" s="49"/>
    </row>
    <row r="3" spans="1:447" s="46" customFormat="1" ht="17" thickBot="1">
      <c r="B3" s="349"/>
      <c r="C3" s="350"/>
      <c r="D3" s="350"/>
      <c r="E3" s="350"/>
      <c r="F3" s="350"/>
      <c r="G3" s="350"/>
      <c r="H3" s="350"/>
      <c r="I3" s="350"/>
      <c r="J3" s="351"/>
      <c r="K3" s="351"/>
      <c r="L3" s="351"/>
      <c r="M3" s="351"/>
      <c r="N3" s="351"/>
      <c r="O3" s="351"/>
      <c r="P3" s="351"/>
      <c r="Q3" s="351"/>
      <c r="R3" s="351"/>
      <c r="S3" s="351"/>
      <c r="T3" s="351"/>
      <c r="U3" s="351"/>
      <c r="V3" s="351"/>
      <c r="W3" s="352"/>
    </row>
    <row r="4" spans="1:447" ht="19">
      <c r="A4" s="46"/>
      <c r="B4" s="333"/>
      <c r="C4" s="334"/>
      <c r="D4" s="337" t="s">
        <v>11</v>
      </c>
      <c r="E4" s="338"/>
      <c r="F4" s="339" t="s">
        <v>12</v>
      </c>
      <c r="G4" s="340"/>
      <c r="H4" s="341" t="s">
        <v>13</v>
      </c>
      <c r="I4" s="342"/>
      <c r="J4" s="79" t="s">
        <v>14</v>
      </c>
      <c r="K4" s="80"/>
      <c r="L4" s="80"/>
      <c r="M4" s="80"/>
      <c r="N4" s="80"/>
      <c r="O4" s="80"/>
      <c r="P4" s="80"/>
      <c r="Q4" s="80"/>
      <c r="R4" s="80"/>
      <c r="S4" s="80"/>
      <c r="T4" s="80"/>
      <c r="U4" s="80"/>
      <c r="V4" s="353" t="s">
        <v>15</v>
      </c>
      <c r="W4" s="353"/>
      <c r="X4" s="353"/>
    </row>
    <row r="5" spans="1:447" s="53" customFormat="1" ht="207" customHeight="1" thickBot="1">
      <c r="A5" s="52"/>
      <c r="B5" s="335"/>
      <c r="C5" s="336"/>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0" t="s">
        <v>33</v>
      </c>
      <c r="W5" s="290"/>
      <c r="X5" s="290"/>
    </row>
    <row r="6" spans="1:447" s="60" customFormat="1" ht="19" thickBot="1">
      <c r="A6" s="59"/>
      <c r="B6" s="330" t="s">
        <v>35</v>
      </c>
      <c r="C6" s="331"/>
      <c r="D6" s="332"/>
      <c r="E6" s="332"/>
      <c r="F6" s="332"/>
      <c r="G6" s="332"/>
      <c r="H6" s="332"/>
      <c r="I6" s="332"/>
      <c r="J6" s="332"/>
      <c r="K6" s="332"/>
      <c r="L6" s="332"/>
      <c r="M6" s="332"/>
      <c r="N6" s="332"/>
      <c r="O6" s="332"/>
      <c r="P6" s="332"/>
      <c r="Q6" s="332"/>
      <c r="R6" s="332"/>
      <c r="S6" s="332"/>
      <c r="T6" s="332"/>
      <c r="U6" s="332"/>
      <c r="V6" s="347"/>
      <c r="W6" s="348"/>
    </row>
    <row r="7" spans="1:447" s="137" customFormat="1" ht="63">
      <c r="A7" s="136"/>
      <c r="B7" s="181" t="s">
        <v>59</v>
      </c>
      <c r="C7" s="317" t="s">
        <v>60</v>
      </c>
      <c r="D7" s="139"/>
      <c r="E7" s="169"/>
      <c r="F7" s="166"/>
      <c r="G7" s="323"/>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4"/>
      <c r="X7" s="298"/>
      <c r="Y7" s="182"/>
      <c r="Z7" s="182"/>
    </row>
    <row r="8" spans="1:447" s="137" customFormat="1" ht="63">
      <c r="A8" s="136"/>
      <c r="B8" s="181" t="s">
        <v>61</v>
      </c>
      <c r="C8" s="317" t="s">
        <v>62</v>
      </c>
      <c r="D8" s="139"/>
      <c r="E8" s="169"/>
      <c r="F8" s="166"/>
      <c r="G8" s="323"/>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3"/>
      <c r="X8" s="292"/>
    </row>
    <row r="9" spans="1:447" s="137" customFormat="1" ht="105">
      <c r="A9" s="136"/>
      <c r="B9" s="181" t="s">
        <v>63</v>
      </c>
      <c r="C9" s="317" t="s">
        <v>64</v>
      </c>
      <c r="D9" s="139"/>
      <c r="E9" s="169"/>
      <c r="F9" s="166"/>
      <c r="G9" s="323"/>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6"/>
      <c r="X9" s="298"/>
    </row>
    <row r="10" spans="1:447" s="138" customFormat="1" ht="42">
      <c r="A10" s="136"/>
      <c r="B10" s="181" t="s">
        <v>65</v>
      </c>
      <c r="C10" s="318" t="s">
        <v>66</v>
      </c>
      <c r="D10" s="139"/>
      <c r="E10" s="169"/>
      <c r="F10" s="166"/>
      <c r="G10" s="323"/>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5"/>
      <c r="X10" s="298"/>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7" t="s">
        <v>68</v>
      </c>
      <c r="D11" s="139"/>
      <c r="E11" s="169"/>
      <c r="F11" s="166"/>
      <c r="G11" s="323"/>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6"/>
      <c r="X11" s="292"/>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7" t="s">
        <v>70</v>
      </c>
      <c r="D12" s="139"/>
      <c r="E12" s="171"/>
      <c r="F12" s="167"/>
      <c r="G12" s="323"/>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6"/>
      <c r="X12" s="298"/>
    </row>
    <row r="13" spans="1:447" s="137" customFormat="1" ht="21">
      <c r="A13" s="136"/>
      <c r="B13" s="181" t="s">
        <v>71</v>
      </c>
      <c r="C13" s="317" t="s">
        <v>72</v>
      </c>
      <c r="D13" s="139"/>
      <c r="E13" s="171"/>
      <c r="F13" s="167"/>
      <c r="G13" s="323"/>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5"/>
      <c r="X13" s="292"/>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3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3 K10:T10">
    <cfRule type="expression" dxfId="273" priority="102" stopIfTrue="1">
      <formula>ISTEXT(D7)</formula>
    </cfRule>
  </conditionalFormatting>
  <conditionalFormatting sqref="F7:F13">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3">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3 G8:H9 G10:G12">
    <cfRule type="expression" dxfId="259" priority="142">
      <formula>FIND("Conforter",J7)</formula>
    </cfRule>
    <cfRule type="expression" dxfId="258" priority="141" stopIfTrue="1">
      <formula>ISTEXT(G7)</formula>
    </cfRule>
  </conditionalFormatting>
  <conditionalFormatting sqref="H7:H13 G8:H12">
    <cfRule type="expression" dxfId="257" priority="121">
      <formula>FIND("Conforter",J7)</formula>
    </cfRule>
  </conditionalFormatting>
  <conditionalFormatting sqref="H7:H13">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3 G7:I12 V7:V9 V13">
    <cfRule type="expression" dxfId="251" priority="120" stopIfTrue="1">
      <formula>ISTEXT(G7)</formula>
    </cfRule>
  </conditionalFormatting>
  <conditionalFormatting sqref="H13">
    <cfRule type="expression" dxfId="250" priority="116">
      <formula>FIND("Conforter",K13)</formula>
    </cfRule>
  </conditionalFormatting>
  <conditionalFormatting sqref="H13:I13">
    <cfRule type="expression" dxfId="249" priority="115" stopIfTrue="1">
      <formula>ISTEXT(H13)</formula>
    </cfRule>
  </conditionalFormatting>
  <conditionalFormatting sqref="I7:I13">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3">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3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3">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3">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3">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7" t="s">
        <v>73</v>
      </c>
      <c r="C2" s="328"/>
      <c r="D2" s="328"/>
      <c r="E2" s="328"/>
      <c r="F2" s="328"/>
      <c r="G2" s="329"/>
      <c r="H2" s="49"/>
      <c r="I2" s="49"/>
      <c r="J2" s="49"/>
      <c r="V2" s="49"/>
      <c r="W2" s="49"/>
    </row>
    <row r="3" spans="1:24" s="46" customFormat="1" ht="17" thickBot="1">
      <c r="B3" s="349"/>
      <c r="C3" s="350"/>
      <c r="D3" s="350"/>
      <c r="E3" s="350"/>
      <c r="F3" s="350"/>
      <c r="G3" s="350"/>
      <c r="H3" s="350"/>
      <c r="I3" s="350"/>
      <c r="J3" s="351"/>
      <c r="K3" s="351"/>
      <c r="L3" s="351"/>
      <c r="M3" s="351"/>
      <c r="N3" s="351"/>
      <c r="O3" s="351"/>
      <c r="P3" s="351"/>
      <c r="Q3" s="351"/>
      <c r="R3" s="351"/>
      <c r="S3" s="351"/>
      <c r="T3" s="351"/>
      <c r="U3" s="351"/>
      <c r="V3" s="350"/>
      <c r="W3" s="357"/>
    </row>
    <row r="4" spans="1:24" ht="21.75" customHeight="1">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168" customHeight="1" thickBot="1">
      <c r="A5" s="52"/>
      <c r="B5" s="335"/>
      <c r="C5" s="336"/>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0"/>
    </row>
    <row r="6" spans="1:24" s="60" customFormat="1" ht="31.5" customHeight="1" thickBot="1">
      <c r="A6" s="59"/>
      <c r="B6" s="354" t="s">
        <v>35</v>
      </c>
      <c r="C6" s="355"/>
      <c r="D6" s="347"/>
      <c r="E6" s="347"/>
      <c r="F6" s="347"/>
      <c r="G6" s="347"/>
      <c r="H6" s="347"/>
      <c r="I6" s="347"/>
      <c r="J6" s="347"/>
      <c r="K6" s="347"/>
      <c r="L6" s="347"/>
      <c r="M6" s="347"/>
      <c r="N6" s="347"/>
      <c r="O6" s="347"/>
      <c r="P6" s="347"/>
      <c r="Q6" s="347"/>
      <c r="R6" s="347"/>
      <c r="S6" s="347"/>
      <c r="T6" s="347"/>
      <c r="U6" s="347"/>
      <c r="V6" s="347"/>
      <c r="W6" s="356"/>
    </row>
    <row r="7" spans="1:24" s="137" customFormat="1" ht="84">
      <c r="A7" s="136"/>
      <c r="B7" s="180" t="s">
        <v>74</v>
      </c>
      <c r="C7" s="317" t="s">
        <v>75</v>
      </c>
      <c r="D7" s="139"/>
      <c r="E7" s="169"/>
      <c r="F7" s="166"/>
      <c r="G7" s="323"/>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4"/>
      <c r="X7" s="292"/>
    </row>
    <row r="8" spans="1:24" s="137" customFormat="1" ht="63">
      <c r="A8" s="136"/>
      <c r="B8" s="180" t="s">
        <v>76</v>
      </c>
      <c r="C8" s="317" t="s">
        <v>77</v>
      </c>
      <c r="D8" s="139"/>
      <c r="E8" s="169"/>
      <c r="F8" s="166"/>
      <c r="G8" s="323"/>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3"/>
      <c r="X8" s="292"/>
    </row>
    <row r="9" spans="1:24" s="137" customFormat="1" ht="63">
      <c r="A9" s="136"/>
      <c r="B9" s="180" t="s">
        <v>78</v>
      </c>
      <c r="C9" s="317" t="s">
        <v>79</v>
      </c>
      <c r="D9" s="139"/>
      <c r="E9" s="169"/>
      <c r="F9" s="166"/>
      <c r="G9" s="323"/>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6"/>
      <c r="X9" s="298"/>
    </row>
    <row r="10" spans="1:24" ht="42">
      <c r="B10" s="180" t="s">
        <v>80</v>
      </c>
      <c r="C10" s="317" t="s">
        <v>81</v>
      </c>
      <c r="D10" s="139"/>
      <c r="E10" s="169"/>
      <c r="F10" s="166"/>
      <c r="G10" s="323"/>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6"/>
      <c r="X10" s="298"/>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2"/>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82</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220" thickBot="1">
      <c r="A5" s="52"/>
      <c r="B5" s="335"/>
      <c r="C5" s="336"/>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0"/>
    </row>
    <row r="6" spans="1:24" s="60" customFormat="1" ht="18">
      <c r="A6" s="59"/>
      <c r="B6" s="354" t="s">
        <v>35</v>
      </c>
      <c r="C6" s="355"/>
      <c r="D6" s="347"/>
      <c r="E6" s="347"/>
      <c r="F6" s="347"/>
      <c r="G6" s="347"/>
      <c r="H6" s="347"/>
      <c r="I6" s="347"/>
      <c r="J6" s="347"/>
      <c r="K6" s="347"/>
      <c r="L6" s="347"/>
      <c r="M6" s="347"/>
      <c r="N6" s="347"/>
      <c r="O6" s="347"/>
      <c r="P6" s="347"/>
      <c r="Q6" s="347"/>
      <c r="R6" s="347"/>
      <c r="S6" s="347"/>
      <c r="T6" s="347"/>
      <c r="U6" s="347"/>
      <c r="V6" s="347"/>
      <c r="W6" s="356"/>
    </row>
    <row r="7" spans="1:24" s="137" customFormat="1" ht="43" thickBot="1">
      <c r="A7" s="136"/>
      <c r="B7" s="180" t="s">
        <v>83</v>
      </c>
      <c r="C7" s="317" t="s">
        <v>84</v>
      </c>
      <c r="D7" s="184"/>
      <c r="E7" s="169"/>
      <c r="F7" s="166"/>
      <c r="G7" s="323"/>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8"/>
    </row>
    <row r="8" spans="1:24" s="137" customFormat="1" ht="64" thickBot="1">
      <c r="A8" s="136"/>
      <c r="B8" s="180" t="s">
        <v>85</v>
      </c>
      <c r="C8" s="317" t="s">
        <v>86</v>
      </c>
      <c r="D8" s="184"/>
      <c r="E8" s="169"/>
      <c r="F8" s="166"/>
      <c r="G8" s="323"/>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8"/>
    </row>
    <row r="9" spans="1:24" s="137" customFormat="1" ht="64" thickBot="1">
      <c r="A9" s="136"/>
      <c r="B9" s="180" t="s">
        <v>87</v>
      </c>
      <c r="C9" s="317" t="s">
        <v>135</v>
      </c>
      <c r="D9" s="184"/>
      <c r="E9" s="169"/>
      <c r="F9" s="166"/>
      <c r="G9" s="323"/>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8"/>
    </row>
    <row r="10" spans="1:24" s="137" customFormat="1" ht="64" thickBot="1">
      <c r="A10" s="136"/>
      <c r="B10" s="180" t="s">
        <v>89</v>
      </c>
      <c r="C10" s="317" t="s">
        <v>90</v>
      </c>
      <c r="D10" s="184"/>
      <c r="E10" s="169"/>
      <c r="F10" s="166"/>
      <c r="G10" s="323"/>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8"/>
    </row>
    <row r="11" spans="1:24" s="137" customFormat="1" ht="22" thickBot="1">
      <c r="A11" s="136"/>
      <c r="B11" s="180" t="s">
        <v>91</v>
      </c>
      <c r="C11" s="317" t="s">
        <v>92</v>
      </c>
      <c r="D11" s="184"/>
      <c r="E11" s="169"/>
      <c r="F11" s="166"/>
      <c r="G11" s="323"/>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8"/>
    </row>
    <row r="12" spans="1:24" s="138" customFormat="1" ht="43" thickBot="1">
      <c r="A12" s="136"/>
      <c r="B12" s="180" t="s">
        <v>93</v>
      </c>
      <c r="C12" s="317" t="s">
        <v>94</v>
      </c>
      <c r="D12" s="184"/>
      <c r="E12" s="169"/>
      <c r="F12" s="166"/>
      <c r="G12" s="323"/>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299"/>
    </row>
  </sheetData>
  <dataConsolidate/>
  <mergeCells count="8">
    <mergeCell ref="B2:G2"/>
    <mergeCell ref="B6:W6"/>
    <mergeCell ref="B4:C5"/>
    <mergeCell ref="D4:E4"/>
    <mergeCell ref="F4:G4"/>
    <mergeCell ref="H4:I4"/>
    <mergeCell ref="V4:X4"/>
    <mergeCell ref="B3:X3"/>
  </mergeCells>
  <phoneticPr fontId="42" type="noConversion"/>
  <conditionalFormatting sqref="A4 I7:I12 D7:D12">
    <cfRule type="expression" dxfId="137" priority="313">
      <formula>FIND("Réagir",B4)</formula>
    </cfRule>
    <cfRule type="expression" dxfId="136" priority="312">
      <formula>FIND("Agir",B4)</formula>
    </cfRule>
  </conditionalFormatting>
  <conditionalFormatting sqref="A4 I7:I12">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2">
    <cfRule type="expression" dxfId="128" priority="247" stopIfTrue="1">
      <formula>ISTEXT(D7)</formula>
    </cfRule>
    <cfRule type="expression" dxfId="127" priority="248">
      <formula>FIND("Conforter",F7)</formula>
    </cfRule>
  </conditionalFormatting>
  <conditionalFormatting sqref="D7:G12">
    <cfRule type="expression" dxfId="126" priority="300" stopIfTrue="1">
      <formula>ISTEXT(D7)</formula>
    </cfRule>
  </conditionalFormatting>
  <conditionalFormatting sqref="F7:G12">
    <cfRule type="expression" dxfId="125" priority="301">
      <formula>FIND("Conforter",I7)</formula>
    </cfRule>
  </conditionalFormatting>
  <conditionalFormatting sqref="G7:G12">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2">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2 V7:W12">
    <cfRule type="containsText" dxfId="115" priority="302" stopIfTrue="1" operator="containsText" text="Première">
      <formula>NOT(ISERROR(SEARCH("Première",I7)))</formula>
    </cfRule>
  </conditionalFormatting>
  <conditionalFormatting sqref="I7:J7 V7:W12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2">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2">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2"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2"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2"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8" t="s">
        <v>95</v>
      </c>
      <c r="C2" s="358"/>
      <c r="D2" s="358"/>
      <c r="E2" s="358"/>
      <c r="F2" s="358"/>
      <c r="G2" s="1"/>
      <c r="H2" s="1"/>
      <c r="I2" s="1"/>
      <c r="J2" s="1"/>
      <c r="K2" s="1"/>
    </row>
    <row r="3" spans="1:11" ht="22" thickBot="1">
      <c r="A3" s="1"/>
      <c r="B3" s="2"/>
      <c r="C3" s="1"/>
      <c r="D3" s="1"/>
      <c r="E3" s="1"/>
      <c r="F3" s="1"/>
      <c r="G3" s="1"/>
      <c r="H3" s="1"/>
      <c r="I3" s="1"/>
      <c r="J3" s="1"/>
      <c r="K3" s="1"/>
    </row>
    <row r="4" spans="1:11" ht="59.25" customHeight="1">
      <c r="A4" s="359" t="s">
        <v>11</v>
      </c>
      <c r="B4" s="3">
        <v>3</v>
      </c>
      <c r="C4" s="4"/>
      <c r="D4" s="26"/>
      <c r="E4" s="5"/>
      <c r="F4" s="6"/>
      <c r="G4" s="7"/>
      <c r="H4" s="8" t="s">
        <v>23</v>
      </c>
      <c r="I4" s="9" t="s">
        <v>27</v>
      </c>
      <c r="J4" s="1"/>
      <c r="K4" s="1"/>
    </row>
    <row r="5" spans="1:11" ht="59.25" customHeight="1">
      <c r="A5" s="359"/>
      <c r="B5" s="10">
        <v>2</v>
      </c>
      <c r="C5" s="28"/>
      <c r="D5" s="11"/>
      <c r="E5" s="30"/>
      <c r="F5" s="13"/>
      <c r="G5" s="7"/>
      <c r="H5" s="27" t="s">
        <v>24</v>
      </c>
      <c r="I5" s="15" t="s">
        <v>28</v>
      </c>
      <c r="J5" s="1"/>
      <c r="K5" s="1"/>
    </row>
    <row r="6" spans="1:11" ht="59.25" customHeight="1">
      <c r="A6" s="359"/>
      <c r="B6" s="10">
        <v>1</v>
      </c>
      <c r="C6" s="29"/>
      <c r="D6" s="12"/>
      <c r="E6" s="16"/>
      <c r="F6" s="13"/>
      <c r="G6" s="7"/>
      <c r="H6" s="14" t="s">
        <v>25</v>
      </c>
      <c r="I6" s="18" t="s">
        <v>29</v>
      </c>
      <c r="J6" s="1"/>
      <c r="K6" s="1"/>
    </row>
    <row r="7" spans="1:11" ht="59.25" customHeight="1">
      <c r="A7" s="359"/>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0" t="s">
        <v>96</v>
      </c>
      <c r="D9" s="360"/>
      <c r="E9" s="360"/>
      <c r="F9" s="360"/>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36"/>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6" t="s">
        <v>97</v>
      </c>
      <c r="C2" s="367"/>
      <c r="D2" s="370"/>
      <c r="E2" s="371"/>
      <c r="F2" s="372"/>
      <c r="G2" s="373"/>
      <c r="H2" s="374"/>
      <c r="I2" s="375"/>
      <c r="J2" s="111"/>
      <c r="K2" s="112"/>
      <c r="L2" s="112"/>
      <c r="M2" s="112"/>
      <c r="N2" s="112"/>
      <c r="O2" s="112"/>
      <c r="P2" s="112"/>
      <c r="Q2" s="112"/>
      <c r="R2" s="112"/>
      <c r="S2" s="112"/>
      <c r="T2" s="112"/>
      <c r="U2" s="112"/>
      <c r="V2" s="376" t="s">
        <v>98</v>
      </c>
      <c r="W2" s="377"/>
      <c r="X2" s="378"/>
      <c r="Y2" s="364" t="s">
        <v>99</v>
      </c>
      <c r="Z2" s="365"/>
    </row>
    <row r="3" spans="1:38" s="114" customFormat="1" ht="218" thickBot="1">
      <c r="A3" s="113"/>
      <c r="B3" s="368"/>
      <c r="C3" s="369"/>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1" t="str">
        <f>'ONR 1'!B2</f>
        <v xml:space="preserve">ONR 1  -   SOBRIÉTÉ : S'engager à optimiser les outils numériques pour limiter leurs impacts et consommation					</v>
      </c>
      <c r="C4" s="382"/>
      <c r="D4" s="382"/>
      <c r="E4" s="382"/>
      <c r="F4" s="382"/>
      <c r="G4" s="382"/>
      <c r="H4" s="382"/>
      <c r="I4" s="382"/>
      <c r="J4" s="382"/>
      <c r="K4" s="382"/>
      <c r="L4" s="382"/>
      <c r="M4" s="382"/>
      <c r="N4" s="382"/>
      <c r="O4" s="382"/>
      <c r="P4" s="382"/>
      <c r="Q4" s="382"/>
      <c r="R4" s="382"/>
      <c r="S4" s="382"/>
      <c r="T4" s="382"/>
      <c r="U4" s="382"/>
      <c r="V4" s="382"/>
      <c r="W4" s="382"/>
      <c r="X4" s="382"/>
      <c r="Y4" s="382"/>
      <c r="Z4" s="383"/>
      <c r="AB4" s="116" t="str">
        <f>B4</f>
        <v xml:space="preserve">ONR 1  -   SOBRIÉTÉ : S'engager à optimiser les outils numériques pour limiter leurs impacts et consommation					</v>
      </c>
      <c r="AC4" s="116">
        <v>6</v>
      </c>
      <c r="AD4" s="116">
        <f>AC4-AE4</f>
        <v>3</v>
      </c>
      <c r="AE4" s="117">
        <f t="shared" ref="AE4:AL4" si="0">SUM(AE5:AE11)</f>
        <v>3</v>
      </c>
      <c r="AF4" s="117">
        <f t="shared" si="0"/>
        <v>2</v>
      </c>
      <c r="AG4" s="117">
        <f t="shared" si="0"/>
        <v>1</v>
      </c>
      <c r="AH4" s="117">
        <f t="shared" si="0"/>
        <v>1</v>
      </c>
      <c r="AI4" s="117">
        <f t="shared" si="0"/>
        <v>0</v>
      </c>
      <c r="AJ4" s="117">
        <f t="shared" si="0"/>
        <v>0</v>
      </c>
      <c r="AK4" s="117">
        <f t="shared" si="0"/>
        <v>0</v>
      </c>
      <c r="AL4" s="117">
        <f t="shared" si="0"/>
        <v>0</v>
      </c>
    </row>
    <row r="5" spans="1:38" s="205" customFormat="1" ht="38">
      <c r="A5" s="199"/>
      <c r="B5" s="218" t="str">
        <f>'ONR 1'!B7</f>
        <v>1.1</v>
      </c>
      <c r="C5" s="218" t="str">
        <f>'ONR 1'!C7</f>
        <v>En intégrant le Cycle de Vie complet des équipements et logiciels pour le mettre au service de la transition énergétique</v>
      </c>
      <c r="D5" s="223" t="str">
        <f>'ONR 1'!D7</f>
        <v>Enjeux (opportunités et menaces) : Opportunité de réduire l'empreinte carbone globale de l'organisation et d'anticiper les futures réglementations environnementales. La menace est le coût initial potentiellement plus élevé d'équipements éco-conçus.</v>
      </c>
      <c r="E5" s="267">
        <f>'ONR 1'!E7</f>
        <v>3</v>
      </c>
      <c r="F5" s="274">
        <f>'ONR 1'!F7</f>
        <v>1</v>
      </c>
      <c r="G5" s="200" t="str">
        <f>'ONR 1'!G7</f>
        <v>Actuellement, le seul critère pris en compte lors des achats est le prix direct. Aucune analyse du cycle de vie (ACV) n'est demandée aux fournisseurs lors des appels d'offres</v>
      </c>
      <c r="H5" s="201">
        <f>'ONR 1'!H7</f>
        <v>3</v>
      </c>
      <c r="I5" s="225" t="str">
        <f>'ONR 1'!I7</f>
        <v>Faiblesse : manque de connaissances de l'équipe Achats sur les labels environnementaux informatiques. Force : volonté forte de la direction des achats d'évoluer vers des pratiques durables</v>
      </c>
      <c r="J5" s="226" t="str">
        <f>S5</f>
        <v>Intervention urgente</v>
      </c>
      <c r="K5" s="227">
        <f t="shared" ref="K5:K9" si="1">E5*10+F5</f>
        <v>31</v>
      </c>
      <c r="L5" s="227" t="b">
        <f>OR(K5=31)</f>
        <v>1</v>
      </c>
      <c r="M5" s="227" t="b">
        <f>OR(K5=21,K5=32)</f>
        <v>0</v>
      </c>
      <c r="N5" s="227" t="b">
        <f>OR(K5=22,K5=33)</f>
        <v>0</v>
      </c>
      <c r="O5" s="227" t="b">
        <f>OR(K5=11,K5=12)</f>
        <v>0</v>
      </c>
      <c r="P5" s="227" t="b">
        <f>OR(K5=23,K5=34)</f>
        <v>0</v>
      </c>
      <c r="Q5" s="227" t="b">
        <f>OR(K5=13,K5=14,K5=24)</f>
        <v>0</v>
      </c>
      <c r="R5" s="227" t="b">
        <f>OR(K5=1,K5=2,K5=3,K5=4)</f>
        <v>0</v>
      </c>
      <c r="S5" s="228" t="str">
        <f t="shared" ref="S5:S9" si="2">IF(COUNTA(E5:F5)&lt;2,"",(IF(L5=TRUE,$L$3,IF(M5=TRUE,$M$3,IF(N5=TRUE,$N$3,IF(O5=TRUE,$O$3,IF(P5=TRUE,$P$3,IF(Q5=TRUE,$Q$3,IF(R5=TRUE,$R$3,0)))))))))</f>
        <v>Intervention urgente</v>
      </c>
      <c r="T5" s="226">
        <f t="shared" ref="T5:T9" si="3">IF(COUNTA(E5:F5)&lt;2,"",(IF(L5=TRUE,6,IF(M5=TRUE,5,IF(N5=TRUE,4,IF(O5=TRUE,3,IF(P5=TRUE,2,IF(Q5=TRUE,1,IF(R5=TRUE,0,0)))))))))</f>
        <v>6</v>
      </c>
      <c r="U5" s="227">
        <f t="shared" ref="U5:U9" si="4">T5*10+H5</f>
        <v>63</v>
      </c>
      <c r="V5" s="229" t="str">
        <f t="shared" ref="V5:V11" si="5">G5</f>
        <v>Actuellement, le seul critère pris en compte lors des achats est le prix direct. Aucune analyse du cycle de vie (ACV) n'est demandée aux fournisseurs lors des appels d'offres</v>
      </c>
      <c r="W5" s="203" t="str">
        <f>'ONR 1'!V7</f>
        <v>Former l'équipe Achats aux critères du Numérique Responsable (labels TCO, EPEAT). Intégrer une pondération environnementale de 15% dans les prochains appels d'offres de renouvellement de serveurs</v>
      </c>
      <c r="X5" s="204">
        <f>'ONR 1'!W7</f>
        <v>0</v>
      </c>
      <c r="Y5" s="230" t="str">
        <f t="shared" ref="Y5:Y11" si="6">I5</f>
        <v>Faiblesse : manque de connaissances de l'équipe Achats sur les labels environnementaux informatiques. Force : volonté forte de la direction des achats d'évoluer vers des pratiques durables</v>
      </c>
      <c r="Z5" s="230" t="str">
        <f t="shared" ref="Z5:Z11" si="7">D5</f>
        <v>Enjeux (opportunités et menaces) : Opportunité de réduire l'empreinte carbone globale de l'organisation et d'anticiper les futures réglementations environnementales. La menace est le coût initial potentiellement plus élevé d'équipements éco-conçus.</v>
      </c>
      <c r="AE5" s="206">
        <f t="shared" ref="AE5:AE11" si="8">IF(K5=0,1,0)</f>
        <v>0</v>
      </c>
      <c r="AF5" s="206">
        <f t="shared" ref="AF5:AL11" si="9">IF(L5=TRUE,1,0)</f>
        <v>1</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t="str">
        <f>'ONR 1'!D8</f>
        <v>Enjeux (opportunités et menaces) : Opportunité de faire des économies budgétaires significatives (CAPEX) et de réduire drastiquement la production de déchets électroniques (DEEE).</v>
      </c>
      <c r="E6" s="268">
        <f>'ONR 1'!E8</f>
        <v>3</v>
      </c>
      <c r="F6" s="275">
        <f>'ONR 1'!F8</f>
        <v>3</v>
      </c>
      <c r="G6" s="207" t="str">
        <f>'ONR 1'!G8</f>
        <v>La durée de renouvellement standard des ordinateurs portables est passée de 3 ans à 4 ans l'année dernière. Un contrat de maintenance est en place.</v>
      </c>
      <c r="H6" s="201">
        <f>'ONR 1'!H8</f>
        <v>2</v>
      </c>
      <c r="I6" s="225" t="str">
        <f>'ONR 1'!I8</f>
        <v>Force : capacité technique à réparer en interne. Faiblesse : pression psychologique de certains utilisateurs exigeant du matériel neuf et esthétique.</v>
      </c>
      <c r="J6" s="232" t="str">
        <f t="shared" ref="J6:J9" si="10">S6</f>
        <v>Intervention à moyen terme</v>
      </c>
      <c r="K6" s="233">
        <f t="shared" si="1"/>
        <v>33</v>
      </c>
      <c r="L6" s="233" t="b">
        <f t="shared" ref="L6:L9" si="11">OR(K6=31)</f>
        <v>0</v>
      </c>
      <c r="M6" s="233" t="b">
        <f t="shared" ref="M6:M9" si="12">OR(K6=21,K6=32)</f>
        <v>0</v>
      </c>
      <c r="N6" s="233" t="b">
        <f t="shared" ref="N6:N9" si="13">OR(K6=22,K6=33)</f>
        <v>1</v>
      </c>
      <c r="O6" s="233" t="b">
        <f t="shared" ref="O6:O9" si="14">OR(K6=11,K6=12)</f>
        <v>0</v>
      </c>
      <c r="P6" s="233" t="b">
        <f t="shared" ref="P6:P9" si="15">OR(K6=23,K6=34)</f>
        <v>0</v>
      </c>
      <c r="Q6" s="233" t="b">
        <f t="shared" ref="Q6:Q9" si="16">OR(K6=13,K6=14,K6=24)</f>
        <v>0</v>
      </c>
      <c r="R6" s="233" t="b">
        <f t="shared" ref="R6:R9" si="17">OR(K6=1,K6=2,K6=3,K6=4)</f>
        <v>0</v>
      </c>
      <c r="S6" s="234" t="str">
        <f t="shared" si="2"/>
        <v>Intervention à moyen terme</v>
      </c>
      <c r="T6" s="232">
        <f t="shared" si="3"/>
        <v>4</v>
      </c>
      <c r="U6" s="233">
        <f t="shared" si="4"/>
        <v>42</v>
      </c>
      <c r="V6" s="235" t="str">
        <f t="shared" si="5"/>
        <v>La durée de renouvellement standard des ordinateurs portables est passée de 3 ans à 4 ans l'année dernière. Un contrat de maintenance est en place.</v>
      </c>
      <c r="W6" s="235" t="str">
        <f>'ONR 1'!V8</f>
        <v>Allonger la politique d'amortissement à 5 ans minimum. Créer un stock de pièces détachées pour faciliter les réparations rapides. Lancer une campagne de communication interne pour valoriser l'impact carbone évité en gardant son ordinateur plus longtemps</v>
      </c>
      <c r="X6" s="204">
        <f>'ONR 1'!W8</f>
        <v>0</v>
      </c>
      <c r="Y6" s="236" t="str">
        <f t="shared" si="6"/>
        <v>Force : capacité technique à réparer en interne. Faiblesse : pression psychologique de certains utilisateurs exigeant du matériel neuf et esthétique.</v>
      </c>
      <c r="Z6" s="236" t="str">
        <f t="shared" si="7"/>
        <v>Enjeux (opportunités et menaces) : Opportunité de faire des économies budgétaires significatives (CAPEX) et de réduire drastiquement la production de déchets électroniques (DEEE).</v>
      </c>
      <c r="AE6" s="206">
        <f t="shared" si="8"/>
        <v>0</v>
      </c>
      <c r="AF6" s="206">
        <f t="shared" si="9"/>
        <v>0</v>
      </c>
      <c r="AG6" s="206">
        <f t="shared" si="9"/>
        <v>0</v>
      </c>
      <c r="AH6" s="206">
        <f t="shared" si="9"/>
        <v>1</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t="str">
        <f>'ONR 1'!D9</f>
        <v>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v>
      </c>
      <c r="E7" s="268">
        <f>'ONR 1'!E9</f>
        <v>3</v>
      </c>
      <c r="F7" s="275">
        <f>'ONR 1'!F9</f>
        <v>2</v>
      </c>
      <c r="G7" s="207" t="str">
        <f>'ONR 1'!G9</f>
        <v>Documentation et mesures en place : Actuellement, les nouveaux services numériques ou sites web sont validés uniquement sur des critères fonctionnels, graphiques et financiers. Le "poids" informatique des pages et l'impact environnemental du code ne sont pas mesurés.</v>
      </c>
      <c r="H7" s="201">
        <f>'ONR 1'!H9</f>
        <v>2</v>
      </c>
      <c r="I7" s="225" t="str">
        <f>'ONR 1'!I9</f>
        <v>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v>
      </c>
      <c r="J7" s="232" t="str">
        <f t="shared" si="10"/>
        <v>Intervention prioritaire</v>
      </c>
      <c r="K7" s="233">
        <f t="shared" si="1"/>
        <v>32</v>
      </c>
      <c r="L7" s="233" t="b">
        <f t="shared" si="11"/>
        <v>0</v>
      </c>
      <c r="M7" s="233" t="b">
        <f t="shared" si="12"/>
        <v>1</v>
      </c>
      <c r="N7" s="233" t="b">
        <f t="shared" si="13"/>
        <v>0</v>
      </c>
      <c r="O7" s="233" t="b">
        <f t="shared" si="14"/>
        <v>0</v>
      </c>
      <c r="P7" s="233" t="b">
        <f t="shared" si="15"/>
        <v>0</v>
      </c>
      <c r="Q7" s="233" t="b">
        <f t="shared" si="16"/>
        <v>0</v>
      </c>
      <c r="R7" s="233" t="b">
        <f t="shared" si="17"/>
        <v>0</v>
      </c>
      <c r="S7" s="234" t="str">
        <f t="shared" si="2"/>
        <v>Intervention prioritaire</v>
      </c>
      <c r="T7" s="232">
        <f t="shared" si="3"/>
        <v>5</v>
      </c>
      <c r="U7" s="233">
        <f t="shared" si="4"/>
        <v>52</v>
      </c>
      <c r="V7" s="235" t="str">
        <f t="shared" si="5"/>
        <v>Documentation et mesures en place : Actuellement, les nouveaux services numériques ou sites web sont validés uniquement sur des critères fonctionnels, graphiques et financiers. Le "poids" informatique des pages et l'impact environnemental du code ne sont pas mesurés.</v>
      </c>
      <c r="W7" s="142" t="str">
        <f>'ONR 1'!V9</f>
        <v>1. Former les équipes (Designers, Développeurs, Chefs de projet) aux bonnes pratiques de l'éco-conception numérique.
2. Modifier les cahiers des charges (appels d'offres) : imposer des critères de performance environnementale aux prestataires qui créent les futurs sites ou applications de l'organisation (ex: limite de poids des images, optimisation des requêtes serveurs).
3. Créer une grille d'impact : pour chaque nouveau projet numérique, évaluer formellement à quel(s) Objectif(s) de Développement Durable (ODD) il contribue</v>
      </c>
      <c r="X7" s="204">
        <f>'ONR 1'!W9</f>
        <v>0</v>
      </c>
      <c r="Y7" s="236" t="str">
        <f t="shared" si="6"/>
        <v>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v>
      </c>
      <c r="Z7" s="236" t="str">
        <f t="shared" si="7"/>
        <v>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v>
      </c>
      <c r="AE7" s="206">
        <f t="shared" si="8"/>
        <v>0</v>
      </c>
      <c r="AF7" s="206">
        <f t="shared" si="9"/>
        <v>0</v>
      </c>
      <c r="AG7" s="206">
        <f t="shared" si="9"/>
        <v>1</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1" si="18">S10</f>
        <v>0</v>
      </c>
      <c r="K10" s="233">
        <f t="shared" ref="K10:K11" si="19">E10*10+F10</f>
        <v>0</v>
      </c>
      <c r="L10" s="233" t="b">
        <f t="shared" ref="L10:L11" si="20">OR(K10=31)</f>
        <v>0</v>
      </c>
      <c r="M10" s="233" t="b">
        <f t="shared" ref="M10:M11" si="21">OR(K10=21,K10=32)</f>
        <v>0</v>
      </c>
      <c r="N10" s="233" t="b">
        <f t="shared" ref="N10:N11" si="22">OR(K10=22,K10=33)</f>
        <v>0</v>
      </c>
      <c r="O10" s="233" t="b">
        <f t="shared" ref="O10:O11" si="23">OR(K10=11,K10=12)</f>
        <v>0</v>
      </c>
      <c r="P10" s="233" t="b">
        <f t="shared" ref="P10:P11" si="24">OR(K10=23,K10=34)</f>
        <v>0</v>
      </c>
      <c r="Q10" s="233" t="b">
        <f t="shared" ref="Q10:Q11" si="25">OR(K10=13,K10=14,K10=24)</f>
        <v>0</v>
      </c>
      <c r="R10" s="233" t="b">
        <f t="shared" ref="R10:R11" si="26">OR(K10=1,K10=2,K10=3,K10=4)</f>
        <v>0</v>
      </c>
      <c r="S10" s="234">
        <f t="shared" ref="S10:S11" si="27">IF(COUNTA(E10:F10)&lt;2,"",(IF(L10=TRUE,$L$3,IF(M10=TRUE,$M$3,IF(N10=TRUE,$N$3,IF(O10=TRUE,$O$3,IF(P10=TRUE,$P$3,IF(Q10=TRUE,$Q$3,IF(R10=TRUE,$R$3,0)))))))))</f>
        <v>0</v>
      </c>
      <c r="T10" s="232">
        <f t="shared" ref="T10:T11" si="28">IF(COUNTA(E10:F10)&lt;2,"",(IF(L10=TRUE,6,IF(M10=TRUE,5,IF(N10=TRUE,4,IF(O10=TRUE,3,IF(P10=TRUE,2,IF(Q10=TRUE,1,IF(R10=TRUE,0,0)))))))))</f>
        <v>0</v>
      </c>
      <c r="U10" s="233">
        <f t="shared" ref="U10:U11"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t="str">
        <f>'ONR 1'!D13</f>
        <v>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v>
      </c>
      <c r="E11" s="270">
        <f>'ONR 1'!E13</f>
        <v>3</v>
      </c>
      <c r="F11" s="277">
        <f>'ONR 1'!F13</f>
        <v>1</v>
      </c>
      <c r="G11" s="211" t="str">
        <f>'ONR 1'!G13</f>
        <v>Actuellement, plusieurs projets d'IA générative (type ChatGPT) sont testés par les métiers, mais aucune mesure de leur impact énergétique n'est réalisée et aucune charte d'utilisation n'encadre le besoin réel</v>
      </c>
      <c r="H11" s="212">
        <f>'ONR 1'!H13</f>
        <v>2</v>
      </c>
      <c r="I11" s="225" t="str">
        <f>'ONR 1'!I13</f>
        <v>Force : Une équipe Data/IT curieuse et compétente techniquement. Faiblesse : Manque total de connaissances sur les concepts de "Green AI" (comment mesurer la consommation d'un modèle, comment l'optimiser) et manque de recul critique sur l'utilité réelle de l'IA pour certains cas d'usage</v>
      </c>
      <c r="J11" s="232" t="str">
        <f t="shared" si="18"/>
        <v>Intervention urgente</v>
      </c>
      <c r="K11" s="233">
        <f t="shared" si="19"/>
        <v>31</v>
      </c>
      <c r="L11" s="233" t="b">
        <f t="shared" si="20"/>
        <v>1</v>
      </c>
      <c r="M11" s="233" t="b">
        <f t="shared" si="21"/>
        <v>0</v>
      </c>
      <c r="N11" s="233" t="b">
        <f t="shared" si="22"/>
        <v>0</v>
      </c>
      <c r="O11" s="233" t="b">
        <f t="shared" si="23"/>
        <v>0</v>
      </c>
      <c r="P11" s="233" t="b">
        <f t="shared" si="24"/>
        <v>0</v>
      </c>
      <c r="Q11" s="233" t="b">
        <f t="shared" si="25"/>
        <v>0</v>
      </c>
      <c r="R11" s="233" t="b">
        <f t="shared" si="26"/>
        <v>0</v>
      </c>
      <c r="S11" s="234" t="str">
        <f t="shared" si="27"/>
        <v>Intervention urgente</v>
      </c>
      <c r="T11" s="232">
        <f t="shared" si="28"/>
        <v>6</v>
      </c>
      <c r="U11" s="233">
        <f t="shared" si="29"/>
        <v>62</v>
      </c>
      <c r="V11" s="241" t="str">
        <f t="shared" si="5"/>
        <v>Actuellement, plusieurs projets d'IA générative (type ChatGPT) sont testés par les métiers, mais aucune mesure de leur impact énergétique n'est réalisée et aucune charte d'utilisation n'encadre le besoin réel</v>
      </c>
      <c r="W11" s="241" t="str">
        <f>'ONR 1'!V13</f>
        <v>1. Créer une grille d'évaluation préalable (Go/No-Go) pour chaque nouveau projet : l'IA est-elle indispensable ou une méthode informatique classique suffit-elle ?
2. Privilégier des modèles plus petits et spécialisés (Small Language Models) plutôt que de faire appel à des modèles massifs et très énergivores pour des tâches simples.
3. Sensibiliser les développeurs et les data scientists aux techniques d'éco-conception logicielle appliquées à l'IA (optimisation du code, limitation des calculs redondants)</v>
      </c>
      <c r="X11" s="204">
        <f>'ONR 1'!W13</f>
        <v>0</v>
      </c>
      <c r="Y11" s="236" t="str">
        <f t="shared" si="6"/>
        <v>Force : Une équipe Data/IT curieuse et compétente techniquement. Faiblesse : Manque total de connaissances sur les concepts de "Green AI" (comment mesurer la consommation d'un modèle, comment l'optimiser) et manque de recul critique sur l'utilité réelle de l'IA pour certains cas d'usage</v>
      </c>
      <c r="Z11" s="236" t="str">
        <f t="shared" si="7"/>
        <v>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v>
      </c>
      <c r="AE11" s="206">
        <f t="shared" si="8"/>
        <v>0</v>
      </c>
      <c r="AF11" s="206">
        <f t="shared" si="9"/>
        <v>1</v>
      </c>
      <c r="AG11" s="206">
        <f t="shared" si="9"/>
        <v>0</v>
      </c>
      <c r="AH11" s="206">
        <f t="shared" si="9"/>
        <v>0</v>
      </c>
      <c r="AI11" s="206">
        <f t="shared" si="9"/>
        <v>0</v>
      </c>
      <c r="AJ11" s="206">
        <f t="shared" si="9"/>
        <v>0</v>
      </c>
      <c r="AK11" s="206">
        <f t="shared" si="9"/>
        <v>0</v>
      </c>
      <c r="AL11" s="206">
        <f t="shared" si="9"/>
        <v>0</v>
      </c>
    </row>
    <row r="12" spans="1:38" s="116" customFormat="1" ht="23" thickBot="1">
      <c r="A12" s="115"/>
      <c r="B12" s="361" t="str">
        <f>'ONR 2'!B2</f>
        <v>ONR 2  -   INCLUSION : S'engager à développer des services numériques accessibles à toutes et tous, inclusifs et durables</v>
      </c>
      <c r="C12" s="362"/>
      <c r="D12" s="362"/>
      <c r="E12" s="362"/>
      <c r="F12" s="362"/>
      <c r="G12" s="362"/>
      <c r="H12" s="362"/>
      <c r="I12" s="362"/>
      <c r="J12" s="362"/>
      <c r="K12" s="362"/>
      <c r="L12" s="362"/>
      <c r="M12" s="362"/>
      <c r="N12" s="362"/>
      <c r="O12" s="362"/>
      <c r="P12" s="362"/>
      <c r="Q12" s="362"/>
      <c r="R12" s="362"/>
      <c r="S12" s="362"/>
      <c r="T12" s="362"/>
      <c r="U12" s="362"/>
      <c r="V12" s="362"/>
      <c r="W12" s="362"/>
      <c r="X12" s="362"/>
      <c r="Y12" s="362"/>
      <c r="Z12" s="379"/>
      <c r="AB12" s="116" t="str">
        <f>B12</f>
        <v>ONR 2  -   INCLUSION : S'engager à développer des services numériques accessibles à toutes et tous, inclusifs et durables</v>
      </c>
      <c r="AC12" s="116">
        <v>4</v>
      </c>
      <c r="AD12" s="116">
        <f>AC12-AE12</f>
        <v>0</v>
      </c>
      <c r="AE12" s="117">
        <f t="shared" ref="AE12:AL12" si="30">SUM(AE13:AE16)</f>
        <v>4</v>
      </c>
      <c r="AF12" s="117">
        <f t="shared" si="30"/>
        <v>0</v>
      </c>
      <c r="AG12" s="117">
        <f t="shared" si="30"/>
        <v>0</v>
      </c>
      <c r="AH12" s="117">
        <f t="shared" si="30"/>
        <v>0</v>
      </c>
      <c r="AI12" s="117">
        <f t="shared" si="30"/>
        <v>0</v>
      </c>
      <c r="AJ12" s="117">
        <f t="shared" si="30"/>
        <v>0</v>
      </c>
      <c r="AK12" s="117">
        <f t="shared" si="30"/>
        <v>0</v>
      </c>
      <c r="AL12" s="117">
        <f t="shared" si="30"/>
        <v>0</v>
      </c>
    </row>
    <row r="13" spans="1:38" s="205" customFormat="1" ht="38">
      <c r="A13" s="199"/>
      <c r="B13" s="218" t="str">
        <f>'ONR 2'!B7</f>
        <v>2.1</v>
      </c>
      <c r="C13" s="221" t="str">
        <f>'ONR 2'!C7</f>
        <v>En généralisant une démarche d’achats responsables avec l’adoption de clauses sociétales et environnementales.</v>
      </c>
      <c r="D13" s="223">
        <f>'ONR 2'!D7</f>
        <v>0</v>
      </c>
      <c r="E13" s="267">
        <f>'ONR 2'!E7</f>
        <v>0</v>
      </c>
      <c r="F13" s="274">
        <f>'ONR 2'!F7</f>
        <v>0</v>
      </c>
      <c r="G13" s="200">
        <f>'ONR 2'!G7</f>
        <v>0</v>
      </c>
      <c r="H13" s="202">
        <f>'ONR 2'!H7</f>
        <v>0</v>
      </c>
      <c r="I13" s="225">
        <f>'ONR 2'!I7</f>
        <v>0</v>
      </c>
      <c r="J13" s="218">
        <f>S13</f>
        <v>0</v>
      </c>
      <c r="K13" s="227">
        <f t="shared" ref="K13" si="31">E13*10+F13</f>
        <v>0</v>
      </c>
      <c r="L13" s="227" t="b">
        <f>OR(K13=31)</f>
        <v>0</v>
      </c>
      <c r="M13" s="227" t="b">
        <f>OR(K13=21,K13=32)</f>
        <v>0</v>
      </c>
      <c r="N13" s="227" t="b">
        <f>OR(K13=22,K13=33)</f>
        <v>0</v>
      </c>
      <c r="O13" s="227" t="b">
        <f>OR(K13=11,K13=12)</f>
        <v>0</v>
      </c>
      <c r="P13" s="227" t="b">
        <f>OR(K13=23,K13=34)</f>
        <v>0</v>
      </c>
      <c r="Q13" s="227" t="b">
        <f>OR(K13=13,K13=14,K13=24)</f>
        <v>0</v>
      </c>
      <c r="R13" s="227" t="b">
        <f>OR(K13=1,K13=2,K13=3,K13=4)</f>
        <v>0</v>
      </c>
      <c r="S13" s="228">
        <f t="shared" ref="S13" si="32">IF(COUNTA(E13:F13)&lt;2,"",(IF(L13=TRUE,$L$3,IF(M13=TRUE,$M$3,IF(N13=TRUE,$N$3,IF(O13=TRUE,$O$3,IF(P13=TRUE,$P$3,IF(Q13=TRUE,$Q$3,IF(R13=TRUE,$R$3,0)))))))))</f>
        <v>0</v>
      </c>
      <c r="T13" s="226">
        <f t="shared" ref="T13" si="33">IF(COUNTA(E13:F13)&lt;2,"",(IF(L13=TRUE,6,IF(M13=TRUE,5,IF(N13=TRUE,4,IF(O13=TRUE,3,IF(P13=TRUE,2,IF(Q13=TRUE,1,IF(R13=TRUE,0,0)))))))))</f>
        <v>0</v>
      </c>
      <c r="U13" s="242">
        <f t="shared" ref="U13" si="34">T13*10+H13</f>
        <v>0</v>
      </c>
      <c r="V13" s="229">
        <f>G13</f>
        <v>0</v>
      </c>
      <c r="W13" s="229">
        <f>'ONR 2'!V7</f>
        <v>0</v>
      </c>
      <c r="X13" s="204">
        <f>'ONR 2'!W7</f>
        <v>0</v>
      </c>
      <c r="Y13" s="230">
        <f>I13</f>
        <v>0</v>
      </c>
      <c r="Z13" s="230">
        <f>D13</f>
        <v>0</v>
      </c>
      <c r="AE13" s="206">
        <f>IF(K13=0,1,0)</f>
        <v>1</v>
      </c>
      <c r="AF13" s="206">
        <f t="shared" ref="AF13:AL16" si="35">IF(L13=TRUE,1,0)</f>
        <v>0</v>
      </c>
      <c r="AG13" s="206">
        <f t="shared" si="35"/>
        <v>0</v>
      </c>
      <c r="AH13" s="206">
        <f t="shared" si="35"/>
        <v>0</v>
      </c>
      <c r="AI13" s="206">
        <f t="shared" si="35"/>
        <v>0</v>
      </c>
      <c r="AJ13" s="206">
        <f t="shared" si="35"/>
        <v>0</v>
      </c>
      <c r="AK13" s="206">
        <f t="shared" si="35"/>
        <v>0</v>
      </c>
      <c r="AL13" s="206">
        <f t="shared" si="35"/>
        <v>0</v>
      </c>
    </row>
    <row r="14" spans="1:38" s="205" customFormat="1" ht="57">
      <c r="A14" s="199"/>
      <c r="B14" s="218" t="str">
        <f>'ONR 2'!B8</f>
        <v>2.2</v>
      </c>
      <c r="C14" s="221" t="str">
        <f>'ONR 2'!C8</f>
        <v>En permettant des applications accessibles à tous - en mesurant le niveau de conformité RGAA et en accompagnat les entreprises du territoire à se conformer à la règlementation</v>
      </c>
      <c r="D14" s="223">
        <f>'ONR 2'!D8</f>
        <v>0</v>
      </c>
      <c r="E14" s="267">
        <f>'ONR 2'!E8</f>
        <v>0</v>
      </c>
      <c r="F14" s="274">
        <f>'ONR 2'!F8</f>
        <v>0</v>
      </c>
      <c r="G14" s="200">
        <f>'ONR 2'!G8</f>
        <v>0</v>
      </c>
      <c r="H14" s="202">
        <f>'ONR 2'!H8</f>
        <v>0</v>
      </c>
      <c r="I14" s="225">
        <f>'ONR 2'!I8</f>
        <v>0</v>
      </c>
      <c r="J14" s="218">
        <f t="shared" ref="J14:J16" si="36">S14</f>
        <v>0</v>
      </c>
      <c r="K14" s="227">
        <f t="shared" ref="K14:K16" si="37">E14*10+F14</f>
        <v>0</v>
      </c>
      <c r="L14" s="227" t="b">
        <f t="shared" ref="L14:L16" si="38">OR(K14=31)</f>
        <v>0</v>
      </c>
      <c r="M14" s="227" t="b">
        <f t="shared" ref="M14:M16" si="39">OR(K14=21,K14=32)</f>
        <v>0</v>
      </c>
      <c r="N14" s="227" t="b">
        <f t="shared" ref="N14:N16" si="40">OR(K14=22,K14=33)</f>
        <v>0</v>
      </c>
      <c r="O14" s="227" t="b">
        <f t="shared" ref="O14:O16" si="41">OR(K14=11,K14=12)</f>
        <v>0</v>
      </c>
      <c r="P14" s="227" t="b">
        <f t="shared" ref="P14:P16" si="42">OR(K14=23,K14=34)</f>
        <v>0</v>
      </c>
      <c r="Q14" s="227" t="b">
        <f t="shared" ref="Q14:Q16" si="43">OR(K14=13,K14=14,K14=24)</f>
        <v>0</v>
      </c>
      <c r="R14" s="227" t="b">
        <f t="shared" ref="R14:R16" si="44">OR(K14=1,K14=2,K14=3,K14=4)</f>
        <v>0</v>
      </c>
      <c r="S14" s="228">
        <f t="shared" ref="S14:S16" si="45">IF(COUNTA(E14:F14)&lt;2,"",(IF(L14=TRUE,$L$3,IF(M14=TRUE,$M$3,IF(N14=TRUE,$N$3,IF(O14=TRUE,$O$3,IF(P14=TRUE,$P$3,IF(Q14=TRUE,$Q$3,IF(R14=TRUE,$R$3,0)))))))))</f>
        <v>0</v>
      </c>
      <c r="T14" s="226">
        <f t="shared" ref="T14:T16" si="46">IF(COUNTA(E14:F14)&lt;2,"",(IF(L14=TRUE,6,IF(M14=TRUE,5,IF(N14=TRUE,4,IF(O14=TRUE,3,IF(P14=TRUE,2,IF(Q14=TRUE,1,IF(R14=TRUE,0,0)))))))))</f>
        <v>0</v>
      </c>
      <c r="U14" s="242">
        <f t="shared" ref="U14:U16" si="47">T14*10+H14</f>
        <v>0</v>
      </c>
      <c r="V14" s="229">
        <f>G14</f>
        <v>0</v>
      </c>
      <c r="W14" s="229">
        <f>'ONR 2'!V8</f>
        <v>0</v>
      </c>
      <c r="X14" s="204">
        <f>'ONR 2'!W8</f>
        <v>0</v>
      </c>
      <c r="Y14" s="230">
        <f>I14</f>
        <v>0</v>
      </c>
      <c r="Z14" s="230">
        <f>D14</f>
        <v>0</v>
      </c>
      <c r="AE14" s="206">
        <f>IF(K14=0,1,0)</f>
        <v>1</v>
      </c>
      <c r="AF14" s="206">
        <f t="shared" si="35"/>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2'!B9</f>
        <v>2.3</v>
      </c>
      <c r="C15" s="221" t="str">
        <f>'ONR 2'!C9</f>
        <v>En déployant les applications autour des 3 U : Utiles, Utilisables, Utilisées pour en simplifier l’usage en intégrant l’accessibilité universelle pour réussir l’e-inclusion de tous</v>
      </c>
      <c r="D15" s="223">
        <f>'ONR 2'!D9</f>
        <v>0</v>
      </c>
      <c r="E15" s="267">
        <f>'ONR 2'!E9</f>
        <v>0</v>
      </c>
      <c r="F15" s="274">
        <f>'ONR 2'!F9</f>
        <v>0</v>
      </c>
      <c r="G15" s="200">
        <f>'ONR 2'!G9</f>
        <v>0</v>
      </c>
      <c r="H15" s="202">
        <f>'ONR 2'!H9</f>
        <v>0</v>
      </c>
      <c r="I15" s="225">
        <f>'ONR 2'!I9</f>
        <v>0</v>
      </c>
      <c r="J15" s="218">
        <f t="shared" si="36"/>
        <v>0</v>
      </c>
      <c r="K15" s="227">
        <f t="shared" si="37"/>
        <v>0</v>
      </c>
      <c r="L15" s="227" t="b">
        <f t="shared" si="38"/>
        <v>0</v>
      </c>
      <c r="M15" s="227" t="b">
        <f t="shared" si="39"/>
        <v>0</v>
      </c>
      <c r="N15" s="227" t="b">
        <f t="shared" si="40"/>
        <v>0</v>
      </c>
      <c r="O15" s="227" t="b">
        <f t="shared" si="41"/>
        <v>0</v>
      </c>
      <c r="P15" s="227" t="b">
        <f t="shared" si="42"/>
        <v>0</v>
      </c>
      <c r="Q15" s="227" t="b">
        <f t="shared" si="43"/>
        <v>0</v>
      </c>
      <c r="R15" s="227" t="b">
        <f t="shared" si="44"/>
        <v>0</v>
      </c>
      <c r="S15" s="228">
        <f t="shared" si="45"/>
        <v>0</v>
      </c>
      <c r="T15" s="226">
        <f t="shared" si="46"/>
        <v>0</v>
      </c>
      <c r="U15" s="242">
        <f t="shared" si="47"/>
        <v>0</v>
      </c>
      <c r="V15" s="229">
        <f>G15</f>
        <v>0</v>
      </c>
      <c r="W15" s="229">
        <f>'ONR 2'!V9</f>
        <v>0</v>
      </c>
      <c r="X15" s="204">
        <f>'ONR 2'!W9</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2'!B10</f>
        <v>2.4</v>
      </c>
      <c r="C16" s="221" t="str">
        <f>'ONR 2'!C10</f>
        <v>En associant l’utilisateur à la conception pour éviter des outils surdimensionnés et améliorer progressivement le niveau de conformité des services en ligne.</v>
      </c>
      <c r="D16" s="223">
        <f>'ONR 2'!D10</f>
        <v>0</v>
      </c>
      <c r="E16" s="267">
        <f>'ONR 2'!E10</f>
        <v>0</v>
      </c>
      <c r="F16" s="274">
        <f>'ONR 2'!F10</f>
        <v>0</v>
      </c>
      <c r="G16" s="200">
        <f>'ONR 2'!G10</f>
        <v>0</v>
      </c>
      <c r="H16" s="202">
        <f>'ONR 2'!H10</f>
        <v>0</v>
      </c>
      <c r="I16" s="225">
        <f>'ONR 2'!I10</f>
        <v>0</v>
      </c>
      <c r="J16" s="218">
        <f t="shared" si="36"/>
        <v>0</v>
      </c>
      <c r="K16" s="227">
        <f t="shared" si="37"/>
        <v>0</v>
      </c>
      <c r="L16" s="227" t="b">
        <f t="shared" si="38"/>
        <v>0</v>
      </c>
      <c r="M16" s="227" t="b">
        <f t="shared" si="39"/>
        <v>0</v>
      </c>
      <c r="N16" s="227" t="b">
        <f t="shared" si="40"/>
        <v>0</v>
      </c>
      <c r="O16" s="227" t="b">
        <f t="shared" si="41"/>
        <v>0</v>
      </c>
      <c r="P16" s="227" t="b">
        <f t="shared" si="42"/>
        <v>0</v>
      </c>
      <c r="Q16" s="227" t="b">
        <f t="shared" si="43"/>
        <v>0</v>
      </c>
      <c r="R16" s="227" t="b">
        <f t="shared" si="44"/>
        <v>0</v>
      </c>
      <c r="S16" s="228">
        <f t="shared" si="45"/>
        <v>0</v>
      </c>
      <c r="T16" s="226">
        <f t="shared" si="46"/>
        <v>0</v>
      </c>
      <c r="U16" s="242">
        <f t="shared" si="47"/>
        <v>0</v>
      </c>
      <c r="V16" s="229">
        <f>G16</f>
        <v>0</v>
      </c>
      <c r="W16" s="229">
        <f>'ONR 2'!V10</f>
        <v>0</v>
      </c>
      <c r="X16" s="204">
        <f>'ONR 2'!W10</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116" customFormat="1" ht="22">
      <c r="A17" s="115"/>
      <c r="B17" s="380" t="str">
        <f>'ONR 3'!B2:C2</f>
        <v xml:space="preserve">ONR 3  -  RSE : S'engager pour des pratiques numériques éthiques et responsables </v>
      </c>
      <c r="C17" s="380"/>
      <c r="D17" s="380"/>
      <c r="E17" s="380"/>
      <c r="F17" s="380"/>
      <c r="G17" s="380"/>
      <c r="H17" s="380"/>
      <c r="I17" s="380"/>
      <c r="J17" s="380"/>
      <c r="K17" s="380"/>
      <c r="L17" s="380"/>
      <c r="M17" s="380"/>
      <c r="N17" s="380"/>
      <c r="O17" s="380"/>
      <c r="P17" s="380"/>
      <c r="Q17" s="380"/>
      <c r="R17" s="380"/>
      <c r="S17" s="380"/>
      <c r="T17" s="380"/>
      <c r="U17" s="380"/>
      <c r="V17" s="380"/>
      <c r="W17" s="380"/>
      <c r="X17" s="380"/>
      <c r="Y17" s="380"/>
      <c r="Z17" s="380"/>
      <c r="AB17" s="116" t="str">
        <f>B17</f>
        <v xml:space="preserve">ONR 3  -  RSE : S'engager pour des pratiques numériques éthiques et responsables </v>
      </c>
      <c r="AC17" s="116">
        <v>7</v>
      </c>
      <c r="AD17" s="116">
        <f>AC17-AE17</f>
        <v>0</v>
      </c>
      <c r="AE17" s="117">
        <f t="shared" ref="AE17:AL17" si="48">SUM(AE18:AE24)</f>
        <v>7</v>
      </c>
      <c r="AF17" s="117">
        <f t="shared" si="48"/>
        <v>0</v>
      </c>
      <c r="AG17" s="117">
        <f t="shared" si="48"/>
        <v>0</v>
      </c>
      <c r="AH17" s="117">
        <f t="shared" si="48"/>
        <v>0</v>
      </c>
      <c r="AI17" s="117">
        <f t="shared" si="48"/>
        <v>0</v>
      </c>
      <c r="AJ17" s="117">
        <f t="shared" si="48"/>
        <v>0</v>
      </c>
      <c r="AK17" s="117">
        <f t="shared" si="48"/>
        <v>0</v>
      </c>
      <c r="AL17" s="117">
        <f t="shared" si="48"/>
        <v>0</v>
      </c>
    </row>
    <row r="18" spans="1:38" s="205" customFormat="1" ht="57">
      <c r="A18" s="199"/>
      <c r="B18" s="219" t="str">
        <f>'ONR 3'!B7</f>
        <v>3.1</v>
      </c>
      <c r="C18" s="219" t="str">
        <f>'ONR 3'!C7</f>
        <v>En développant des usages raisonnés des données et services dans une démarche éthique vis-à-vis des impacts sur l’environnement et les populations.</v>
      </c>
      <c r="D18" s="244">
        <f>'ONR 3'!D7</f>
        <v>0</v>
      </c>
      <c r="E18" s="271">
        <f>'ONR 3'!E7</f>
        <v>0</v>
      </c>
      <c r="F18" s="278">
        <f>'ONR 3'!F7</f>
        <v>0</v>
      </c>
      <c r="G18" s="213">
        <f>'ONR 3'!G7</f>
        <v>0</v>
      </c>
      <c r="H18" s="214">
        <f>'ONR 3'!H7</f>
        <v>0</v>
      </c>
      <c r="I18" s="245">
        <f>'ONR 3'!I7</f>
        <v>0</v>
      </c>
      <c r="J18" s="246">
        <f t="shared" ref="J18:J23" si="49">S18</f>
        <v>0</v>
      </c>
      <c r="K18" s="247">
        <f t="shared" ref="K18:K23" si="50">E18*10+F18</f>
        <v>0</v>
      </c>
      <c r="L18" s="247" t="b">
        <f t="shared" ref="L18:L23" si="51">OR(K18=31)</f>
        <v>0</v>
      </c>
      <c r="M18" s="247" t="b">
        <f t="shared" ref="M18:M23" si="52">OR(K18=21,K18=32)</f>
        <v>0</v>
      </c>
      <c r="N18" s="247" t="b">
        <f t="shared" ref="N18:N23" si="53">OR(K18=22,K18=33)</f>
        <v>0</v>
      </c>
      <c r="O18" s="247" t="b">
        <f t="shared" ref="O18:O23" si="54">OR(K18=11,K18=12)</f>
        <v>0</v>
      </c>
      <c r="P18" s="247" t="b">
        <f t="shared" ref="P18:P23" si="55">OR(K18=23,K18=34)</f>
        <v>0</v>
      </c>
      <c r="Q18" s="247" t="b">
        <f t="shared" ref="Q18:Q23" si="56">OR(K18=13,K18=14,K18=24)</f>
        <v>0</v>
      </c>
      <c r="R18" s="247" t="b">
        <f t="shared" ref="R18:R23" si="57">OR(K18=1,K18=2,K18=3,K18=4)</f>
        <v>0</v>
      </c>
      <c r="S18" s="248">
        <f t="shared" ref="S18:S23" si="58">IF(COUNTA(E18:F18)&lt;2,"",(IF(L18=TRUE,$L$3,IF(M18=TRUE,$M$3,IF(N18=TRUE,$N$3,IF(O18=TRUE,$O$3,IF(P18=TRUE,$P$3,IF(Q18=TRUE,$Q$3,IF(R18=TRUE,$R$3,0)))))))))</f>
        <v>0</v>
      </c>
      <c r="T18" s="249">
        <f t="shared" ref="T18:T23" si="59">IF(COUNTA(E18:F18)&lt;2,"",(IF(L18=TRUE,6,IF(M18=TRUE,5,IF(N18=TRUE,4,IF(O18=TRUE,3,IF(P18=TRUE,2,IF(Q18=TRUE,1,IF(R18=TRUE,0,0)))))))))</f>
        <v>0</v>
      </c>
      <c r="U18" s="250">
        <f t="shared" ref="U18:U23" si="60">T18*10+H18</f>
        <v>0</v>
      </c>
      <c r="V18" s="235">
        <f t="shared" ref="V18:V24" si="61">G18</f>
        <v>0</v>
      </c>
      <c r="W18" s="235">
        <f>'ONR 3'!V7</f>
        <v>0</v>
      </c>
      <c r="X18" s="183">
        <f>'ONR 3'!W7</f>
        <v>0</v>
      </c>
      <c r="Y18" s="236">
        <f t="shared" ref="Y18:Y24" si="62">I18</f>
        <v>0</v>
      </c>
      <c r="Z18" s="236">
        <f t="shared" ref="Z18:Z24" si="63">D18</f>
        <v>0</v>
      </c>
      <c r="AE18" s="206">
        <f t="shared" ref="AE18:AE24" si="64">IF(K18=0,1,0)</f>
        <v>1</v>
      </c>
      <c r="AF18" s="206">
        <f t="shared" ref="AF18:AL24" si="65">IF(L18=TRUE,1,0)</f>
        <v>0</v>
      </c>
      <c r="AG18" s="206">
        <f t="shared" si="65"/>
        <v>0</v>
      </c>
      <c r="AH18" s="206">
        <f t="shared" si="65"/>
        <v>0</v>
      </c>
      <c r="AI18" s="206">
        <f t="shared" si="65"/>
        <v>0</v>
      </c>
      <c r="AJ18" s="206">
        <f t="shared" si="65"/>
        <v>0</v>
      </c>
      <c r="AK18" s="206">
        <f t="shared" si="65"/>
        <v>0</v>
      </c>
      <c r="AL18" s="206">
        <f t="shared" si="65"/>
        <v>0</v>
      </c>
    </row>
    <row r="19" spans="1:38" s="205" customFormat="1" ht="57">
      <c r="A19" s="199"/>
      <c r="B19" s="219" t="s">
        <v>61</v>
      </c>
      <c r="C19" s="219" t="str">
        <f>'ONR 3'!C8</f>
        <v>En luttant contre les pratiques trompeuses et présence de dark pattern dans les sites internet et en permettant de se conformer à la réglementation</v>
      </c>
      <c r="D19" s="244">
        <f>'ONR 3'!D8</f>
        <v>0</v>
      </c>
      <c r="E19" s="271">
        <f>'ONR 3'!E8</f>
        <v>0</v>
      </c>
      <c r="F19" s="278">
        <f>'ONR 3'!F8</f>
        <v>0</v>
      </c>
      <c r="G19" s="213">
        <f>'ONR 3'!G8</f>
        <v>0</v>
      </c>
      <c r="H19" s="214">
        <f>'ONR 3'!H8</f>
        <v>0</v>
      </c>
      <c r="I19" s="245">
        <f>'ONR 3'!I8</f>
        <v>0</v>
      </c>
      <c r="J19" s="246">
        <f t="shared" si="49"/>
        <v>0</v>
      </c>
      <c r="K19" s="247">
        <f t="shared" si="50"/>
        <v>0</v>
      </c>
      <c r="L19" s="247" t="b">
        <f t="shared" si="51"/>
        <v>0</v>
      </c>
      <c r="M19" s="247" t="b">
        <f t="shared" si="52"/>
        <v>0</v>
      </c>
      <c r="N19" s="247" t="b">
        <f t="shared" si="53"/>
        <v>0</v>
      </c>
      <c r="O19" s="247" t="b">
        <f t="shared" si="54"/>
        <v>0</v>
      </c>
      <c r="P19" s="247" t="b">
        <f t="shared" si="55"/>
        <v>0</v>
      </c>
      <c r="Q19" s="247" t="b">
        <f t="shared" si="56"/>
        <v>0</v>
      </c>
      <c r="R19" s="247" t="b">
        <f t="shared" si="57"/>
        <v>0</v>
      </c>
      <c r="S19" s="248">
        <f t="shared" si="58"/>
        <v>0</v>
      </c>
      <c r="T19" s="249">
        <f t="shared" si="59"/>
        <v>0</v>
      </c>
      <c r="U19" s="250">
        <f t="shared" si="60"/>
        <v>0</v>
      </c>
      <c r="V19" s="235">
        <f t="shared" si="61"/>
        <v>0</v>
      </c>
      <c r="W19" s="235">
        <f>'ONR 3'!V8</f>
        <v>0</v>
      </c>
      <c r="X19" s="183">
        <f>'ONR 3'!W8</f>
        <v>0</v>
      </c>
      <c r="Y19" s="236">
        <f t="shared" si="62"/>
        <v>0</v>
      </c>
      <c r="Z19" s="251">
        <f t="shared" si="63"/>
        <v>0</v>
      </c>
      <c r="AE19" s="206">
        <f t="shared" si="64"/>
        <v>1</v>
      </c>
      <c r="AF19" s="206">
        <f t="shared" si="65"/>
        <v>0</v>
      </c>
      <c r="AG19" s="206">
        <f t="shared" si="65"/>
        <v>0</v>
      </c>
      <c r="AH19" s="206">
        <f t="shared" si="65"/>
        <v>0</v>
      </c>
      <c r="AI19" s="206">
        <f t="shared" si="65"/>
        <v>0</v>
      </c>
      <c r="AJ19" s="206">
        <f t="shared" si="65"/>
        <v>0</v>
      </c>
      <c r="AK19" s="206">
        <f t="shared" si="65"/>
        <v>0</v>
      </c>
      <c r="AL19" s="206">
        <f t="shared" si="65"/>
        <v>0</v>
      </c>
    </row>
    <row r="20" spans="1:38" s="205" customFormat="1" ht="76">
      <c r="A20" s="199"/>
      <c r="B20" s="219" t="s">
        <v>63</v>
      </c>
      <c r="C20" s="219" t="str">
        <f>'ONR 3'!C9</f>
        <v>En ne collectant que les données utiles et nécessaires au service des utilisateurs, afin de limiter les risques en matière de vie privée et impacts environnementaux en conformité avec le Règlement Général sur la Protection des Données (RGPD).</v>
      </c>
      <c r="D20" s="244">
        <f>'ONR 3'!D9</f>
        <v>0</v>
      </c>
      <c r="E20" s="271">
        <f>'ONR 3'!E9</f>
        <v>0</v>
      </c>
      <c r="F20" s="278">
        <f>'ONR 3'!F9</f>
        <v>0</v>
      </c>
      <c r="G20" s="213">
        <f>'ONR 3'!G9</f>
        <v>0</v>
      </c>
      <c r="H20" s="214">
        <f>'ONR 3'!H9</f>
        <v>0</v>
      </c>
      <c r="I20" s="245">
        <f>'ONR 3'!I9</f>
        <v>0</v>
      </c>
      <c r="J20" s="246">
        <f t="shared" si="49"/>
        <v>0</v>
      </c>
      <c r="K20" s="247">
        <f t="shared" si="50"/>
        <v>0</v>
      </c>
      <c r="L20" s="247" t="b">
        <f t="shared" si="51"/>
        <v>0</v>
      </c>
      <c r="M20" s="247" t="b">
        <f t="shared" si="52"/>
        <v>0</v>
      </c>
      <c r="N20" s="247" t="b">
        <f t="shared" si="53"/>
        <v>0</v>
      </c>
      <c r="O20" s="247" t="b">
        <f t="shared" si="54"/>
        <v>0</v>
      </c>
      <c r="P20" s="247" t="b">
        <f t="shared" si="55"/>
        <v>0</v>
      </c>
      <c r="Q20" s="247" t="b">
        <f t="shared" si="56"/>
        <v>0</v>
      </c>
      <c r="R20" s="247" t="b">
        <f t="shared" si="57"/>
        <v>0</v>
      </c>
      <c r="S20" s="248">
        <f t="shared" si="58"/>
        <v>0</v>
      </c>
      <c r="T20" s="249">
        <f t="shared" si="59"/>
        <v>0</v>
      </c>
      <c r="U20" s="250">
        <f t="shared" si="60"/>
        <v>0</v>
      </c>
      <c r="V20" s="235">
        <f t="shared" si="61"/>
        <v>0</v>
      </c>
      <c r="W20" s="235">
        <f>'ONR 3'!V9</f>
        <v>0</v>
      </c>
      <c r="X20" s="183">
        <f>'ONR 3'!W9</f>
        <v>0</v>
      </c>
      <c r="Y20" s="236">
        <f t="shared" si="62"/>
        <v>0</v>
      </c>
      <c r="Z20" s="251">
        <f t="shared" si="63"/>
        <v>0</v>
      </c>
      <c r="AE20" s="206">
        <f t="shared" si="64"/>
        <v>1</v>
      </c>
      <c r="AF20" s="206">
        <f t="shared" si="65"/>
        <v>0</v>
      </c>
      <c r="AG20" s="206">
        <f t="shared" si="65"/>
        <v>0</v>
      </c>
      <c r="AH20" s="206">
        <f t="shared" si="65"/>
        <v>0</v>
      </c>
      <c r="AI20" s="206">
        <f t="shared" si="65"/>
        <v>0</v>
      </c>
      <c r="AJ20" s="206">
        <f t="shared" si="65"/>
        <v>0</v>
      </c>
      <c r="AK20" s="206">
        <f t="shared" si="65"/>
        <v>0</v>
      </c>
      <c r="AL20" s="206">
        <f t="shared" si="65"/>
        <v>0</v>
      </c>
    </row>
    <row r="21" spans="1:38" s="205" customFormat="1" ht="19">
      <c r="A21" s="199"/>
      <c r="B21" s="238" t="s">
        <v>65</v>
      </c>
      <c r="C21" s="219" t="str">
        <f>'ONR 3'!C10</f>
        <v>En favorisant la diversité des recrutements des métiers du numérique</v>
      </c>
      <c r="D21" s="244">
        <f>'ONR 3'!D10</f>
        <v>0</v>
      </c>
      <c r="E21" s="271">
        <f>'ONR 3'!E10</f>
        <v>0</v>
      </c>
      <c r="F21" s="278">
        <f>'ONR 3'!F10</f>
        <v>0</v>
      </c>
      <c r="G21" s="213">
        <f>'ONR 3'!G10</f>
        <v>0</v>
      </c>
      <c r="H21" s="214">
        <f>'ONR 3'!H10</f>
        <v>0</v>
      </c>
      <c r="I21" s="245">
        <f>'ONR 3'!I10</f>
        <v>0</v>
      </c>
      <c r="J21" s="246">
        <f t="shared" si="49"/>
        <v>0</v>
      </c>
      <c r="K21" s="247">
        <f t="shared" si="50"/>
        <v>0</v>
      </c>
      <c r="L21" s="247" t="b">
        <f t="shared" si="51"/>
        <v>0</v>
      </c>
      <c r="M21" s="247" t="b">
        <f t="shared" si="52"/>
        <v>0</v>
      </c>
      <c r="N21" s="247" t="b">
        <f t="shared" si="53"/>
        <v>0</v>
      </c>
      <c r="O21" s="247" t="b">
        <f t="shared" si="54"/>
        <v>0</v>
      </c>
      <c r="P21" s="247" t="b">
        <f t="shared" si="55"/>
        <v>0</v>
      </c>
      <c r="Q21" s="247" t="b">
        <f t="shared" si="56"/>
        <v>0</v>
      </c>
      <c r="R21" s="247" t="b">
        <f t="shared" si="57"/>
        <v>0</v>
      </c>
      <c r="S21" s="248">
        <f t="shared" si="58"/>
        <v>0</v>
      </c>
      <c r="T21" s="249">
        <f t="shared" si="59"/>
        <v>0</v>
      </c>
      <c r="U21" s="250">
        <f t="shared" si="60"/>
        <v>0</v>
      </c>
      <c r="V21" s="252">
        <f t="shared" si="61"/>
        <v>0</v>
      </c>
      <c r="W21" s="252">
        <f>'ONR 3'!V10</f>
        <v>0</v>
      </c>
      <c r="X21" s="183">
        <f>'ONR 3'!W10</f>
        <v>0</v>
      </c>
      <c r="Y21" s="253">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19">
      <c r="A22" s="199"/>
      <c r="B22" s="238" t="s">
        <v>67</v>
      </c>
      <c r="C22" s="219" t="str">
        <f>'ONR 3'!C11</f>
        <v>En améliorant les conditions des travailleurs du numérique</v>
      </c>
      <c r="D22" s="244">
        <f>'ONR 3'!D11</f>
        <v>0</v>
      </c>
      <c r="E22" s="271">
        <f>'ONR 3'!E11</f>
        <v>0</v>
      </c>
      <c r="F22" s="278">
        <f>'ONR 3'!F11</f>
        <v>0</v>
      </c>
      <c r="G22" s="213">
        <f>'ONR 3'!G11</f>
        <v>0</v>
      </c>
      <c r="H22" s="214">
        <f>'ONR 3'!H11</f>
        <v>0</v>
      </c>
      <c r="I22" s="245">
        <f>'ONR 3'!I11</f>
        <v>0</v>
      </c>
      <c r="J22" s="246">
        <f t="shared" si="49"/>
        <v>0</v>
      </c>
      <c r="K22" s="247">
        <f t="shared" si="50"/>
        <v>0</v>
      </c>
      <c r="L22" s="247" t="b">
        <f t="shared" si="51"/>
        <v>0</v>
      </c>
      <c r="M22" s="247" t="b">
        <f t="shared" si="52"/>
        <v>0</v>
      </c>
      <c r="N22" s="247" t="b">
        <f t="shared" si="53"/>
        <v>0</v>
      </c>
      <c r="O22" s="247" t="b">
        <f t="shared" si="54"/>
        <v>0</v>
      </c>
      <c r="P22" s="247" t="b">
        <f t="shared" si="55"/>
        <v>0</v>
      </c>
      <c r="Q22" s="247" t="b">
        <f t="shared" si="56"/>
        <v>0</v>
      </c>
      <c r="R22" s="247" t="b">
        <f t="shared" si="57"/>
        <v>0</v>
      </c>
      <c r="S22" s="248">
        <f t="shared" si="58"/>
        <v>0</v>
      </c>
      <c r="T22" s="249">
        <f t="shared" si="59"/>
        <v>0</v>
      </c>
      <c r="U22" s="250">
        <f t="shared" si="60"/>
        <v>0</v>
      </c>
      <c r="V22" s="252">
        <f t="shared" si="61"/>
        <v>0</v>
      </c>
      <c r="W22" s="145">
        <f>'ONR 3'!V11</f>
        <v>0</v>
      </c>
      <c r="X22" s="183">
        <f>'ONR 3'!W11</f>
        <v>0</v>
      </c>
      <c r="Y22" s="253">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57">
      <c r="A23" s="199"/>
      <c r="B23" s="219" t="s">
        <v>69</v>
      </c>
      <c r="C23" s="219" t="str">
        <f>'ONR 3'!C12</f>
        <v>En s’inscrivant résolument dans des dispositifs d’éthique algorithmique sur l’utilisation et la protection des données, notamment au regard de l’intelligence artificielle</v>
      </c>
      <c r="D23" s="244">
        <f>'ONR 3'!D12</f>
        <v>0</v>
      </c>
      <c r="E23" s="271">
        <f>'ONR 3'!E12</f>
        <v>0</v>
      </c>
      <c r="F23" s="278">
        <f>'ONR 3'!F12</f>
        <v>0</v>
      </c>
      <c r="G23" s="213">
        <f>'ONR 3'!G12</f>
        <v>0</v>
      </c>
      <c r="H23" s="214">
        <f>'ONR 3'!H12</f>
        <v>0</v>
      </c>
      <c r="I23" s="245">
        <f>'ONR 3'!I12</f>
        <v>0</v>
      </c>
      <c r="J23"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41">
        <f t="shared" si="61"/>
        <v>0</v>
      </c>
      <c r="W23" s="148">
        <f>'ONR 3'!V12</f>
        <v>0</v>
      </c>
      <c r="X23" s="183">
        <f>'ONR 3'!W12</f>
        <v>0</v>
      </c>
      <c r="Y23" s="254">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20" thickBot="1">
      <c r="A24" s="199"/>
      <c r="B24" s="220" t="s">
        <v>71</v>
      </c>
      <c r="C24" s="220" t="str">
        <f>'ONR 3'!C13</f>
        <v>En déployant et valorisant la démarche RSE</v>
      </c>
      <c r="D24" s="244">
        <f>'ONR 3'!D13</f>
        <v>0</v>
      </c>
      <c r="E24" s="271">
        <f>'ONR 3'!E13</f>
        <v>0</v>
      </c>
      <c r="F24" s="278">
        <f>'ONR 3'!F13</f>
        <v>0</v>
      </c>
      <c r="G24" s="213">
        <f>'ONR 3'!G13</f>
        <v>0</v>
      </c>
      <c r="H24" s="214">
        <f>'ONR 3'!H13</f>
        <v>0</v>
      </c>
      <c r="I24" s="245">
        <f>'ONR 3'!I13</f>
        <v>0</v>
      </c>
      <c r="J24" s="246">
        <f t="shared" ref="J24" si="66">S24</f>
        <v>0</v>
      </c>
      <c r="K24" s="247">
        <f t="shared" ref="K24" si="67">E24*10+F24</f>
        <v>0</v>
      </c>
      <c r="L24" s="247" t="b">
        <f t="shared" ref="L24" si="68">OR(K24=31)</f>
        <v>0</v>
      </c>
      <c r="M24" s="247" t="b">
        <f t="shared" ref="M24" si="69">OR(K24=21,K24=32)</f>
        <v>0</v>
      </c>
      <c r="N24" s="247" t="b">
        <f t="shared" ref="N24" si="70">OR(K24=22,K24=33)</f>
        <v>0</v>
      </c>
      <c r="O24" s="247" t="b">
        <f t="shared" ref="O24" si="71">OR(K24=11,K24=12)</f>
        <v>0</v>
      </c>
      <c r="P24" s="247" t="b">
        <f t="shared" ref="P24" si="72">OR(K24=23,K24=34)</f>
        <v>0</v>
      </c>
      <c r="Q24" s="247" t="b">
        <f t="shared" ref="Q24" si="73">OR(K24=13,K24=14,K24=24)</f>
        <v>0</v>
      </c>
      <c r="R24" s="247" t="b">
        <f t="shared" ref="R24" si="74">OR(K24=1,K24=2,K24=3,K24=4)</f>
        <v>0</v>
      </c>
      <c r="S24" s="248">
        <f t="shared" ref="S24" si="75">IF(COUNTA(E24:F24)&lt;2,"",(IF(L24=TRUE,$L$3,IF(M24=TRUE,$M$3,IF(N24=TRUE,$N$3,IF(O24=TRUE,$O$3,IF(P24=TRUE,$P$3,IF(Q24=TRUE,$Q$3,IF(R24=TRUE,$R$3,0)))))))))</f>
        <v>0</v>
      </c>
      <c r="T24" s="249">
        <f t="shared" ref="T24" si="76">IF(COUNTA(E24:F24)&lt;2,"",(IF(L24=TRUE,6,IF(M24=TRUE,5,IF(N24=TRUE,4,IF(O24=TRUE,3,IF(P24=TRUE,2,IF(Q24=TRUE,1,IF(R24=TRUE,0,0)))))))))</f>
        <v>0</v>
      </c>
      <c r="U24" s="250">
        <f t="shared" ref="U24" si="77">T24*10+H24</f>
        <v>0</v>
      </c>
      <c r="V24" s="255">
        <f t="shared" si="61"/>
        <v>0</v>
      </c>
      <c r="W24" s="215">
        <f>'ONR 3'!V13</f>
        <v>0</v>
      </c>
      <c r="X24" s="183">
        <f>'ONR 3'!W13</f>
        <v>0</v>
      </c>
      <c r="Y24" s="251">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116" customFormat="1" ht="23" thickBot="1">
      <c r="A25" s="115"/>
      <c r="B25" s="361" t="str">
        <f>'ONR 4'!B2:C2</f>
        <v>ONR 4  -  RESILIENCE ET STRATEGIE :  S'engager vers un numérique responsable, indispensable pour assurer la résilience des organisations</v>
      </c>
      <c r="C25" s="362"/>
      <c r="D25" s="362"/>
      <c r="E25" s="362"/>
      <c r="F25" s="362"/>
      <c r="G25" s="362"/>
      <c r="H25" s="362"/>
      <c r="I25" s="362"/>
      <c r="J25" s="362"/>
      <c r="K25" s="362"/>
      <c r="L25" s="362"/>
      <c r="M25" s="362"/>
      <c r="N25" s="362"/>
      <c r="O25" s="362"/>
      <c r="P25" s="362"/>
      <c r="Q25" s="362"/>
      <c r="R25" s="362"/>
      <c r="S25" s="362"/>
      <c r="T25" s="362"/>
      <c r="U25" s="362"/>
      <c r="V25" s="362"/>
      <c r="W25" s="362"/>
      <c r="X25" s="362"/>
      <c r="Y25" s="362"/>
      <c r="Z25" s="379"/>
      <c r="AB25" s="116" t="str">
        <f>B25</f>
        <v>ONR 4  -  RESILIENCE ET STRATEGIE :  S'engager vers un numérique responsable, indispensable pour assurer la résilience des organisations</v>
      </c>
      <c r="AC25" s="116">
        <v>3</v>
      </c>
      <c r="AD25" s="116">
        <f>AC25-AE25</f>
        <v>-1</v>
      </c>
      <c r="AE25" s="117">
        <f t="shared" ref="AE25:AL25" si="78">SUM(AE26:AE29)</f>
        <v>4</v>
      </c>
      <c r="AF25" s="117">
        <f t="shared" si="78"/>
        <v>0</v>
      </c>
      <c r="AG25" s="117">
        <f t="shared" si="78"/>
        <v>0</v>
      </c>
      <c r="AH25" s="117">
        <f t="shared" si="78"/>
        <v>0</v>
      </c>
      <c r="AI25" s="117">
        <f t="shared" si="78"/>
        <v>0</v>
      </c>
      <c r="AJ25" s="117">
        <f t="shared" si="78"/>
        <v>0</v>
      </c>
      <c r="AK25" s="117">
        <f t="shared" si="78"/>
        <v>0</v>
      </c>
      <c r="AL25" s="117">
        <f t="shared" si="78"/>
        <v>0</v>
      </c>
    </row>
    <row r="26" spans="1:38" s="205" customFormat="1" ht="57">
      <c r="A26" s="199"/>
      <c r="B26" s="218" t="str">
        <f>'ONR 4'!B7</f>
        <v>4.1</v>
      </c>
      <c r="C26" s="218" t="str">
        <f>'ONR 4'!C7</f>
        <v>En respectant l'application des normes communes pour collecter, rassembler, analyser et partager les données sur les impacts des Technologie de l’Information et de la Communication (TIC) .</v>
      </c>
      <c r="D26" s="223">
        <f>'ONR 4'!D7</f>
        <v>0</v>
      </c>
      <c r="E26" s="267">
        <f>'ONR 4'!E7</f>
        <v>0</v>
      </c>
      <c r="F26" s="274">
        <f>'ONR 4'!F7</f>
        <v>0</v>
      </c>
      <c r="G26" s="200">
        <f>'ONR 4'!G7</f>
        <v>0</v>
      </c>
      <c r="H26" s="202">
        <f>'ONR 4'!H7</f>
        <v>0</v>
      </c>
      <c r="I26" s="225">
        <f>'ONR 4'!I7</f>
        <v>0</v>
      </c>
      <c r="J26" s="218">
        <f>S26</f>
        <v>0</v>
      </c>
      <c r="K26" s="227">
        <f t="shared" ref="K26:K27" si="79">E26*10+F26</f>
        <v>0</v>
      </c>
      <c r="L26" s="227" t="b">
        <f>OR(K26=31)</f>
        <v>0</v>
      </c>
      <c r="M26" s="227" t="b">
        <f>OR(K26=21,K26=32)</f>
        <v>0</v>
      </c>
      <c r="N26" s="227" t="b">
        <f>OR(K26=22,K26=33)</f>
        <v>0</v>
      </c>
      <c r="O26" s="227" t="b">
        <f>OR(K26=11,K26=12)</f>
        <v>0</v>
      </c>
      <c r="P26" s="227" t="b">
        <f>OR(K26=23,K26=34)</f>
        <v>0</v>
      </c>
      <c r="Q26" s="227" t="b">
        <f>OR(K26=13,K26=14,K26=24)</f>
        <v>0</v>
      </c>
      <c r="R26" s="227" t="b">
        <f>OR(K26=1,K26=2,K26=3,K26=4)</f>
        <v>0</v>
      </c>
      <c r="S26" s="228">
        <f t="shared" ref="S26:S27" si="80">IF(COUNTA(E26:F26)&lt;2,"",(IF(L26=TRUE,$L$3,IF(M26=TRUE,$M$3,IF(N26=TRUE,$N$3,IF(O26=TRUE,$O$3,IF(P26=TRUE,$P$3,IF(Q26=TRUE,$Q$3,IF(R26=TRUE,$R$3,0)))))))))</f>
        <v>0</v>
      </c>
      <c r="T26" s="226">
        <f t="shared" ref="T26:T27" si="81">IF(COUNTA(E26:F26)&lt;2,"",(IF(L26=TRUE,6,IF(M26=TRUE,5,IF(N26=TRUE,4,IF(O26=TRUE,3,IF(P26=TRUE,2,IF(Q26=TRUE,1,IF(R26=TRUE,0,0)))))))))</f>
        <v>0</v>
      </c>
      <c r="U26" s="242">
        <f t="shared" ref="U26:U27" si="82">T26*10+H26</f>
        <v>0</v>
      </c>
      <c r="V26" s="229">
        <f>G26</f>
        <v>0</v>
      </c>
      <c r="W26" s="203">
        <f>'ONR 4'!V7</f>
        <v>0</v>
      </c>
      <c r="X26" s="204">
        <f>'ONR 4'!W7</f>
        <v>0</v>
      </c>
      <c r="Y26" s="230">
        <f>I26</f>
        <v>0</v>
      </c>
      <c r="Z26" s="230">
        <f>D26</f>
        <v>0</v>
      </c>
      <c r="AE26" s="206">
        <f>IF(K26=0,1,0)</f>
        <v>1</v>
      </c>
      <c r="AF26" s="206">
        <f t="shared" ref="AF26:AL29" si="83">IF(L26=TRUE,1,0)</f>
        <v>0</v>
      </c>
      <c r="AG26" s="206">
        <f t="shared" si="83"/>
        <v>0</v>
      </c>
      <c r="AH26" s="206">
        <f t="shared" si="83"/>
        <v>0</v>
      </c>
      <c r="AI26" s="206">
        <f t="shared" si="83"/>
        <v>0</v>
      </c>
      <c r="AJ26" s="206">
        <f t="shared" si="83"/>
        <v>0</v>
      </c>
      <c r="AK26" s="206">
        <f t="shared" si="83"/>
        <v>0</v>
      </c>
      <c r="AL26" s="206">
        <f t="shared" si="83"/>
        <v>0</v>
      </c>
    </row>
    <row r="27" spans="1:38" s="205" customFormat="1" ht="57">
      <c r="A27" s="199"/>
      <c r="B27" s="219" t="str">
        <f>'ONR 4'!B8</f>
        <v>4.2</v>
      </c>
      <c r="C27" s="219" t="str">
        <f>'ONR 4'!C8</f>
        <v>En participant à une démarche collaborative de conception et d’évaluation des services numériques en adéquation avec les réels besoins.</v>
      </c>
      <c r="D27" s="231">
        <f>'ONR 4'!D8</f>
        <v>0</v>
      </c>
      <c r="E27" s="268">
        <f>'ONR 4'!E8</f>
        <v>0</v>
      </c>
      <c r="F27" s="275">
        <f>'ONR 4'!F8</f>
        <v>0</v>
      </c>
      <c r="G27" s="207">
        <f>'ONR 4'!G8</f>
        <v>0</v>
      </c>
      <c r="H27" s="201">
        <f>'ONR 4'!H8</f>
        <v>0</v>
      </c>
      <c r="I27" s="224">
        <f>'ONR 4'!I8</f>
        <v>0</v>
      </c>
      <c r="J27" s="219">
        <f t="shared" ref="J27:J35" si="84">S27</f>
        <v>0</v>
      </c>
      <c r="K27" s="233">
        <f t="shared" si="79"/>
        <v>0</v>
      </c>
      <c r="L27" s="233" t="b">
        <f t="shared" ref="L27" si="85">OR(K27=31)</f>
        <v>0</v>
      </c>
      <c r="M27" s="233" t="b">
        <f t="shared" ref="M27" si="86">OR(K27=21,K27=32)</f>
        <v>0</v>
      </c>
      <c r="N27" s="233" t="b">
        <f t="shared" ref="N27" si="87">OR(K27=22,K27=33)</f>
        <v>0</v>
      </c>
      <c r="O27" s="233" t="b">
        <f t="shared" ref="O27" si="88">OR(K27=11,K27=12)</f>
        <v>0</v>
      </c>
      <c r="P27" s="233" t="b">
        <f t="shared" ref="P27" si="89">OR(K27=23,K27=34)</f>
        <v>0</v>
      </c>
      <c r="Q27" s="233" t="b">
        <f t="shared" ref="Q27" si="90">OR(K27=13,K27=14,K27=24)</f>
        <v>0</v>
      </c>
      <c r="R27" s="233" t="b">
        <f t="shared" ref="R27" si="91">OR(K27=1,K27=2,K27=3,K27=4)</f>
        <v>0</v>
      </c>
      <c r="S27" s="234">
        <f t="shared" si="80"/>
        <v>0</v>
      </c>
      <c r="T27" s="232">
        <f t="shared" si="81"/>
        <v>0</v>
      </c>
      <c r="U27" s="243">
        <f t="shared" si="82"/>
        <v>0</v>
      </c>
      <c r="V27" s="235">
        <f>G27</f>
        <v>0</v>
      </c>
      <c r="W27" s="142">
        <f>'ONR 4'!V8</f>
        <v>0</v>
      </c>
      <c r="X27" s="204">
        <f>'ONR 4'!W8</f>
        <v>0</v>
      </c>
      <c r="Y27" s="236">
        <f>I27</f>
        <v>0</v>
      </c>
      <c r="Z27" s="236">
        <f>D27</f>
        <v>0</v>
      </c>
      <c r="AE27" s="206">
        <f>IF(K27=0,1,0)</f>
        <v>1</v>
      </c>
      <c r="AF27" s="206">
        <f t="shared" si="83"/>
        <v>0</v>
      </c>
      <c r="AG27" s="206">
        <f t="shared" si="83"/>
        <v>0</v>
      </c>
      <c r="AH27" s="206">
        <f t="shared" si="83"/>
        <v>0</v>
      </c>
      <c r="AI27" s="206">
        <f t="shared" si="83"/>
        <v>0</v>
      </c>
      <c r="AJ27" s="206">
        <f t="shared" si="83"/>
        <v>0</v>
      </c>
      <c r="AK27" s="206">
        <f t="shared" si="83"/>
        <v>0</v>
      </c>
      <c r="AL27" s="206">
        <f t="shared" si="83"/>
        <v>0</v>
      </c>
    </row>
    <row r="28" spans="1:38" s="205" customFormat="1" ht="57">
      <c r="A28" s="199"/>
      <c r="B28" s="219" t="str">
        <f>'ONR 4'!B9</f>
        <v>4.3</v>
      </c>
      <c r="C28" s="219" t="str">
        <f>'ONR 4'!C9</f>
        <v>En restant innovant dans l’utilisation de nouveaux outils numériques et assurer leur analyse d'impact avec transparence et visibilité pour les utilisatuer</v>
      </c>
      <c r="D28" s="231">
        <f>'ONR 4'!D9</f>
        <v>0</v>
      </c>
      <c r="E28" s="268">
        <f>'ONR 4'!E9</f>
        <v>0</v>
      </c>
      <c r="F28" s="275">
        <f>'ONR 4'!F9</f>
        <v>0</v>
      </c>
      <c r="G28" s="207">
        <f>'ONR 4'!G9</f>
        <v>0</v>
      </c>
      <c r="H28" s="201">
        <f>'ONR 4'!H9</f>
        <v>0</v>
      </c>
      <c r="I28" s="224">
        <f>'ONR 4'!I9</f>
        <v>0</v>
      </c>
      <c r="J28" s="219">
        <f t="shared" ref="J28:J29" si="92">S28</f>
        <v>0</v>
      </c>
      <c r="K28" s="233">
        <f t="shared" ref="K28:K29" si="93">E28*10+F28</f>
        <v>0</v>
      </c>
      <c r="L28" s="233" t="b">
        <f t="shared" ref="L28:L29" si="94">OR(K28=31)</f>
        <v>0</v>
      </c>
      <c r="M28" s="233" t="b">
        <f t="shared" ref="M28:M29" si="95">OR(K28=21,K28=32)</f>
        <v>0</v>
      </c>
      <c r="N28" s="233" t="b">
        <f t="shared" ref="N28:N29" si="96">OR(K28=22,K28=33)</f>
        <v>0</v>
      </c>
      <c r="O28" s="233" t="b">
        <f t="shared" ref="O28:O29" si="97">OR(K28=11,K28=12)</f>
        <v>0</v>
      </c>
      <c r="P28" s="233" t="b">
        <f t="shared" ref="P28:P29" si="98">OR(K28=23,K28=34)</f>
        <v>0</v>
      </c>
      <c r="Q28" s="233" t="b">
        <f t="shared" ref="Q28:Q29" si="99">OR(K28=13,K28=14,K28=24)</f>
        <v>0</v>
      </c>
      <c r="R28" s="233" t="b">
        <f t="shared" ref="R28:R29" si="100">OR(K28=1,K28=2,K28=3,K28=4)</f>
        <v>0</v>
      </c>
      <c r="S28" s="234">
        <f t="shared" ref="S28:S29" si="101">IF(COUNTA(E28:F28)&lt;2,"",(IF(L28=TRUE,$L$3,IF(M28=TRUE,$M$3,IF(N28=TRUE,$N$3,IF(O28=TRUE,$O$3,IF(P28=TRUE,$P$3,IF(Q28=TRUE,$Q$3,IF(R28=TRUE,$R$3,0)))))))))</f>
        <v>0</v>
      </c>
      <c r="T28" s="232">
        <f t="shared" ref="T28:T29" si="102">IF(COUNTA(E28:F28)&lt;2,"",(IF(L28=TRUE,6,IF(M28=TRUE,5,IF(N28=TRUE,4,IF(O28=TRUE,3,IF(P28=TRUE,2,IF(Q28=TRUE,1,IF(R28=TRUE,0,0)))))))))</f>
        <v>0</v>
      </c>
      <c r="U28" s="243">
        <f t="shared" ref="U28:U29" si="103">T28*10+H28</f>
        <v>0</v>
      </c>
      <c r="V28" s="235">
        <f>G28</f>
        <v>0</v>
      </c>
      <c r="W28" s="142">
        <f>'ONR 4'!V9</f>
        <v>0</v>
      </c>
      <c r="X28" s="204">
        <f>'ONR 4'!W9</f>
        <v>0</v>
      </c>
      <c r="Y28" s="236">
        <f>I28</f>
        <v>0</v>
      </c>
      <c r="Z28" s="236">
        <f>D28</f>
        <v>0</v>
      </c>
      <c r="AE28" s="206">
        <f>IF(K28=0,1,0)</f>
        <v>1</v>
      </c>
      <c r="AF28" s="206">
        <f t="shared" si="83"/>
        <v>0</v>
      </c>
      <c r="AG28" s="206">
        <f t="shared" si="83"/>
        <v>0</v>
      </c>
      <c r="AH28" s="206">
        <f t="shared" si="83"/>
        <v>0</v>
      </c>
      <c r="AI28" s="206">
        <f t="shared" si="83"/>
        <v>0</v>
      </c>
      <c r="AJ28" s="206">
        <f t="shared" si="83"/>
        <v>0</v>
      </c>
      <c r="AK28" s="206">
        <f t="shared" si="83"/>
        <v>0</v>
      </c>
      <c r="AL28" s="206">
        <f t="shared" si="83"/>
        <v>0</v>
      </c>
    </row>
    <row r="29" spans="1:38" s="205" customFormat="1" ht="20" thickBot="1">
      <c r="A29" s="199"/>
      <c r="B29" s="219" t="str">
        <f>'ONR 4'!B10</f>
        <v>4.4</v>
      </c>
      <c r="C29" s="219" t="str">
        <f>'ONR 4'!C10</f>
        <v>En permettant et en garrantissant plus de souveraineté numérique</v>
      </c>
      <c r="D29" s="231">
        <f>'ONR 4'!D10</f>
        <v>0</v>
      </c>
      <c r="E29" s="268">
        <f>'ONR 4'!E10</f>
        <v>0</v>
      </c>
      <c r="F29" s="275">
        <f>'ONR 4'!F10</f>
        <v>0</v>
      </c>
      <c r="G29" s="207">
        <f>'ONR 4'!G10</f>
        <v>0</v>
      </c>
      <c r="H29" s="201">
        <f>'ONR 4'!H10</f>
        <v>0</v>
      </c>
      <c r="I29" s="224">
        <f>'ONR 4'!I10</f>
        <v>0</v>
      </c>
      <c r="J29" s="219">
        <f t="shared" si="92"/>
        <v>0</v>
      </c>
      <c r="K29" s="233">
        <f t="shared" si="93"/>
        <v>0</v>
      </c>
      <c r="L29" s="233" t="b">
        <f t="shared" si="94"/>
        <v>0</v>
      </c>
      <c r="M29" s="233" t="b">
        <f t="shared" si="95"/>
        <v>0</v>
      </c>
      <c r="N29" s="233" t="b">
        <f t="shared" si="96"/>
        <v>0</v>
      </c>
      <c r="O29" s="233" t="b">
        <f t="shared" si="97"/>
        <v>0</v>
      </c>
      <c r="P29" s="233" t="b">
        <f t="shared" si="98"/>
        <v>0</v>
      </c>
      <c r="Q29" s="233" t="b">
        <f t="shared" si="99"/>
        <v>0</v>
      </c>
      <c r="R29" s="233" t="b">
        <f t="shared" si="100"/>
        <v>0</v>
      </c>
      <c r="S29" s="234">
        <f t="shared" si="101"/>
        <v>0</v>
      </c>
      <c r="T29" s="232">
        <f t="shared" si="102"/>
        <v>0</v>
      </c>
      <c r="U29" s="243">
        <f t="shared" si="103"/>
        <v>0</v>
      </c>
      <c r="V29" s="235">
        <f>G29</f>
        <v>0</v>
      </c>
      <c r="W29" s="142">
        <f>'ONR 4'!V10</f>
        <v>0</v>
      </c>
      <c r="X29" s="204">
        <f>'ONR 4'!W10</f>
        <v>0</v>
      </c>
      <c r="Y29" s="236">
        <f>I29</f>
        <v>0</v>
      </c>
      <c r="Z29" s="236">
        <f>D29</f>
        <v>0</v>
      </c>
      <c r="AE29" s="206">
        <f>IF(K29=0,1,0)</f>
        <v>1</v>
      </c>
      <c r="AF29" s="206">
        <f t="shared" si="83"/>
        <v>0</v>
      </c>
      <c r="AG29" s="206">
        <f t="shared" si="83"/>
        <v>0</v>
      </c>
      <c r="AH29" s="206">
        <f t="shared" si="83"/>
        <v>0</v>
      </c>
      <c r="AI29" s="206">
        <f t="shared" si="83"/>
        <v>0</v>
      </c>
      <c r="AJ29" s="206">
        <f t="shared" si="83"/>
        <v>0</v>
      </c>
      <c r="AK29" s="206">
        <f t="shared" si="83"/>
        <v>0</v>
      </c>
      <c r="AL29" s="206">
        <f t="shared" si="83"/>
        <v>0</v>
      </c>
    </row>
    <row r="30" spans="1:38" s="116" customFormat="1" ht="23" thickBot="1">
      <c r="A30" s="115"/>
      <c r="B30" s="361" t="str">
        <f>'ONR 5'!B2:C2</f>
        <v>ONR 5  -  MANAGEMENT :  S'engager à faire les choses avec sens en respectant et en préservant les ressources qui produisent</v>
      </c>
      <c r="C30" s="362"/>
      <c r="D30" s="362"/>
      <c r="E30" s="362"/>
      <c r="F30" s="362"/>
      <c r="G30" s="362"/>
      <c r="H30" s="362"/>
      <c r="I30" s="362"/>
      <c r="J30" s="362"/>
      <c r="K30" s="362"/>
      <c r="L30" s="362"/>
      <c r="M30" s="362"/>
      <c r="N30" s="362"/>
      <c r="O30" s="362"/>
      <c r="P30" s="362"/>
      <c r="Q30" s="362"/>
      <c r="R30" s="362"/>
      <c r="S30" s="362"/>
      <c r="T30" s="362"/>
      <c r="U30" s="362"/>
      <c r="V30" s="362"/>
      <c r="W30" s="362"/>
      <c r="X30" s="362"/>
      <c r="Y30" s="362"/>
      <c r="Z30" s="363"/>
      <c r="AB30" s="116" t="str">
        <f>B30</f>
        <v>ONR 5  -  MANAGEMENT :  S'engager à faire les choses avec sens en respectant et en préservant les ressources qui produisent</v>
      </c>
      <c r="AC30" s="116">
        <v>7</v>
      </c>
      <c r="AD30" s="116">
        <f>AC30-AE30</f>
        <v>1</v>
      </c>
      <c r="AE30" s="117">
        <f>SUM(AE31:AE36)</f>
        <v>6</v>
      </c>
      <c r="AF30" s="117">
        <f t="shared" ref="AF30:AL30" si="104">SUM(AF31:AF36)</f>
        <v>0</v>
      </c>
      <c r="AG30" s="117">
        <f t="shared" si="104"/>
        <v>0</v>
      </c>
      <c r="AH30" s="117">
        <f t="shared" si="104"/>
        <v>0</v>
      </c>
      <c r="AI30" s="117">
        <f t="shared" si="104"/>
        <v>0</v>
      </c>
      <c r="AJ30" s="117">
        <f t="shared" si="104"/>
        <v>0</v>
      </c>
      <c r="AK30" s="117">
        <f t="shared" si="104"/>
        <v>0</v>
      </c>
      <c r="AL30" s="117">
        <f t="shared" si="104"/>
        <v>0</v>
      </c>
    </row>
    <row r="31" spans="1:38" s="205" customFormat="1" ht="38">
      <c r="A31" s="199"/>
      <c r="B31" s="218" t="str">
        <f>'ONR 5'!B7</f>
        <v>5.1</v>
      </c>
      <c r="C31" s="218" t="str">
        <f>'ONR 5'!C7</f>
        <v>En incluant l’innovation sociale dans la définition de nouveaux systèmes et services numériques.</v>
      </c>
      <c r="D31" s="223">
        <f>'ONR 5'!D7</f>
        <v>0</v>
      </c>
      <c r="E31" s="272">
        <f>'ONR 5'!E7</f>
        <v>0</v>
      </c>
      <c r="F31" s="279">
        <f>'ONR 5'!F7</f>
        <v>0</v>
      </c>
      <c r="G31" s="200">
        <f>'ONR 5'!G7</f>
        <v>0</v>
      </c>
      <c r="H31" s="216">
        <f>'ONR 5'!H7</f>
        <v>0</v>
      </c>
      <c r="I31" s="225">
        <f>'ONR 5'!I7</f>
        <v>0</v>
      </c>
      <c r="J31" s="220">
        <f t="shared" si="84"/>
        <v>0</v>
      </c>
      <c r="K31" s="227">
        <f t="shared" ref="K31:K35" si="105">E31*10+F31</f>
        <v>0</v>
      </c>
      <c r="L31" s="227" t="b">
        <f>OR(K31=31)</f>
        <v>0</v>
      </c>
      <c r="M31" s="227" t="b">
        <f>OR(K31=21,K31=32)</f>
        <v>0</v>
      </c>
      <c r="N31" s="227" t="b">
        <f>OR(K31=22,K31=33)</f>
        <v>0</v>
      </c>
      <c r="O31" s="227" t="b">
        <f>OR(K31=11,K31=12)</f>
        <v>0</v>
      </c>
      <c r="P31" s="227" t="b">
        <f>OR(K31=23,K31=34)</f>
        <v>0</v>
      </c>
      <c r="Q31" s="227" t="b">
        <f>OR(K31=13,K31=14,K31=24)</f>
        <v>0</v>
      </c>
      <c r="R31" s="227" t="b">
        <f>OR(K31=1,K31=2,K31=3,K31=4)</f>
        <v>0</v>
      </c>
      <c r="S31" s="228">
        <f t="shared" ref="S31:S35" si="106">IF(COUNTA(E31:F31)&lt;2,"",(IF(L31=TRUE,$L$3,IF(M31=TRUE,$M$3,IF(N31=TRUE,$N$3,IF(O31=TRUE,$O$3,IF(P31=TRUE,$P$3,IF(Q31=TRUE,$Q$3,IF(R31=TRUE,$R$3,0)))))))))</f>
        <v>0</v>
      </c>
      <c r="T31" s="226">
        <f t="shared" ref="T31:T35" si="107">IF(COUNTA(E31:F31)&lt;2,"",(IF(L31=TRUE,6,IF(M31=TRUE,5,IF(N31=TRUE,4,IF(O31=TRUE,3,IF(P31=TRUE,2,IF(Q31=TRUE,1,IF(R31=TRUE,0,0)))))))))</f>
        <v>0</v>
      </c>
      <c r="U31" s="242">
        <f t="shared" ref="U31:U35" si="108">T31*10+H31</f>
        <v>0</v>
      </c>
      <c r="V31" s="229">
        <f t="shared" ref="V31:V35" si="109">G31</f>
        <v>0</v>
      </c>
      <c r="W31" s="203">
        <f>'ONR 5'!V7</f>
        <v>0</v>
      </c>
      <c r="X31" s="204">
        <f>'ONR 5'!W7</f>
        <v>0</v>
      </c>
      <c r="Y31" s="257">
        <f t="shared" ref="Y31:Y35" si="110">I31</f>
        <v>0</v>
      </c>
      <c r="Z31" s="256">
        <f>D31</f>
        <v>0</v>
      </c>
      <c r="AE31" s="206">
        <f t="shared" ref="AE31:AE35" si="111">IF(K31=0,1,0)</f>
        <v>1</v>
      </c>
      <c r="AF31" s="206">
        <f t="shared" ref="AF31:AF35" si="112">IF(L31=TRUE,1,0)</f>
        <v>0</v>
      </c>
      <c r="AG31" s="206">
        <f t="shared" ref="AG31:AG35" si="113">IF(M31=TRUE,1,0)</f>
        <v>0</v>
      </c>
      <c r="AH31" s="206">
        <f t="shared" ref="AH31:AH35" si="114">IF(N31=TRUE,1,0)</f>
        <v>0</v>
      </c>
      <c r="AI31" s="206">
        <f t="shared" ref="AI31:AI35" si="115">IF(O31=TRUE,1,0)</f>
        <v>0</v>
      </c>
      <c r="AJ31" s="206">
        <f t="shared" ref="AJ31:AJ35" si="116">IF(P31=TRUE,1,0)</f>
        <v>0</v>
      </c>
      <c r="AK31" s="206">
        <f t="shared" ref="AK31:AK35" si="117">IF(Q31=TRUE,1,0)</f>
        <v>0</v>
      </c>
      <c r="AL31" s="206">
        <f t="shared" ref="AL31:AL35" si="118">IF(R31=TRUE,1,0)</f>
        <v>0</v>
      </c>
    </row>
    <row r="32" spans="1:38" s="205" customFormat="1" ht="38">
      <c r="A32" s="199"/>
      <c r="B32" s="219" t="str">
        <f>'ONR 5'!B8</f>
        <v>5.2</v>
      </c>
      <c r="C32" s="218" t="str">
        <f>'ONR 5'!C8</f>
        <v>En valorisant les initiatives internes qui mobilisent l’organisation, favorisent les collaborations transversales et le bien-être au travail.</v>
      </c>
      <c r="D32" s="231">
        <f>'ONR 5'!D8</f>
        <v>0</v>
      </c>
      <c r="E32" s="272">
        <f>'ONR 5'!E8</f>
        <v>0</v>
      </c>
      <c r="F32" s="279">
        <f>'ONR 5'!F8</f>
        <v>0</v>
      </c>
      <c r="G32" s="207">
        <f>'ONR 5'!G8</f>
        <v>0</v>
      </c>
      <c r="H32" s="216">
        <f>'ONR 5'!H8</f>
        <v>0</v>
      </c>
      <c r="I32" s="224">
        <f>'ONR 5'!I8</f>
        <v>0</v>
      </c>
      <c r="J32" s="220">
        <f t="shared" si="84"/>
        <v>0</v>
      </c>
      <c r="K32" s="233">
        <f t="shared" si="105"/>
        <v>0</v>
      </c>
      <c r="L32" s="233" t="b">
        <f t="shared" ref="L32:L35" si="119">OR(K32=31)</f>
        <v>0</v>
      </c>
      <c r="M32" s="233" t="b">
        <f t="shared" ref="M32:M35" si="120">OR(K32=21,K32=32)</f>
        <v>0</v>
      </c>
      <c r="N32" s="233" t="b">
        <f t="shared" ref="N32:N35" si="121">OR(K32=22,K32=33)</f>
        <v>0</v>
      </c>
      <c r="O32" s="233" t="b">
        <f t="shared" ref="O32:O35" si="122">OR(K32=11,K32=12)</f>
        <v>0</v>
      </c>
      <c r="P32" s="233" t="b">
        <f t="shared" ref="P32:P35" si="123">OR(K32=23,K32=34)</f>
        <v>0</v>
      </c>
      <c r="Q32" s="233" t="b">
        <f t="shared" ref="Q32:Q35" si="124">OR(K32=13,K32=14,K32=24)</f>
        <v>0</v>
      </c>
      <c r="R32" s="233" t="b">
        <f t="shared" ref="R32:R35" si="125">OR(K32=1,K32=2,K32=3,K32=4)</f>
        <v>0</v>
      </c>
      <c r="S32" s="234">
        <f t="shared" si="106"/>
        <v>0</v>
      </c>
      <c r="T32" s="232">
        <f t="shared" si="107"/>
        <v>0</v>
      </c>
      <c r="U32" s="243">
        <f t="shared" si="108"/>
        <v>0</v>
      </c>
      <c r="V32" s="235">
        <f t="shared" si="109"/>
        <v>0</v>
      </c>
      <c r="W32" s="142">
        <f>'ONR 5'!V8</f>
        <v>0</v>
      </c>
      <c r="X32" s="204">
        <f>'ONR 5'!W8</f>
        <v>0</v>
      </c>
      <c r="Y32" s="258">
        <f t="shared" si="110"/>
        <v>0</v>
      </c>
      <c r="Z32" s="256">
        <f t="shared" ref="Z32:Z35" si="126">D32</f>
        <v>0</v>
      </c>
      <c r="AE32" s="206">
        <f t="shared" si="111"/>
        <v>1</v>
      </c>
      <c r="AF32" s="206">
        <f t="shared" si="112"/>
        <v>0</v>
      </c>
      <c r="AG32" s="206">
        <f t="shared" si="113"/>
        <v>0</v>
      </c>
      <c r="AH32" s="206">
        <f t="shared" si="114"/>
        <v>0</v>
      </c>
      <c r="AI32" s="206">
        <f t="shared" si="115"/>
        <v>0</v>
      </c>
      <c r="AJ32" s="206">
        <f t="shared" si="116"/>
        <v>0</v>
      </c>
      <c r="AK32" s="206">
        <f t="shared" si="117"/>
        <v>0</v>
      </c>
      <c r="AL32" s="206">
        <f t="shared" si="118"/>
        <v>0</v>
      </c>
    </row>
    <row r="33" spans="1:38" s="205" customFormat="1" ht="38">
      <c r="A33" s="199"/>
      <c r="B33" s="219" t="str">
        <f>'ONR 5'!B9</f>
        <v>5.3</v>
      </c>
      <c r="C33" s="218" t="str">
        <f>'ONR 5'!C9</f>
        <v>En sollicitant l’engagement et l’expertise des parties prenantes (sur les sujets environnementaux, sociaux et sociétaux)</v>
      </c>
      <c r="D33" s="231">
        <f>'ONR 5'!D9</f>
        <v>0</v>
      </c>
      <c r="E33" s="272">
        <f>'ONR 5'!E9</f>
        <v>0</v>
      </c>
      <c r="F33" s="279">
        <f>'ONR 5'!F9</f>
        <v>0</v>
      </c>
      <c r="G33" s="207">
        <f>'ONR 5'!G9</f>
        <v>0</v>
      </c>
      <c r="H33" s="216">
        <f>'ONR 5'!H9</f>
        <v>0</v>
      </c>
      <c r="I33" s="224">
        <f>'ONR 5'!I9</f>
        <v>0</v>
      </c>
      <c r="J33" s="220">
        <f t="shared" si="84"/>
        <v>0</v>
      </c>
      <c r="K33" s="233">
        <f t="shared" si="105"/>
        <v>0</v>
      </c>
      <c r="L33" s="233" t="b">
        <f t="shared" si="119"/>
        <v>0</v>
      </c>
      <c r="M33" s="233" t="b">
        <f t="shared" si="120"/>
        <v>0</v>
      </c>
      <c r="N33" s="233" t="b">
        <f t="shared" si="121"/>
        <v>0</v>
      </c>
      <c r="O33" s="233" t="b">
        <f t="shared" si="122"/>
        <v>0</v>
      </c>
      <c r="P33" s="233" t="b">
        <f t="shared" si="123"/>
        <v>0</v>
      </c>
      <c r="Q33" s="233" t="b">
        <f t="shared" si="124"/>
        <v>0</v>
      </c>
      <c r="R33" s="233" t="b">
        <f t="shared" si="125"/>
        <v>0</v>
      </c>
      <c r="S33" s="234">
        <f t="shared" si="106"/>
        <v>0</v>
      </c>
      <c r="T33" s="232">
        <f t="shared" si="107"/>
        <v>0</v>
      </c>
      <c r="U33" s="243">
        <f t="shared" si="108"/>
        <v>0</v>
      </c>
      <c r="V33" s="235">
        <f t="shared" si="109"/>
        <v>0</v>
      </c>
      <c r="W33" s="142">
        <f>'ONR 5'!V9</f>
        <v>0</v>
      </c>
      <c r="X33" s="204">
        <f>'ONR 5'!W9</f>
        <v>0</v>
      </c>
      <c r="Y33" s="258">
        <f t="shared" si="110"/>
        <v>0</v>
      </c>
      <c r="Z33" s="256">
        <f t="shared" si="126"/>
        <v>0</v>
      </c>
      <c r="AE33" s="206">
        <f t="shared" si="111"/>
        <v>1</v>
      </c>
      <c r="AF33" s="206">
        <f t="shared" si="112"/>
        <v>0</v>
      </c>
      <c r="AG33" s="206">
        <f t="shared" si="113"/>
        <v>0</v>
      </c>
      <c r="AH33" s="206">
        <f t="shared" si="114"/>
        <v>0</v>
      </c>
      <c r="AI33" s="206">
        <f t="shared" si="115"/>
        <v>0</v>
      </c>
      <c r="AJ33" s="206">
        <f t="shared" si="116"/>
        <v>0</v>
      </c>
      <c r="AK33" s="206">
        <f t="shared" si="117"/>
        <v>0</v>
      </c>
      <c r="AL33" s="206">
        <f t="shared" si="118"/>
        <v>0</v>
      </c>
    </row>
    <row r="34" spans="1:38" s="205" customFormat="1" ht="57">
      <c r="A34" s="199"/>
      <c r="B34" s="219" t="str">
        <f>'ONR 5'!B10</f>
        <v>5.4</v>
      </c>
      <c r="C34" s="218" t="str">
        <f>'ONR 5'!C10</f>
        <v>En permettant aux générations futures d’innover pour construire un monde ouvert à l’autre soucieux de l’équilibre des écosystèmes et du bien-vivre ensemble.</v>
      </c>
      <c r="D34" s="231">
        <f>'ONR 5'!D10</f>
        <v>0</v>
      </c>
      <c r="E34" s="272">
        <f>'ONR 5'!E10</f>
        <v>0</v>
      </c>
      <c r="F34" s="279">
        <f>'ONR 5'!F10</f>
        <v>0</v>
      </c>
      <c r="G34" s="207">
        <f>'ONR 5'!G10</f>
        <v>0</v>
      </c>
      <c r="H34" s="216">
        <f>'ONR 5'!H10</f>
        <v>0</v>
      </c>
      <c r="I34" s="224">
        <f>'ONR 5'!I10</f>
        <v>0</v>
      </c>
      <c r="J34" s="220">
        <f t="shared" si="84"/>
        <v>0</v>
      </c>
      <c r="K34" s="233">
        <f t="shared" si="105"/>
        <v>0</v>
      </c>
      <c r="L34" s="233" t="b">
        <f t="shared" si="119"/>
        <v>0</v>
      </c>
      <c r="M34" s="233" t="b">
        <f t="shared" si="120"/>
        <v>0</v>
      </c>
      <c r="N34" s="233" t="b">
        <f t="shared" si="121"/>
        <v>0</v>
      </c>
      <c r="O34" s="233" t="b">
        <f t="shared" si="122"/>
        <v>0</v>
      </c>
      <c r="P34" s="233" t="b">
        <f t="shared" si="123"/>
        <v>0</v>
      </c>
      <c r="Q34" s="233" t="b">
        <f t="shared" si="124"/>
        <v>0</v>
      </c>
      <c r="R34" s="233" t="b">
        <f t="shared" si="125"/>
        <v>0</v>
      </c>
      <c r="S34" s="234">
        <f t="shared" si="106"/>
        <v>0</v>
      </c>
      <c r="T34" s="232">
        <f t="shared" si="107"/>
        <v>0</v>
      </c>
      <c r="U34" s="243">
        <f t="shared" si="108"/>
        <v>0</v>
      </c>
      <c r="V34" s="235">
        <f t="shared" si="109"/>
        <v>0</v>
      </c>
      <c r="W34" s="142">
        <f>'ONR 5'!V10</f>
        <v>0</v>
      </c>
      <c r="X34" s="204">
        <f>'ONR 5'!W10</f>
        <v>0</v>
      </c>
      <c r="Y34" s="258">
        <f t="shared" si="110"/>
        <v>0</v>
      </c>
      <c r="Z34" s="256">
        <f t="shared" si="126"/>
        <v>0</v>
      </c>
      <c r="AE34" s="206">
        <f t="shared" si="111"/>
        <v>1</v>
      </c>
      <c r="AF34" s="206">
        <f t="shared" si="112"/>
        <v>0</v>
      </c>
      <c r="AG34" s="206">
        <f t="shared" si="113"/>
        <v>0</v>
      </c>
      <c r="AH34" s="206">
        <f t="shared" si="114"/>
        <v>0</v>
      </c>
      <c r="AI34" s="206">
        <f t="shared" si="115"/>
        <v>0</v>
      </c>
      <c r="AJ34" s="206">
        <f t="shared" si="116"/>
        <v>0</v>
      </c>
      <c r="AK34" s="206">
        <f t="shared" si="117"/>
        <v>0</v>
      </c>
      <c r="AL34" s="206">
        <f t="shared" si="118"/>
        <v>0</v>
      </c>
    </row>
    <row r="35" spans="1:38" s="205" customFormat="1" ht="19">
      <c r="A35" s="199"/>
      <c r="B35" s="219" t="str">
        <f>'ONR 5'!B11</f>
        <v>5.5</v>
      </c>
      <c r="C35" s="218" t="str">
        <f>'ONR 5'!C11</f>
        <v>En suivant les indicateurs de performances et de conformité</v>
      </c>
      <c r="D35" s="231">
        <f>'ONR 5'!D11</f>
        <v>0</v>
      </c>
      <c r="E35" s="268">
        <f>'ONR 5'!E11</f>
        <v>0</v>
      </c>
      <c r="F35" s="275">
        <f>'ONR 5'!F11</f>
        <v>0</v>
      </c>
      <c r="G35" s="207">
        <f>'ONR 5'!G11</f>
        <v>0</v>
      </c>
      <c r="H35" s="201">
        <f>'ONR 5'!H11</f>
        <v>0</v>
      </c>
      <c r="I35" s="224">
        <f>'ONR 5'!I11</f>
        <v>0</v>
      </c>
      <c r="J35" s="219">
        <f t="shared" si="84"/>
        <v>0</v>
      </c>
      <c r="K35" s="233">
        <f t="shared" si="105"/>
        <v>0</v>
      </c>
      <c r="L35" s="233" t="b">
        <f t="shared" si="119"/>
        <v>0</v>
      </c>
      <c r="M35" s="233" t="b">
        <f t="shared" si="120"/>
        <v>0</v>
      </c>
      <c r="N35" s="233" t="b">
        <f t="shared" si="121"/>
        <v>0</v>
      </c>
      <c r="O35" s="233" t="b">
        <f t="shared" si="122"/>
        <v>0</v>
      </c>
      <c r="P35" s="233" t="b">
        <f t="shared" si="123"/>
        <v>0</v>
      </c>
      <c r="Q35" s="233" t="b">
        <f t="shared" si="124"/>
        <v>0</v>
      </c>
      <c r="R35" s="233" t="b">
        <f t="shared" si="125"/>
        <v>0</v>
      </c>
      <c r="S35" s="234">
        <f t="shared" si="106"/>
        <v>0</v>
      </c>
      <c r="T35" s="232">
        <f t="shared" si="107"/>
        <v>0</v>
      </c>
      <c r="U35" s="243">
        <f t="shared" si="108"/>
        <v>0</v>
      </c>
      <c r="V35" s="235">
        <f t="shared" si="109"/>
        <v>0</v>
      </c>
      <c r="W35" s="142">
        <f>'ONR 5'!V11</f>
        <v>0</v>
      </c>
      <c r="X35" s="204">
        <f>'ONR 5'!W11</f>
        <v>0</v>
      </c>
      <c r="Y35" s="258">
        <f t="shared" si="110"/>
        <v>0</v>
      </c>
      <c r="Z35" s="236">
        <f t="shared" si="126"/>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ht="38">
      <c r="B36" s="219" t="str">
        <f>'ONR 5'!B12</f>
        <v>5.6</v>
      </c>
      <c r="C36" s="218" t="str">
        <f>'ONR 5'!C12</f>
        <v>En proposant des axes d’amélioration et d'innovation autour du NR ( y compris s'ils ne sont pas numériques )</v>
      </c>
      <c r="D36" s="231">
        <f>'ONR 5'!D12</f>
        <v>0</v>
      </c>
      <c r="E36" s="268">
        <f>'ONR 5'!E12</f>
        <v>0</v>
      </c>
      <c r="F36" s="275">
        <f>'ONR 5'!F12</f>
        <v>0</v>
      </c>
      <c r="G36" s="207">
        <f>'ONR 5'!G12</f>
        <v>0</v>
      </c>
      <c r="H36" s="201">
        <f>'ONR 5'!H12</f>
        <v>0</v>
      </c>
      <c r="I36" s="224">
        <f>'ONR 5'!I12</f>
        <v>0</v>
      </c>
      <c r="J36" s="219">
        <f t="shared" ref="J36" si="127">S36</f>
        <v>0</v>
      </c>
      <c r="K36" s="233">
        <f t="shared" ref="K36" si="128">E36*10+F36</f>
        <v>0</v>
      </c>
      <c r="L36" s="233" t="b">
        <f t="shared" ref="L36" si="129">OR(K36=31)</f>
        <v>0</v>
      </c>
      <c r="M36" s="233" t="b">
        <f t="shared" ref="M36" si="130">OR(K36=21,K36=32)</f>
        <v>0</v>
      </c>
      <c r="N36" s="233" t="b">
        <f t="shared" ref="N36" si="131">OR(K36=22,K36=33)</f>
        <v>0</v>
      </c>
      <c r="O36" s="233" t="b">
        <f t="shared" ref="O36" si="132">OR(K36=11,K36=12)</f>
        <v>0</v>
      </c>
      <c r="P36" s="233" t="b">
        <f t="shared" ref="P36" si="133">OR(K36=23,K36=34)</f>
        <v>0</v>
      </c>
      <c r="Q36" s="233" t="b">
        <f t="shared" ref="Q36" si="134">OR(K36=13,K36=14,K36=24)</f>
        <v>0</v>
      </c>
      <c r="R36" s="233" t="b">
        <f t="shared" ref="R36" si="135">OR(K36=1,K36=2,K36=3,K36=4)</f>
        <v>0</v>
      </c>
      <c r="S36" s="234">
        <f t="shared" ref="S36" si="136">IF(COUNTA(E36:F36)&lt;2,"",(IF(L36=TRUE,$L$3,IF(M36=TRUE,$M$3,IF(N36=TRUE,$N$3,IF(O36=TRUE,$O$3,IF(P36=TRUE,$P$3,IF(Q36=TRUE,$Q$3,IF(R36=TRUE,$R$3,0)))))))))</f>
        <v>0</v>
      </c>
      <c r="T36" s="232">
        <f t="shared" ref="T36" si="137">IF(COUNTA(E36:F36)&lt;2,"",(IF(L36=TRUE,6,IF(M36=TRUE,5,IF(N36=TRUE,4,IF(O36=TRUE,3,IF(P36=TRUE,2,IF(Q36=TRUE,1,IF(R36=TRUE,0,0)))))))))</f>
        <v>0</v>
      </c>
      <c r="U36" s="243">
        <f t="shared" ref="U36" si="138">T36*10+H36</f>
        <v>0</v>
      </c>
      <c r="V36" s="235">
        <f t="shared" ref="V36" si="139">G36</f>
        <v>0</v>
      </c>
      <c r="W36" s="142">
        <f>'ONR 5'!V12</f>
        <v>0</v>
      </c>
      <c r="X36" s="204">
        <f>'ONR 5'!W12</f>
        <v>0</v>
      </c>
      <c r="Y36" s="258">
        <f t="shared" ref="Y36" si="140">I36</f>
        <v>0</v>
      </c>
      <c r="Z36" s="236">
        <f t="shared" ref="Z36" si="141">D36</f>
        <v>0</v>
      </c>
      <c r="AE36" s="206">
        <f t="shared" ref="AE36" si="142">IF(K36=0,1,0)</f>
        <v>1</v>
      </c>
      <c r="AF36" s="206">
        <f t="shared" ref="AF36" si="143">IF(L36=TRUE,1,0)</f>
        <v>0</v>
      </c>
      <c r="AG36" s="206">
        <f t="shared" ref="AG36" si="144">IF(M36=TRUE,1,0)</f>
        <v>0</v>
      </c>
      <c r="AH36" s="206">
        <f t="shared" ref="AH36" si="145">IF(N36=TRUE,1,0)</f>
        <v>0</v>
      </c>
      <c r="AI36" s="206">
        <f t="shared" ref="AI36" si="146">IF(O36=TRUE,1,0)</f>
        <v>0</v>
      </c>
      <c r="AJ36" s="206">
        <f t="shared" ref="AJ36" si="147">IF(P36=TRUE,1,0)</f>
        <v>0</v>
      </c>
      <c r="AK36" s="206">
        <f t="shared" ref="AK36" si="148">IF(Q36=TRUE,1,0)</f>
        <v>0</v>
      </c>
      <c r="AL36" s="206">
        <f t="shared" ref="AL36" si="149">IF(R36=TRUE,1,0)</f>
        <v>0</v>
      </c>
    </row>
  </sheetData>
  <mergeCells count="11">
    <mergeCell ref="B30:Z30"/>
    <mergeCell ref="Y2:Z2"/>
    <mergeCell ref="B2:C3"/>
    <mergeCell ref="D2:E2"/>
    <mergeCell ref="F2:G2"/>
    <mergeCell ref="H2:I2"/>
    <mergeCell ref="V2:X2"/>
    <mergeCell ref="B25:Z25"/>
    <mergeCell ref="B17:Z17"/>
    <mergeCell ref="B12:Z12"/>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1 D13:D16 D33:D36">
    <cfRule type="expression" dxfId="80" priority="5235">
      <formula>FIND("Conforter",F5)</formula>
    </cfRule>
  </conditionalFormatting>
  <conditionalFormatting sqref="D5:D11 D33:D36 V18:Z24 V26:Z29 D13:D16">
    <cfRule type="expression" dxfId="79" priority="5234" stopIfTrue="1">
      <formula>ISTEXT(D5)</formula>
    </cfRule>
  </conditionalFormatting>
  <conditionalFormatting sqref="D7:D11">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3:D16 I13:I16 D18:D24 I18:I24 D26:D29 I26:I29 D31:D36 I31:I36">
    <cfRule type="expression" dxfId="74" priority="5554">
      <formula>FIND("Réagir",E13)</formula>
    </cfRule>
    <cfRule type="expression" dxfId="73" priority="5553">
      <formula>FIND("Agir",E13)</formula>
    </cfRule>
  </conditionalFormatting>
  <conditionalFormatting sqref="D18">
    <cfRule type="expression" dxfId="72" priority="5129">
      <formula>FIND("Conforter",F18)</formula>
    </cfRule>
    <cfRule type="expression" dxfId="71" priority="5128" stopIfTrue="1">
      <formula>ISTEXT(D18)</formula>
    </cfRule>
  </conditionalFormatting>
  <conditionalFormatting sqref="D18:D24 D26:D29 D31:D36">
    <cfRule type="expression" dxfId="70" priority="5497">
      <formula>FIND("Conforter",F18)</formula>
    </cfRule>
  </conditionalFormatting>
  <conditionalFormatting sqref="D18:D24">
    <cfRule type="expression" dxfId="69" priority="5118" stopIfTrue="1">
      <formula>ISTEXT(D18)</formula>
    </cfRule>
    <cfRule type="expression" dxfId="68" priority="5119">
      <formula>FIND("Conforter",F18)</formula>
    </cfRule>
  </conditionalFormatting>
  <conditionalFormatting sqref="D20:D23">
    <cfRule type="expression" dxfId="67" priority="5121">
      <formula>FIND("Conforter",F20)</formula>
    </cfRule>
    <cfRule type="expression" dxfId="66" priority="5120" stopIfTrue="1">
      <formula>ISTEXT(D20)</formula>
    </cfRule>
  </conditionalFormatting>
  <conditionalFormatting sqref="D21">
    <cfRule type="expression" dxfId="65" priority="4990" stopIfTrue="1">
      <formula>ISTEXT(D21)</formula>
    </cfRule>
    <cfRule type="expression" dxfId="64" priority="4991">
      <formula>FIND("Conforter",F21)</formula>
    </cfRule>
  </conditionalFormatting>
  <conditionalFormatting sqref="D26">
    <cfRule type="expression" dxfId="63" priority="4860" stopIfTrue="1">
      <formula>ISTEXT(D26)</formula>
    </cfRule>
    <cfRule type="expression" dxfId="62" priority="4861">
      <formula>FIND("Conforter",F26)</formula>
    </cfRule>
  </conditionalFormatting>
  <conditionalFormatting sqref="D31">
    <cfRule type="expression" dxfId="61" priority="4573">
      <formula>FIND("Conforter",F31)</formula>
    </cfRule>
    <cfRule type="expression" dxfId="60" priority="4572" stopIfTrue="1">
      <formula>ISTEXT(D31)</formula>
    </cfRule>
  </conditionalFormatting>
  <conditionalFormatting sqref="D31:D36 D18:D24 D26:D29">
    <cfRule type="expression" dxfId="59" priority="5496" stopIfTrue="1">
      <formula>ISTEXT(D18)</formula>
    </cfRule>
  </conditionalFormatting>
  <conditionalFormatting sqref="D35:D36">
    <cfRule type="expression" dxfId="58" priority="4435">
      <formula>FIND("Conforter",F35)</formula>
    </cfRule>
    <cfRule type="expression" dxfId="57" priority="4434" stopIfTrue="1">
      <formula>ISTEXT(D35)</formula>
    </cfRule>
  </conditionalFormatting>
  <conditionalFormatting sqref="F13:H16 F31:H36">
    <cfRule type="expression" dxfId="56" priority="7">
      <formula>FIND("Conforter",I13)</formula>
    </cfRule>
  </conditionalFormatting>
  <conditionalFormatting sqref="F18:H24 F26:H29">
    <cfRule type="expression" dxfId="55" priority="5547" stopIfTrue="1">
      <formula>ISTEXT(F18)</formula>
    </cfRule>
    <cfRule type="expression" dxfId="54" priority="5548">
      <formula>FIND("Conforter",I18)</formula>
    </cfRule>
  </conditionalFormatting>
  <conditionalFormatting sqref="F31:H36 F13:H16">
    <cfRule type="expression" dxfId="53" priority="6" stopIfTrue="1">
      <formula>ISTEXT(F13)</formula>
    </cfRule>
  </conditionalFormatting>
  <conditionalFormatting sqref="G13:H16 G26:H29 G31:H36 G18:H24">
    <cfRule type="expression" dxfId="52" priority="5545">
      <formula>FIND("Agir",I13)</formula>
    </cfRule>
    <cfRule type="expression" dxfId="51" priority="5546">
      <formula>FIND("Réagir",I13)</formula>
    </cfRule>
  </conditionalFormatting>
  <conditionalFormatting sqref="G18:H24">
    <cfRule type="expression" dxfId="50" priority="5150" stopIfTrue="1">
      <formula>ISTEXT(G18)</formula>
    </cfRule>
    <cfRule type="expression" dxfId="49" priority="5151">
      <formula>FIND("Conforter",J18)</formula>
    </cfRule>
  </conditionalFormatting>
  <conditionalFormatting sqref="G31:H36 G13:H16 G26:H29">
    <cfRule type="expression" dxfId="48" priority="5544" stopIfTrue="1">
      <formula>ISTEXT(G13)</formula>
    </cfRule>
  </conditionalFormatting>
  <conditionalFormatting sqref="G33:H36">
    <cfRule type="expression" dxfId="47" priority="5393">
      <formula>FIND("Conforter",J33)</formula>
    </cfRule>
  </conditionalFormatting>
  <conditionalFormatting sqref="G35:H36">
    <cfRule type="expression" dxfId="46" priority="4437">
      <formula>FIND("Conforter",J35)</formula>
    </cfRule>
  </conditionalFormatting>
  <conditionalFormatting sqref="G18:I24">
    <cfRule type="expression" dxfId="45" priority="5152" stopIfTrue="1">
      <formula>ISTEXT(G18)</formula>
    </cfRule>
  </conditionalFormatting>
  <conditionalFormatting sqref="G33:I36">
    <cfRule type="expression" dxfId="44" priority="4594" stopIfTrue="1">
      <formula>ISTEXT(G33)</formula>
    </cfRule>
  </conditionalFormatting>
  <conditionalFormatting sqref="G35:I36">
    <cfRule type="expression" dxfId="43" priority="4436" stopIfTrue="1">
      <formula>ISTEXT(G35)</formula>
    </cfRule>
  </conditionalFormatting>
  <conditionalFormatting sqref="H13:H16">
    <cfRule type="expression" dxfId="42" priority="5327" stopIfTrue="1">
      <formula>ISTEXT(H13)</formula>
    </cfRule>
    <cfRule type="expression" dxfId="41" priority="5328">
      <formula>FIND("Conforter",J13)</formula>
    </cfRule>
  </conditionalFormatting>
  <conditionalFormatting sqref="H26">
    <cfRule type="expression" dxfId="40" priority="4838">
      <formula>FIND("Conforter",J26)</formula>
    </cfRule>
    <cfRule type="expression" dxfId="39" priority="4837" stopIfTrue="1">
      <formula>ISTEXT(H26)</formula>
    </cfRule>
  </conditionalFormatting>
  <conditionalFormatting sqref="H31:H36">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1">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3:I16 I18:I24 I26:I29 I31:I36 D18:D24 D26:D29 D31:D36 D13:D16">
    <cfRule type="expression" dxfId="31" priority="5552" stopIfTrue="1">
      <formula>ISTEXT(D13)</formula>
    </cfRule>
  </conditionalFormatting>
  <conditionalFormatting sqref="I18:I24">
    <cfRule type="expression" dxfId="30" priority="5153">
      <formula>FIND("Agir",J18)</formula>
    </cfRule>
    <cfRule type="expression" dxfId="29" priority="5154">
      <formula>FIND("Réagir",J18)</formula>
    </cfRule>
  </conditionalFormatting>
  <conditionalFormatting sqref="I27:I29">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2">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5:I36">
    <cfRule type="expression" dxfId="22" priority="4439">
      <formula>FIND("Agir",J35)</formula>
    </cfRule>
    <cfRule type="expression" dxfId="21" priority="4440">
      <formula>FIND("Réagir",J35)</formula>
    </cfRule>
  </conditionalFormatting>
  <conditionalFormatting sqref="I5:J11 I18:J24 I26:J29 I31:J36 V18:Z24 V26:Z29 V3:Z3 V5:Z11 V13:Z16 V31:Y36 V1:V2 I3:J3 I13:I16">
    <cfRule type="containsText" dxfId="20" priority="5549" stopIfTrue="1" operator="containsText" text="Première">
      <formula>NOT(ISERROR(SEARCH("Première",I1)))</formula>
    </cfRule>
  </conditionalFormatting>
  <conditionalFormatting sqref="J5:J11 J13:J16 J18:J24 J26:J29 J31:J36">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1 J18:J24 J26:J29 J31:J36">
    <cfRule type="containsText" dxfId="12" priority="5541" stopIfTrue="1" operator="containsText" text="Non">
      <formula>NOT(ISERROR(SEARCH("Non",J6)))</formula>
    </cfRule>
  </conditionalFormatting>
  <conditionalFormatting sqref="V1:V2 I3:J3 I5:J11 I13:I16 I18:J24 I26:J29 I31:J36">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1 V13:Z16 V18:Z24 V26:Z29 V31:Y36">
    <cfRule type="containsText" dxfId="9" priority="94" stopIfTrue="1" operator="containsText" text="Terme">
      <formula>NOT(ISERROR(SEARCH("Terme",V3)))</formula>
    </cfRule>
  </conditionalFormatting>
  <conditionalFormatting sqref="V5:Z11 V13:Z16 V31:Z36">
    <cfRule type="expression" dxfId="8" priority="84">
      <formula>FIND("Agir",#REF!)</formula>
    </cfRule>
    <cfRule type="expression" dxfId="7" priority="85">
      <formula>FIND("Réagir",#REF!)</formula>
    </cfRule>
  </conditionalFormatting>
  <conditionalFormatting sqref="V18:Z24 V26:Z29 V5:Z11 V13:Z16 V31:Y36 V3:Z3">
    <cfRule type="containsText" dxfId="6" priority="93" stopIfTrue="1" operator="containsText" text="Seconde">
      <formula>NOT(ISERROR(SEARCH("Seconde",V3)))</formula>
    </cfRule>
  </conditionalFormatting>
  <conditionalFormatting sqref="V18:Z24 V26:Z29">
    <cfRule type="expression" dxfId="5" priority="91">
      <formula>FIND("Réagir",#REF!)</formula>
    </cfRule>
    <cfRule type="expression" dxfId="4" priority="90">
      <formula>FIND("Agir",#REF!)</formula>
    </cfRule>
  </conditionalFormatting>
  <conditionalFormatting sqref="V31:Z36 V5:Z11 V13:Z16">
    <cfRule type="expression" dxfId="3" priority="83" stopIfTrue="1">
      <formula>ISTEXT(V5)</formula>
    </cfRule>
  </conditionalFormatting>
  <conditionalFormatting sqref="Z31:Z36">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6 H13:H16"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3:F16 F18:F24 F26:F36 F5:F11"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3:E16 E18:E24 E26:E36 E5:E11"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5" t="s">
        <v>124</v>
      </c>
      <c r="C2" s="386"/>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7" t="s">
        <v>125</v>
      </c>
      <c r="C3" s="388"/>
      <c r="D3" s="45">
        <f t="shared" ref="D3:M3" si="0">SUM(D4:D8)</f>
        <v>27</v>
      </c>
      <c r="E3" s="65">
        <f t="shared" si="0"/>
        <v>3</v>
      </c>
      <c r="F3" s="63">
        <f t="shared" si="0"/>
        <v>24</v>
      </c>
      <c r="G3" s="262">
        <f t="shared" si="0"/>
        <v>2</v>
      </c>
      <c r="H3" s="263">
        <f t="shared" si="0"/>
        <v>1</v>
      </c>
      <c r="I3" s="262">
        <f t="shared" si="0"/>
        <v>1</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					</v>
      </c>
      <c r="D4" s="44">
        <f>IF('Résultats détaillés'!AC4=0,"",'Résultats détaillés'!AC4)</f>
        <v>6</v>
      </c>
      <c r="E4" s="66">
        <f>IF('Résultats détaillés'!AD4=0,"",'Résultats détaillés'!AD4)</f>
        <v>3</v>
      </c>
      <c r="F4" s="64">
        <f>IF('Résultats détaillés'!AE4=0,"",'Résultats détaillés'!AE4)</f>
        <v>3</v>
      </c>
      <c r="G4" s="44">
        <f>IF('Résultats détaillés'!AF4=0,"",'Résultats détaillés'!AF4)</f>
        <v>2</v>
      </c>
      <c r="H4" s="44">
        <f>IF('Résultats détaillés'!AG4=0,"",'Résultats détaillés'!AG4)</f>
        <v>1</v>
      </c>
      <c r="I4" s="44">
        <f>IF('Résultats détaillés'!AH4=0,"",'Résultats détaillés'!AH4)</f>
        <v>1</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détaillés'!AB12</f>
        <v>ONR 2  -   INCLUSION : S'engager à développer des services numériques accessibles à toutes et tous, inclusifs et durables</v>
      </c>
      <c r="D5" s="44">
        <f>IF('Résultats détaillés'!AC12=0,"",'Résultats détaillés'!AC12)</f>
        <v>4</v>
      </c>
      <c r="E5" s="66" t="str">
        <f>IF('Résultats détaillés'!AD12=0,"",'Résultats détaillés'!AD12)</f>
        <v/>
      </c>
      <c r="F5" s="64">
        <f>IF('Résultats détaillés'!AE12=0,"",'Résultats détaillés'!AE12)</f>
        <v>4</v>
      </c>
      <c r="G5" s="44" t="str">
        <f>IF('Résultats détaillés'!AF12=0,"",'Résultats détaillés'!AF12)</f>
        <v/>
      </c>
      <c r="H5" s="44" t="str">
        <f>IF('Résultats détaillés'!AG12=0,"",'Résultats détaillés'!AG12)</f>
        <v/>
      </c>
      <c r="I5" s="44" t="str">
        <f>IF('Résultats détaillés'!AH12=0,"",'Résultats détaillés'!AH12)</f>
        <v/>
      </c>
      <c r="J5" s="44" t="str">
        <f>IF('Résultats détaillés'!AI12=0,"",'Résultats détaillés'!AI12)</f>
        <v/>
      </c>
      <c r="K5" s="44" t="str">
        <f>IF('Résultats détaillés'!AJ12=0,"",'Résultats détaillés'!AJ12)</f>
        <v/>
      </c>
      <c r="L5" s="44" t="str">
        <f>IF('Résultats détaillés'!AK12=0,"",'Résultats détaillés'!AK12)</f>
        <v/>
      </c>
      <c r="M5" s="71" t="str">
        <f>IF('Résultats détaillés'!AL12=0,"",'Résultats détaillés'!AL12)</f>
        <v/>
      </c>
    </row>
    <row r="6" spans="2:32" ht="31.5" customHeight="1">
      <c r="B6" s="75"/>
      <c r="C6" s="70" t="str">
        <f>'Résultats détaillés'!AB17</f>
        <v xml:space="preserve">ONR 3  -  RSE : S'engager pour des pratiques numériques éthiques et responsables </v>
      </c>
      <c r="D6" s="44">
        <f>IF('Résultats détaillés'!AC17=0,"",'Résultats détaillés'!AC17)</f>
        <v>7</v>
      </c>
      <c r="E6" s="66" t="str">
        <f>IF('Résultats détaillés'!AD17=0,"",'Résultats détaillés'!AD17)</f>
        <v/>
      </c>
      <c r="F6" s="64">
        <f>IF('Résultats détaillés'!AE17=0,"",'Résultats détaillés'!AE17)</f>
        <v>7</v>
      </c>
      <c r="G6" s="44" t="str">
        <f>IF('Résultats détaillés'!AF17=0,"",'Résultats détaillés'!AF17)</f>
        <v/>
      </c>
      <c r="H6" s="44" t="str">
        <f>IF('Résultats détaillés'!AG17=0,"",'Résultats détaillés'!AG17)</f>
        <v/>
      </c>
      <c r="I6" s="44" t="str">
        <f>IF('Résultats détaillés'!AH17=0,"",'Résultats détaillés'!AH17)</f>
        <v/>
      </c>
      <c r="J6" s="44" t="str">
        <f>IF('Résultats détaillés'!AI17=0,"",'Résultats détaillés'!AI17)</f>
        <v/>
      </c>
      <c r="K6" s="44" t="str">
        <f>IF('Résultats détaillés'!AJ17=0,"",'Résultats détaillés'!AJ17)</f>
        <v/>
      </c>
      <c r="L6" s="44" t="str">
        <f>IF('Résultats détaillés'!AK17=0,"",'Résultats détaillés'!AK17)</f>
        <v/>
      </c>
      <c r="M6" s="71" t="str">
        <f>IF('Résultats détaillés'!AL17=0,"",'Résultats détaillés'!AL17)</f>
        <v/>
      </c>
    </row>
    <row r="7" spans="2:32" ht="31.5" customHeight="1">
      <c r="B7" s="76"/>
      <c r="C7" s="70" t="str">
        <f>'Résultats détaillés'!AB25</f>
        <v>ONR 4  -  RESILIENCE ET STRATEGIE :  S'engager vers un numérique responsable, indispensable pour assurer la résilience des organisations</v>
      </c>
      <c r="D7" s="44">
        <f>IF('Résultats détaillés'!AC25=0,"",'Résultats détaillés'!AC25)</f>
        <v>3</v>
      </c>
      <c r="E7" s="66">
        <f>IF('Résultats détaillés'!AD25=0,"",'Résultats détaillés'!AD25)</f>
        <v>-1</v>
      </c>
      <c r="F7" s="64">
        <f>IF('Résultats détaillés'!AE25=0,"",'Résultats détaillés'!AE25)</f>
        <v>4</v>
      </c>
      <c r="G7" s="44" t="str">
        <f>IF('Résultats détaillés'!AF25=0,"",'Résultats détaillés'!AF25)</f>
        <v/>
      </c>
      <c r="H7" s="44" t="str">
        <f>IF('Résultats détaillés'!AG25=0,"",'Résultats détaillés'!AG25)</f>
        <v/>
      </c>
      <c r="I7" s="44" t="str">
        <f>IF('Résultats détaillés'!AH25=0,"",'Résultats détaillés'!AH25)</f>
        <v/>
      </c>
      <c r="J7" s="44" t="str">
        <f>IF('Résultats détaillés'!AI25=0,"",'Résultats détaillés'!AI25)</f>
        <v/>
      </c>
      <c r="K7" s="44" t="str">
        <f>IF('Résultats détaillés'!AJ25=0,"",'Résultats détaillés'!AJ25)</f>
        <v/>
      </c>
      <c r="L7" s="44" t="str">
        <f>IF('Résultats détaillés'!AK25=0,"",'Résultats détaillés'!AK25)</f>
        <v/>
      </c>
      <c r="M7" s="71" t="str">
        <f>IF('Résultats détaillés'!AL25=0,"",'Résultats détaillés'!AL25)</f>
        <v/>
      </c>
    </row>
    <row r="8" spans="2:32" ht="31.5" customHeight="1">
      <c r="B8" s="77"/>
      <c r="C8" s="70" t="str">
        <f>'Résultats détaillés'!B30</f>
        <v>ONR 5  -  MANAGEMENT :  S'engager à faire les choses avec sens en respectant et en préservant les ressources qui produisent</v>
      </c>
      <c r="D8" s="44">
        <f>IF('Résultats détaillés'!AC30=0,"",'Résultats détaillés'!AC30)</f>
        <v>7</v>
      </c>
      <c r="E8" s="66">
        <f>IF('Résultats détaillés'!AD30=0,"",'Résultats détaillés'!AD30)</f>
        <v>1</v>
      </c>
      <c r="F8" s="44">
        <f>IF('Résultats détaillés'!AE30=0,"",'Résultats détaillés'!AE30)</f>
        <v>6</v>
      </c>
      <c r="G8" s="44" t="str">
        <f>IF('Résultats détaillés'!AF30=0,"",'Résultats détaillés'!AF30)</f>
        <v/>
      </c>
      <c r="H8" s="44" t="str">
        <f>IF('Résultats détaillés'!AG30=0,"",'Résultats détaillés'!AG30)</f>
        <v/>
      </c>
      <c r="I8" s="44" t="str">
        <f>IF('Résultats détaillés'!AH30=0,"",'Résultats détaillés'!AH30)</f>
        <v/>
      </c>
      <c r="J8" s="44" t="str">
        <f>IF('Résultats détaillés'!AI30=0,"",'Résultats détaillés'!AI30)</f>
        <v/>
      </c>
      <c r="K8" s="44" t="str">
        <f>IF('Résultats détaillés'!AJ30=0,"",'Résultats détaillés'!AJ30)</f>
        <v/>
      </c>
      <c r="L8" s="44" t="str">
        <f>IF('Résultats détaillés'!AK30=0,"",'Résultats détaillés'!AK30)</f>
        <v/>
      </c>
      <c r="M8" s="44" t="str">
        <f>IF('Résultats détaillés'!AL30=0,"",'Résultats détaillés'!AL30)</f>
        <v/>
      </c>
    </row>
    <row r="9" spans="2:32" s="1" customFormat="1"/>
    <row r="10" spans="2:32" s="1" customFormat="1" ht="20.25" customHeight="1">
      <c r="B10" s="391" t="s">
        <v>126</v>
      </c>
      <c r="C10" s="391"/>
    </row>
    <row r="11" spans="2:32" s="1" customFormat="1" ht="20.25" customHeight="1">
      <c r="B11" s="392" t="s">
        <v>127</v>
      </c>
      <c r="C11" s="392"/>
    </row>
    <row r="12" spans="2:32" s="1" customFormat="1" ht="20.25" customHeight="1">
      <c r="B12" s="393" t="s">
        <v>128</v>
      </c>
      <c r="C12" s="393"/>
    </row>
    <row r="13" spans="2:32" s="1" customFormat="1" ht="20.25" customHeight="1">
      <c r="B13" s="389" t="s">
        <v>129</v>
      </c>
      <c r="C13" s="389"/>
    </row>
    <row r="14" spans="2:32" s="1" customFormat="1" ht="20.25" customHeight="1">
      <c r="B14" s="390" t="s">
        <v>130</v>
      </c>
      <c r="C14" s="390"/>
    </row>
    <row r="15" spans="2:32" s="1" customFormat="1"/>
    <row r="16" spans="2:32" s="1" customFormat="1"/>
    <row r="17" spans="3:13" s="1" customFormat="1"/>
    <row r="18" spans="3:13" s="1" customFormat="1"/>
    <row r="19" spans="3:13" s="1" customFormat="1" ht="24">
      <c r="C19" s="384"/>
      <c r="D19" s="384"/>
      <c r="E19" s="283"/>
      <c r="F19" s="283"/>
      <c r="G19" s="282"/>
      <c r="H19" s="282"/>
      <c r="I19" s="282"/>
      <c r="J19" s="282"/>
      <c r="K19" s="282"/>
      <c r="L19" s="282"/>
      <c r="M19" s="282"/>
    </row>
    <row r="20" spans="3:13" s="1" customFormat="1" ht="16">
      <c r="C20" s="284"/>
      <c r="D20" s="284"/>
      <c r="E20" s="285"/>
      <c r="F20" s="285"/>
      <c r="G20" s="285"/>
      <c r="H20" s="285"/>
      <c r="I20" s="285"/>
      <c r="J20" s="285"/>
      <c r="K20" s="285"/>
      <c r="L20" s="285"/>
      <c r="M20" s="285"/>
    </row>
    <row r="21" spans="3:13" s="1" customFormat="1" ht="16">
      <c r="C21" s="284"/>
      <c r="D21" s="284"/>
      <c r="E21" s="285"/>
      <c r="F21" s="285"/>
      <c r="G21" s="285"/>
      <c r="H21" s="285"/>
      <c r="I21" s="285"/>
      <c r="J21" s="285"/>
      <c r="K21" s="285"/>
      <c r="L21" s="285"/>
      <c r="M21" s="285"/>
    </row>
    <row r="22" spans="3:13" s="1" customFormat="1" ht="16">
      <c r="C22" s="284"/>
      <c r="D22" s="284"/>
      <c r="E22" s="285"/>
      <c r="F22" s="285"/>
      <c r="G22" s="285"/>
      <c r="H22" s="285"/>
      <c r="I22" s="285"/>
      <c r="J22" s="285"/>
      <c r="K22" s="285"/>
      <c r="L22" s="285"/>
      <c r="M22" s="285"/>
    </row>
    <row r="23" spans="3:13" s="1" customFormat="1" ht="16">
      <c r="C23" s="284"/>
      <c r="D23" s="284"/>
      <c r="E23" s="285"/>
      <c r="F23" s="285"/>
      <c r="G23" s="285"/>
      <c r="H23" s="285"/>
      <c r="I23" s="285"/>
      <c r="J23" s="285"/>
      <c r="K23" s="285"/>
      <c r="L23" s="285"/>
      <c r="M23" s="285"/>
    </row>
    <row r="24" spans="3:13" s="1" customFormat="1" ht="16">
      <c r="C24" s="284"/>
      <c r="D24" s="284"/>
      <c r="E24" s="285"/>
      <c r="F24" s="285"/>
      <c r="G24" s="285"/>
      <c r="H24" s="285"/>
      <c r="I24" s="285"/>
      <c r="J24" s="285"/>
      <c r="K24" s="285"/>
      <c r="L24" s="285"/>
      <c r="M24" s="285"/>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28"/>
  <sheetViews>
    <sheetView workbookViewId="0">
      <selection activeCell="D10" sqref="D10"/>
    </sheetView>
  </sheetViews>
  <sheetFormatPr baseColWidth="10" defaultColWidth="11.5" defaultRowHeight="13"/>
  <sheetData>
    <row r="1" spans="1:2">
      <c r="A1" t="s">
        <v>36</v>
      </c>
      <c r="B1" t="s">
        <v>132</v>
      </c>
    </row>
    <row r="2" spans="1:2">
      <c r="A2" t="s">
        <v>37</v>
      </c>
      <c r="B2" t="s">
        <v>38</v>
      </c>
    </row>
    <row r="3" spans="1:2">
      <c r="A3" t="s">
        <v>39</v>
      </c>
      <c r="B3" t="s">
        <v>40</v>
      </c>
    </row>
    <row r="4" spans="1:2">
      <c r="A4" t="s">
        <v>41</v>
      </c>
      <c r="B4" t="s">
        <v>42</v>
      </c>
    </row>
    <row r="5" spans="1:2">
      <c r="A5" t="s">
        <v>43</v>
      </c>
      <c r="B5" t="s">
        <v>44</v>
      </c>
    </row>
    <row r="6" spans="1:2">
      <c r="A6" t="s">
        <v>45</v>
      </c>
      <c r="B6" t="s">
        <v>46</v>
      </c>
    </row>
    <row r="7" spans="1:2">
      <c r="A7" t="s">
        <v>47</v>
      </c>
      <c r="B7" t="s">
        <v>48</v>
      </c>
    </row>
    <row r="8" spans="1:2">
      <c r="A8" t="s">
        <v>50</v>
      </c>
      <c r="B8" t="s">
        <v>51</v>
      </c>
    </row>
    <row r="9" spans="1:2">
      <c r="A9" t="s">
        <v>52</v>
      </c>
      <c r="B9" t="s">
        <v>53</v>
      </c>
    </row>
    <row r="10" spans="1:2">
      <c r="A10" t="s">
        <v>54</v>
      </c>
      <c r="B10" t="s">
        <v>55</v>
      </c>
    </row>
    <row r="11" spans="1:2">
      <c r="A11" t="s">
        <v>56</v>
      </c>
      <c r="B11" t="s">
        <v>57</v>
      </c>
    </row>
    <row r="12" spans="1:2">
      <c r="A12" t="s">
        <v>59</v>
      </c>
      <c r="B12" t="s">
        <v>60</v>
      </c>
    </row>
    <row r="13" spans="1:2">
      <c r="A13" t="s">
        <v>61</v>
      </c>
      <c r="B13" t="s">
        <v>62</v>
      </c>
    </row>
    <row r="14" spans="1:2">
      <c r="A14" t="s">
        <v>63</v>
      </c>
      <c r="B14" t="s">
        <v>64</v>
      </c>
    </row>
    <row r="15" spans="1:2">
      <c r="A15" t="s">
        <v>65</v>
      </c>
      <c r="B15" t="s">
        <v>66</v>
      </c>
    </row>
    <row r="16" spans="1:2">
      <c r="A16" t="s">
        <v>67</v>
      </c>
      <c r="B16" t="s">
        <v>68</v>
      </c>
    </row>
    <row r="17" spans="1:2">
      <c r="A17" t="s">
        <v>69</v>
      </c>
      <c r="B17" t="s">
        <v>70</v>
      </c>
    </row>
    <row r="18" spans="1:2">
      <c r="A18" t="s">
        <v>71</v>
      </c>
      <c r="B18" t="s">
        <v>72</v>
      </c>
    </row>
    <row r="19" spans="1:2">
      <c r="A19" t="s">
        <v>74</v>
      </c>
      <c r="B19" t="s">
        <v>75</v>
      </c>
    </row>
    <row r="20" spans="1:2">
      <c r="A20" t="s">
        <v>76</v>
      </c>
      <c r="B20" t="s">
        <v>77</v>
      </c>
    </row>
    <row r="21" spans="1:2">
      <c r="A21" t="s">
        <v>78</v>
      </c>
      <c r="B21" t="s">
        <v>79</v>
      </c>
    </row>
    <row r="22" spans="1:2">
      <c r="A22" t="s">
        <v>80</v>
      </c>
      <c r="B22" t="s">
        <v>81</v>
      </c>
    </row>
    <row r="23" spans="1:2">
      <c r="A23" t="s">
        <v>83</v>
      </c>
      <c r="B23" t="s">
        <v>84</v>
      </c>
    </row>
    <row r="24" spans="1:2">
      <c r="A24" t="s">
        <v>85</v>
      </c>
      <c r="B24" t="s">
        <v>86</v>
      </c>
    </row>
    <row r="25" spans="1:2">
      <c r="A25" t="s">
        <v>87</v>
      </c>
      <c r="B25" t="s">
        <v>88</v>
      </c>
    </row>
    <row r="26" spans="1:2">
      <c r="A26" t="s">
        <v>89</v>
      </c>
      <c r="B26" t="s">
        <v>90</v>
      </c>
    </row>
    <row r="27" spans="1:2">
      <c r="A27" t="s">
        <v>91</v>
      </c>
      <c r="B27" t="s">
        <v>92</v>
      </c>
    </row>
    <row r="28" spans="1:2">
      <c r="A28" t="s">
        <v>93</v>
      </c>
      <c r="B28" t="s">
        <v>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2026-02-27T21:51:57Z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