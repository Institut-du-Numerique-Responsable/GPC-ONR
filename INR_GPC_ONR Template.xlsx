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<sst xmlns="http://schemas.openxmlformats.org/spreadsheetml/2006/main" count="318" uniqueCount="136">
  <si>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</si>
  <si>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</si>
  <si>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</si>
  <si>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</si>
  <si>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</si>
  <si>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</si>
  <si>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</si>
  <si>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</si>
  <si>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</si>
  <si>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</si>
  <si>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</si>
  <si>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</si>
  <si>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</si>
  <si>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</si>
  <si>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</si>
  <si>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</si>
  <si>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</si>
  <si>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</si>
  <si>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</si>
  <si>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</si>
  <si>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</si>
  <si>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</si>
  <si>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</si>
  <si>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</si>
  <si>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</si>
  <si>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</si>
  <si>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</si>
  <si>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</si>
  <si>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</si>
  <si>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</si>
  <si>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</si>
  <si>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</si>
  <si>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</si>
  <si>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</si>
  <si>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</si>
  <si>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</si>
  <si>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</si>
  <si>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</si>
  <si>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</si>
  <si>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</si>
  <si>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</si>
  <si>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</si>
  <si>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</si>
  <si>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</si>
  <si>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</si>
  <si>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</si>
  <si>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</si>
  <si>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</si>
  <si>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</si>
  <si>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</si>
  <si>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</si>
  <si>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</si>
  <si>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</si>
  <si>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rendant nos services numériques accessibles à toutes et tous, et en mesurant leur conformité au RGAA</t>
  </si>
  <si>
    <t>2.3</t>
  </si>
  <si>
    <t>En déployant les applications autour des 3 U : Utiles, Utilisables, Utilisées pour en simplifier l’usage en intégrant l’accessibilité universelle pour réussir l’e-inclusion de tous</t>
  </si>
  <si>
    <t>2.4</t>
  </si>
  <si>
    <t>En concevant les services avec celles et ceux qui les utiliseront, pour livrer ce dont ils ont besoin et rien de plus</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</si>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</sst>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ONR : Ensemble des 32 cibles</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1 : Sobriété</a:t>
            </a:r>
          </a:p>
        </c:rich>
      </c:tx>
      <c:overlay val="0"/>
      <c:spPr>
        <a:noFill/>
        <a:ln>
          <a:noFill/>
        </a:ln>
      </c:spPr>
    </c:title>
    <c:autoTitleDeleted val="0"/>
    <c:plotArea>
      <c:layout/>
      <c:pieChart>
        <c:varyColors val="1"/>
        <c:ser>
          <c:idx val="0"/>
          <c:order val="0"/>
          <c:tx>
            <c:strRef>
              <c:f>'Résultats synthèse'!$B$4</c:f>
              <c:strCache>
                <c:ptCount val="1"/>
                <c:pt idx="0">
                  <c:v>ONR 1 : Sobriété</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synthèse'!$G$4:$M$4</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3.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2 : Inclusion</a:t>
            </a:r>
          </a:p>
        </c:rich>
      </c:tx>
      <c:overlay val="0"/>
      <c:spPr>
        <a:noFill/>
        <a:ln>
          <a:noFill/>
        </a:ln>
      </c:spPr>
    </c:title>
    <c:autoTitleDeleted val="0"/>
    <c:plotArea>
      <c:layout/>
      <c:pieChart>
        <c:varyColors val="1"/>
        <c:ser>
          <c:idx val="0"/>
          <c:order val="0"/>
          <c:tx>
            <c:strRef>
              <c:f>'Résultats synthèse'!$B$5</c:f>
              <c:strCache>
                <c:ptCount val="1"/>
                <c:pt idx="0">
                  <c:v>ONR 2 : Inclusion</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synthèse'!$G$5:$M$5</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4.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3 : RSE</a:t>
            </a:r>
          </a:p>
        </c:rich>
      </c:tx>
      <c:overlay val="0"/>
      <c:spPr>
        <a:noFill/>
        <a:ln>
          <a:noFill/>
        </a:ln>
      </c:spPr>
    </c:title>
    <c:autoTitleDeleted val="0"/>
    <c:plotArea>
      <c:layout/>
      <c:pieChart>
        <c:varyColors val="1"/>
        <c:ser>
          <c:idx val="0"/>
          <c:order val="0"/>
          <c:tx>
            <c:strRef>
              <c:f>'Résultats synthèse'!$B$6</c:f>
              <c:strCache>
                <c:ptCount val="1"/>
                <c:pt idx="0">
                  <c:v>ONR 3 : RSE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synthèse'!$G$6:$M$6</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5.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4 : Résilience et stratégie</a:t>
            </a:r>
          </a:p>
        </c:rich>
      </c:tx>
      <c:overlay val="0"/>
      <c:spPr>
        <a:noFill/>
        <a:ln>
          <a:noFill/>
        </a:ln>
      </c:spPr>
    </c:title>
    <c:autoTitleDeleted val="0"/>
    <c:plotArea>
      <c:layout/>
      <c:pieChart>
        <c:varyColors val="1"/>
        <c:ser>
          <c:idx val="0"/>
          <c:order val="0"/>
          <c:tx>
            <c:strRef>
              <c:f>'Résultats synthèse'!$B$7</c:f>
              <c:strCache>
                <c:ptCount val="1"/>
                <c:pt idx="0">
                  <c:v>ONR 4 : Résilience et stratégie</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synthèse'!$G$7:$M$7</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hart6.xml><?xml version="1.0" encoding="utf-8"?>
<c:chartSpace xmlns:c="http://schemas.openxmlformats.org/drawingml/2006/chart" xmlns:a="http://schemas.openxmlformats.org/drawingml/2006/main" xmlns:r="http://schemas.openxmlformats.org/officeDocument/2006/relationships">
  <c:date1904 val="0"/>
  <c:lang val="fr-FR"/>
  <c:roundedCorners val="0"/>
  <c:chart>
    <c:title>
      <c:tx>
        <c:rich>
          <a:bodyPr rot="0" spcFirstLastPara="1" vertOverflow="ellipsis" vert="horz" wrap="square" anchor="ctr" anchorCtr="1"/>
          <a:lstStyle/>
          <a:p>
            <a:pPr>
              <a:defRPr sz="1400" b="0" i="0" u="none" strike="noStrike" kern="1200" baseline="0">
                <a:solidFill>
                  <a:sysClr val="windowText" lastClr="000000"/>
                </a:solidFill>
                <a:latin typeface="+mn-lt"/>
              </a:defRPr>
            </a:pPr>
            <a:r>
              <a:rPr lang="fr-FR" sz="1400"/>
              <a:t>ONR 5 : Management</a:t>
            </a:r>
          </a:p>
        </c:rich>
      </c:tx>
      <c:overlay val="0"/>
      <c:spPr>
        <a:noFill/>
        <a:ln>
          <a:noFill/>
        </a:ln>
      </c:spPr>
    </c:title>
    <c:autoTitleDeleted val="0"/>
    <c:plotArea>
      <c:layout/>
      <c:pieChart>
        <c:varyColors val="1"/>
        <c:ser>
          <c:idx val="0"/>
          <c:order val="0"/>
          <c:tx>
            <c:strRef>
              <c:f>'Résultats synthèse'!$B$8</c:f>
              <c:strCache>
                <c:ptCount val="1"/>
                <c:pt idx="0">
                  <c:v>ONR 5 : Management</c:v>
                </c:pt>
              </c:strCache>
            </c:strRef>
          </c:tx>
          <c:dPt>
            <c:idx val="0"/>
            <c:bubble3D val="0"/>
            <c:spPr>
              <a:solidFill>
                <a:srgbClr val="FF0000"/>
              </a:solidFill>
              <a:ln w="19050">
                <a:solidFill>
                  <a:srgbClr val="FFFFFF"/>
                </a:solidFill>
              </a:ln>
            </c:spPr>
          </c:dPt>
          <c:dPt>
            <c:idx val="1"/>
            <c:bubble3D val="0"/>
            <c:spPr>
              <a:solidFill>
                <a:srgbClr val="ED7D31"/>
              </a:solidFill>
              <a:ln w="19050">
                <a:solidFill>
                  <a:srgbClr val="FFFFFF"/>
                </a:solidFill>
              </a:ln>
            </c:spPr>
          </c:dPt>
          <c:dPt>
            <c:idx val="2"/>
            <c:bubble3D val="0"/>
            <c:spPr>
              <a:solidFill>
                <a:srgbClr val="FFC000"/>
              </a:solidFill>
              <a:ln w="19050">
                <a:solidFill>
                  <a:srgbClr val="FFFFFF"/>
                </a:solidFill>
              </a:ln>
            </c:spPr>
          </c:dPt>
          <c:dPt>
            <c:idx val="3"/>
            <c:bubble3D val="0"/>
            <c:spPr>
              <a:solidFill>
                <a:srgbClr val="4472C4"/>
              </a:solidFill>
              <a:ln w="19050">
                <a:solidFill>
                  <a:srgbClr val="FFFFFF"/>
                </a:solidFill>
              </a:ln>
            </c:spPr>
          </c:dPt>
          <c:dPt>
            <c:idx val="4"/>
            <c:bubble3D val="0"/>
            <c:spPr>
              <a:solidFill>
                <a:srgbClr val="70AD47"/>
              </a:solidFill>
              <a:ln w="19050">
                <a:solidFill>
                  <a:srgbClr val="FFFFFF"/>
                </a:solidFill>
              </a:ln>
            </c:spPr>
          </c:dPt>
          <c:dPt>
            <c:idx val="5"/>
            <c:bubble3D val="0"/>
            <c:spPr>
              <a:solidFill>
                <a:srgbClr val="BFBFBF"/>
              </a:solidFill>
              <a:ln w="19050">
                <a:solidFill>
                  <a:srgbClr val="FFFFFF"/>
                </a:solidFill>
              </a:ln>
            </c:spPr>
          </c:dPt>
          <c:dPt>
            <c:idx val="6"/>
            <c:bubble3D val="0"/>
            <c:spPr>
              <a:solidFill>
                <a:srgbClr val="404040"/>
              </a:solidFill>
              <a:ln w="19050">
                <a:solidFill>
                  <a:srgbClr val="FFFFFF"/>
                </a:solidFill>
              </a:ln>
            </c:spPr>
          </c:dPt>
          <c:dLbls>
            <c:spPr>
              <a:noFill/>
              <a:ln>
                <a:noFill/>
              </a:ln>
            </c:spPr>
            <c:txPr>
              <a:bodyPr/>
              <a:lstStyle/>
              <a:p>
                <a:pPr>
                  <a:defRPr sz="1000" b="1"/>
                </a:pPr>
                <a:endParaRPr lang="fr-FR"/>
              </a:p>
            </c:txPr>
            <c:showLegendKey val="0"/>
            <c:showVal val="1"/>
            <c:showCatName val="0"/>
            <c:showSerName val="0"/>
            <c:showPercent val="0"/>
            <c:showBubbleSize val="0"/>
            <c:showLeaderLines val="1"/>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synthèse'!$G$8:$M$8</c:f>
              <c:numCache>
                <c:formatCode>General</c:formatCode>
                <c:ptCount val="7"/>
                <c:pt idx="0">
                  <c:v>0</c:v>
                </c:pt>
                <c:pt idx="1">
                  <c:v>0</c:v>
                </c:pt>
                <c:pt idx="2">
                  <c:v>0</c:v>
                </c:pt>
                <c:pt idx="3">
                  <c:v>0</c:v>
                </c:pt>
                <c:pt idx="4">
                  <c:v>0</c:v>
                </c:pt>
                <c:pt idx="5">
                  <c:v>0</c:v>
                </c:pt>
                <c:pt idx="6">
                  <c:v>0</c:v>
                </c:pt>
              </c:numCache>
            </c:numRef>
          </c:val>
        </c:ser>
        <c:dLbls>
          <c:showLegendKey val="0"/>
          <c:showVal val="1"/>
          <c:showCatName val="0"/>
          <c:showSerName val="0"/>
          <c:showPercent val="0"/>
          <c:showBubbleSize val="0"/>
          <c:showLeaderLines val="1"/>
        </c:dLbls>
        <c:firstSliceAng val="0"/>
      </c:pieChart>
      <c:spPr>
        <a:noFill/>
        <a:ln>
          <a:noFill/>
        </a:ln>
      </c:spPr>
    </c:plotArea>
    <c:legend>
      <c:legendPos val="r"/>
      <c:overlay val="0"/>
      <c:txPr>
        <a:bodyPr/>
        <a:lstStyle/>
        <a:p>
          <a:pPr>
            <a:defRPr sz="900"/>
          </a:pPr>
          <a:endParaRPr lang="fr-FR"/>
        </a:p>
      </c:txPr>
    </c:legend>
    <c:plotVisOnly val="1"/>
    <c:dispBlanksAs val="gap"/>
  </c:chart>
  <c:spPr>
    <a:noFill/>
    <a:ln>
      <a:noFill/>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76199</xdr:colOff>
      <xdr:row>9</xdr:row>
      <xdr:rowOff>10885</xdr:rowOff>
    </xdr:from>
    <xdr:to>
      <xdr:col>23</xdr:col>
      <xdr:colOff>228599</xdr:colOff>
      <xdr:row>17</xdr:row>
      <xdr:rowOff>0</xdr:rowOff>
    </xdr:to>
    <xdr:graphicFrame macro="">
      <xdr:nvGraphicFramePr>
        <xdr:cNvPr id="3" name="Graphique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76199</xdr:colOff>
      <xdr:row>18</xdr:row>
      <xdr:rowOff>10885</xdr:rowOff>
    </xdr:from>
    <xdr:to>
      <xdr:col>23</xdr:col>
      <xdr:colOff>228599</xdr:colOff>
      <xdr:row>26</xdr:row>
      <xdr:rowOff>0</xdr:rowOff>
    </xdr:to>
    <xdr:graphicFrame macro="">
      <xdr:nvGraphicFramePr>
        <xdr:cNvPr id="4" name="Graphique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76199</xdr:colOff>
      <xdr:row>27</xdr:row>
      <xdr:rowOff>10885</xdr:rowOff>
    </xdr:from>
    <xdr:to>
      <xdr:col>23</xdr:col>
      <xdr:colOff>228599</xdr:colOff>
      <xdr:row>35</xdr:row>
      <xdr:rowOff>0</xdr:rowOff>
    </xdr:to>
    <xdr:graphicFrame macro="">
      <xdr:nvGraphicFramePr>
        <xdr:cNvPr id="5" name="Graphique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76199</xdr:colOff>
      <xdr:row>36</xdr:row>
      <xdr:rowOff>10885</xdr:rowOff>
    </xdr:from>
    <xdr:to>
      <xdr:col>23</xdr:col>
      <xdr:colOff>228599</xdr:colOff>
      <xdr:row>44</xdr:row>
      <xdr:rowOff>0</xdr:rowOff>
    </xdr:to>
    <xdr:graphicFrame macro="">
      <xdr:nvGraphicFramePr>
        <xdr:cNvPr id="6" name="Graphique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76199</xdr:colOff>
      <xdr:row>45</xdr:row>
      <xdr:rowOff>10885</xdr:rowOff>
    </xdr:from>
    <xdr:to>
      <xdr:col>23</xdr:col>
      <xdr:colOff>228599</xdr:colOff>
      <xdr:row>53</xdr:row>
      <xdr:rowOff>0</xdr:rowOff>
    </xdr:to>
    <xdr:graphicFrame macro="">
      <xdr:nvGraphicFramePr>
        <xdr:cNvPr id="7" name="Graphique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4"/>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row r="14" spans="1:24" ht="42">
      <c r="B14" s="154" t="inlineStr">
        <is>
          <t>1.8</t>
        </is>
      </c>
      <c r="C14" s="323" t="inlineStr">
        <is>
          <t>En mesurant ce que consomme l'IA, de son entraînement à son usage, et en le réduisant</t>
        </is>
      </c>
      <c r="D14" s="139"/>
      <c r="E14" s="171"/>
      <c r="F14" s="282"/>
      <c r="G14" s="325"/>
      <c r="H14" s="140"/>
      <c r="I14" s="172"/>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306"/>
      <c r="X14" s="299"/>
    </row>
  </sheetData>
  <mergeCells count="8">
    <mergeCell ref="B2:G2"/>
    <mergeCell ref="B6:W6"/>
    <mergeCell ref="B4:C5"/>
    <mergeCell ref="D4:E4"/>
    <mergeCell ref="F4:G4"/>
    <mergeCell ref="H4:I4"/>
    <mergeCell ref="B3:X3"/>
    <mergeCell ref="V4:X4"/>
  </mergeCells>
  <phoneticPr fontId="42" type="noConversion"/>
  <conditionalFormatting sqref="A4 I7:I14 G7">
    <cfRule type="expression" dxfId="405" priority="269">
      <formula>FIND("Agir",B4)</formula>
    </cfRule>
    <cfRule type="expression" dxfId="404" priority="270">
      <formula>FIND("Réagir",B4)</formula>
    </cfRule>
  </conditionalFormatting>
  <conditionalFormatting sqref="A4 I7:I14">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4">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4 F7">
    <cfRule type="expression" dxfId="391" priority="77" stopIfTrue="1">
      <formula>ISTEXT(D7)</formula>
    </cfRule>
  </conditionalFormatting>
  <conditionalFormatting sqref="D9:D14">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4">
    <cfRule type="expression" dxfId="386" priority="78">
      <formula>FIND("Conforter",F7)</formula>
    </cfRule>
  </conditionalFormatting>
  <conditionalFormatting sqref="F8:F14">
    <cfRule type="expression" dxfId="385" priority="119">
      <formula>FIND("Conforter",I8)</formula>
    </cfRule>
  </conditionalFormatting>
  <conditionalFormatting sqref="G7:H7 F8:H14">
    <cfRule type="expression" dxfId="384" priority="115" stopIfTrue="1">
      <formula>ISTEXT(F7)</formula>
    </cfRule>
  </conditionalFormatting>
  <conditionalFormatting sqref="G7:H14">
    <cfRule type="expression" dxfId="383" priority="114">
      <formula>FIND("Conforter",J7)</formula>
    </cfRule>
    <cfRule type="expression" dxfId="382" priority="113" stopIfTrue="1">
      <formula>ISTEXT(G7)</formula>
    </cfRule>
  </conditionalFormatting>
  <conditionalFormatting sqref="G9:H14">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4">
    <cfRule type="expression" dxfId="378" priority="92" stopIfTrue="1">
      <formula>ISTEXT(G9)</formula>
    </cfRule>
  </conditionalFormatting>
  <conditionalFormatting sqref="H7 G8:H14">
    <cfRule type="expression" dxfId="377" priority="117">
      <formula>FIND("Réagir",I7)</formula>
    </cfRule>
    <cfRule type="expression" dxfId="376" priority="116">
      <formula>FIND("Agir",I7)</formula>
    </cfRule>
  </conditionalFormatting>
  <conditionalFormatting sqref="H7:H14">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4 V7:W13">
    <cfRule type="containsText" dxfId="372" priority="120" stopIfTrue="1" operator="containsText" text="Première">
      <formula>NOT(ISERROR(SEARCH("Première",H7)))</formula>
    </cfRule>
  </conditionalFormatting>
  <conditionalFormatting sqref="H7:I7 V7:W14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4">
    <cfRule type="expression" dxfId="366" priority="96">
      <formula>FIND("Réagir",J9)</formula>
    </cfRule>
    <cfRule type="expression" dxfId="365" priority="95">
      <formula>FIND("Agir",J9)</formula>
    </cfRule>
  </conditionalFormatting>
  <conditionalFormatting sqref="I12:I14">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4">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4">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4">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1"/>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f>S10</f>
        <v>0</v>
      </c>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s="137" customFormat="1" ht="63">
      <c r="A11" s="136"/>
      <c r="B11" s="180" t="inlineStr">
        <is>
          <t>2.5</t>
        </is>
      </c>
      <c r="C11" s="318" t="inlineStr">
        <is>
          <t>En vérifiant que l'IA ne discrimine personne et que ses services restent utilisables par tous</t>
        </is>
      </c>
      <c r="D11" s="139"/>
      <c r="E11" s="169"/>
      <c r="F11" s="166"/>
      <c r="G11" s="324"/>
      <c r="H11" s="140"/>
      <c r="I11" s="141"/>
      <c r="J11" s="110">
        <f>S11</f>
        <v>0</v>
      </c>
      <c r="K11" s="88">
        <f>E11*10+F11</f>
        <v>0</v>
      </c>
      <c r="L11" s="88" t="b">
        <f>OR(K11=31)</f>
        <v>0</v>
      </c>
      <c r="M11" s="88" t="b">
        <f>OR(K11=21,K11=32)</f>
        <v>0</v>
      </c>
      <c r="N11" s="88" t="b">
        <f>OR(K11=22,K11=33)</f>
        <v>0</v>
      </c>
      <c r="O11" s="88" t="b">
        <f>OR(K11=11,K11=12)</f>
        <v>0</v>
      </c>
      <c r="P11" s="88" t="b">
        <f>OR(K11=23,K11=34)</f>
        <v>0</v>
      </c>
      <c r="Q11" s="88" t="b">
        <f>OR(K11=13,K11=14,K11=24)</f>
        <v>0</v>
      </c>
      <c r="R11" s="88" t="b">
        <f>OR(K11=1,K11=2,K11=3,K11=4)</f>
        <v>0</v>
      </c>
      <c r="S11" s="89" t="str">
        <f>IF(COUNTA(E11:F11)&lt;2,"",(IF(L11=TRUE,$L$5,IF(M11=TRUE,$M$5,IF(N11=TRUE,$N$5,IF(O11=TRUE,$O$5,IF(P11=TRUE,$P$5,IF(Q11=TRUE,$Q$5,IF(R11=TRUE,$R$5,0)))))))))</f>
        <v/>
      </c>
      <c r="T11" s="90" t="str">
        <f>IF(COUNTA(E11:F11)&lt;2,"",(IF(L11=TRUE,6,IF(M11=TRUE,5,IF(N11=TRUE,4,IF(O11=TRUE,3,IF(P11=TRUE,2,IF(Q11=TRUE,1,IF(R11=TRUE,0,0)))))))))</f>
        <v/>
      </c>
      <c r="U11" s="91" t="e">
        <f>T11*10+H11</f>
        <v>#VALUE!</v>
      </c>
      <c r="V11" s="150"/>
      <c r="W11" s="294"/>
      <c r="X11" s="293"/>
    </row>
    <row r="12" spans="1:24">
      <c r="V12"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1 I7:I10">
    <cfRule type="expression" dxfId="332" priority="79">
      <formula>FIND("Réagir",E7)</formula>
    </cfRule>
    <cfRule type="expression" dxfId="331" priority="78">
      <formula>FIND("Agir",E7)</formula>
    </cfRule>
  </conditionalFormatting>
  <conditionalFormatting sqref="D7:D11">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1">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1">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1 G8:H10">
    <cfRule type="expression" dxfId="317" priority="69" stopIfTrue="1">
      <formula>ISTEXT(G7)</formula>
    </cfRule>
  </conditionalFormatting>
  <conditionalFormatting sqref="H7:H11">
    <cfRule type="expression" dxfId="316" priority="45" stopIfTrue="1">
      <formula>ISTEXT(H7)</formula>
    </cfRule>
    <cfRule type="expression" dxfId="315" priority="46">
      <formula>FIND("Conforter",J7)</formula>
    </cfRule>
  </conditionalFormatting>
  <conditionalFormatting sqref="I7:I11 D7:D10">
    <cfRule type="expression" dxfId="314" priority="77" stopIfTrue="1">
      <formula>ISTEXT(D7)</formula>
    </cfRule>
  </conditionalFormatting>
  <conditionalFormatting sqref="I7:J11">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1">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1">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1"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1"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1"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4"/>
  <sheetViews>
    <sheetView zoomScale="90" zoomScaleNormal="90" workbookViewId="0">
      <selection activeCell="G7" sqref="G7:G14"/>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row r="14" spans="1:447" s="137" customFormat="1" ht="21">
      <c r="A14" s="136"/>
      <c r="B14" s="181" t="inlineStr">
        <is>
          <t>3.8</t>
        </is>
      </c>
      <c r="C14" s="318" t="inlineStr">
        <is>
          <t>En disant quand c'est une IA qui répond, en expliquant comment elle décide, et en gardant un humain aux commandes sur les sujets sensibles</t>
        </is>
      </c>
      <c r="D14" s="139"/>
      <c r="E14" s="171"/>
      <c r="F14" s="167"/>
      <c r="G14" s="324"/>
      <c r="H14" s="140"/>
      <c r="I14" s="141"/>
      <c r="J14" s="147" t="str">
        <f>S14</f>
        <v/>
      </c>
      <c r="K14" s="96">
        <f>E14*10+F14</f>
        <v>0</v>
      </c>
      <c r="L14" s="96" t="b">
        <f>OR(K14=31)</f>
        <v>0</v>
      </c>
      <c r="M14" s="96" t="b">
        <f>OR(K14=21,K14=32)</f>
        <v>0</v>
      </c>
      <c r="N14" s="96" t="b">
        <f>OR(K14=22,K14=33)</f>
        <v>0</v>
      </c>
      <c r="O14" s="96" t="b">
        <f>OR(K14=11,K14=12)</f>
        <v>0</v>
      </c>
      <c r="P14" s="96" t="b">
        <f>OR(K14=23,K14=34)</f>
        <v>0</v>
      </c>
      <c r="Q14" s="96" t="b">
        <f>OR(K14=13,K14=14,K14=24)</f>
        <v>0</v>
      </c>
      <c r="R14" s="96" t="b">
        <f>OR(K14=1,K14=2,K14=3,K14=4)</f>
        <v>0</v>
      </c>
      <c r="S14" s="97" t="str">
        <f>IF(COUNTA(E14:F14)&lt;2,"",(IF(L14=TRUE,$L$5,IF(M14=TRUE,$M$5,IF(N14=TRUE,$N$5,IF(O14=TRUE,$O$5,IF(P14=TRUE,$P$5,IF(Q14=TRUE,$Q$5,IF(R14=TRUE,$R$5,0)))))))))</f>
        <v/>
      </c>
      <c r="T14" s="98" t="str">
        <f>IF(COUNTA(E14:F14)&lt;2,"",(IF(L14=TRUE,6,IF(M14=TRUE,5,IF(N14=TRUE,4,IF(O14=TRUE,3,IF(P14=TRUE,2,IF(Q14=TRUE,1,IF(R14=TRUE,0,0)))))))))</f>
        <v/>
      </c>
      <c r="U14" s="99" t="e">
        <f>T14*10+H14</f>
        <v>#VALUE!</v>
      </c>
      <c r="V14" s="149"/>
      <c r="W14" s="296"/>
      <c r="X14"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4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4 K10:T10">
    <cfRule type="expression" dxfId="273" priority="102" stopIfTrue="1">
      <formula>ISTEXT(D7)</formula>
    </cfRule>
  </conditionalFormatting>
  <conditionalFormatting sqref="F7:F14">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4">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4 G8:H9 G10:G12">
    <cfRule type="expression" dxfId="259" priority="142">
      <formula>FIND("Conforter",J7)</formula>
    </cfRule>
    <cfRule type="expression" dxfId="258" priority="141" stopIfTrue="1">
      <formula>ISTEXT(G7)</formula>
    </cfRule>
  </conditionalFormatting>
  <conditionalFormatting sqref="H7:H14 G8:H12">
    <cfRule type="expression" dxfId="257" priority="121">
      <formula>FIND("Conforter",J7)</formula>
    </cfRule>
  </conditionalFormatting>
  <conditionalFormatting sqref="H7:H14">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4 G7:I12 V7:V9 V13">
    <cfRule type="expression" dxfId="251" priority="120" stopIfTrue="1">
      <formula>ISTEXT(G7)</formula>
    </cfRule>
  </conditionalFormatting>
  <conditionalFormatting sqref="H14">
    <cfRule type="expression" dxfId="250" priority="116">
      <formula>FIND("Conforter",K13)</formula>
    </cfRule>
  </conditionalFormatting>
  <conditionalFormatting sqref="H13:I14">
    <cfRule type="expression" dxfId="249" priority="115" stopIfTrue="1">
      <formula>ISTEXT(H13)</formula>
    </cfRule>
  </conditionalFormatting>
  <conditionalFormatting sqref="I7:I14">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4">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4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4">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4">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4">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4"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4"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4"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3"/>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row r="13" spans="1:24" s="138" customFormat="1" ht="43" thickBot="1">
      <c r="A13" s="136"/>
      <c r="B13" s="180" t="inlineStr">
        <is>
          <t>5.7</t>
        </is>
      </c>
      <c r="C13" s="318" t="inlineStr">
        <is>
          <t>En décidant des usages de l'IA avec les équipes, en les formant à ses limites, et en préservant le sens de leur travail</t>
        </is>
      </c>
      <c r="D13" s="184"/>
      <c r="E13" s="169"/>
      <c r="F13" s="166"/>
      <c r="G13" s="324"/>
      <c r="H13" s="281"/>
      <c r="I13" s="141"/>
      <c r="J13" s="110" t="str">
        <f>S13</f>
        <v/>
      </c>
      <c r="K13" s="88">
        <f>E13*10+F13</f>
        <v>0</v>
      </c>
      <c r="L13" s="88" t="b">
        <f>OR(K13=31)</f>
        <v>0</v>
      </c>
      <c r="M13" s="88" t="b">
        <f>OR(K13=21,K13=32)</f>
        <v>0</v>
      </c>
      <c r="N13" s="88" t="b">
        <f>OR(K13=22,K13=33)</f>
        <v>0</v>
      </c>
      <c r="O13" s="88" t="b">
        <f>OR(K13=11,K13=12)</f>
        <v>0</v>
      </c>
      <c r="P13" s="88" t="b">
        <f>OR(K13=23,K13=34)</f>
        <v>0</v>
      </c>
      <c r="Q13" s="88" t="b">
        <f>OR(K13=13,K13=14,K13=24)</f>
        <v>0</v>
      </c>
      <c r="R13" s="88" t="b">
        <f>OR(K13=1,K13=2,K13=3,K13=4)</f>
        <v>0</v>
      </c>
      <c r="S13" s="89" t="str">
        <f>IF(COUNTA(E13:F13)&lt;2,"",(IF(L13=TRUE,$L$5,IF(M13=TRUE,$M$5,IF(N13=TRUE,$N$5,IF(O13=TRUE,$O$5,IF(P13=TRUE,$P$5,IF(Q13=TRUE,$Q$5,IF(R13=TRUE,$R$5,0)))))))))</f>
        <v/>
      </c>
      <c r="T13" s="90" t="str">
        <f>IF(COUNTA(E13:F13)&lt;2,"",(IF(L13=TRUE,6,IF(M13=TRUE,5,IF(N13=TRUE,4,IF(O13=TRUE,3,IF(P13=TRUE,2,IF(Q13=TRUE,1,IF(R13=TRUE,0,0)))))))))</f>
        <v/>
      </c>
      <c r="U13" s="91" t="e">
        <f>T13*10+H13</f>
        <v>#VALUE!</v>
      </c>
      <c r="V13" s="150"/>
      <c r="W13" s="252"/>
      <c r="X13"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3 D7:D12">
    <cfRule type="expression" dxfId="137" priority="313">
      <formula>FIND("Réagir",B4)</formula>
    </cfRule>
    <cfRule type="expression" dxfId="136" priority="312">
      <formula>FIND("Agir",B4)</formula>
    </cfRule>
  </conditionalFormatting>
  <conditionalFormatting sqref="A4 I7:I13">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3">
    <cfRule type="expression" dxfId="128" priority="247" stopIfTrue="1">
      <formula>ISTEXT(D7)</formula>
    </cfRule>
    <cfRule type="expression" dxfId="127" priority="248">
      <formula>FIND("Conforter",F7)</formula>
    </cfRule>
  </conditionalFormatting>
  <conditionalFormatting sqref="D7:G13">
    <cfRule type="expression" dxfId="126" priority="300" stopIfTrue="1">
      <formula>ISTEXT(D7)</formula>
    </cfRule>
  </conditionalFormatting>
  <conditionalFormatting sqref="F7:G13">
    <cfRule type="expression" dxfId="125" priority="301">
      <formula>FIND("Conforter",I7)</formula>
    </cfRule>
  </conditionalFormatting>
  <conditionalFormatting sqref="G7:G13">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3">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3 V7:W12">
    <cfRule type="containsText" dxfId="115" priority="302" stopIfTrue="1" operator="containsText" text="Première">
      <formula>NOT(ISERROR(SEARCH("Première",I7)))</formula>
    </cfRule>
  </conditionalFormatting>
  <conditionalFormatting sqref="I7:J7 V7:W13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3">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3">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3"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40"/>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f>SUMPRODUCT(--(B5:B12&lt;&gt;""))</f>
        <v>7</v>
      </c>
      <c r="AD4" s="116">
        <f>AC4-AE4</f>
        <v>0</v>
      </c>
      <c r="AE4" s="117">
        <f>SUM(AE5:AE12)</f>
        <v>7</v>
      </c>
      <c r="AF4" s="117">
        <f>SUM(AF5:AF12)</f>
        <v>0</v>
      </c>
      <c r="AG4" s="117">
        <f>SUM(AG5:AG12)</f>
        <v>0</v>
      </c>
      <c r="AH4" s="117">
        <f>SUM(AH5:AH12)</f>
        <v>0</v>
      </c>
      <c r="AI4" s="117">
        <f>SUM(AI5:AI12)</f>
        <v>0</v>
      </c>
      <c r="AJ4" s="117">
        <f>SUM(AJ5:AJ12)</f>
        <v>0</v>
      </c>
      <c r="AK4" s="117">
        <f>SUM(AK5:AK12)</f>
        <v>0</v>
      </c>
      <c r="AL4" s="117">
        <f>SUM(AL5:AL12)</f>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2" si="5">G5</f>
        <v>0</v>
      </c>
      <c r="W5" s="203">
        <f>'ONR 1'!V7</f>
        <v>0</v>
      </c>
      <c r="X5" s="204">
        <f>'ONR 1'!W7</f>
        <v>0</v>
      </c>
      <c r="Y5" s="230">
        <f t="shared" ref="Y5:Y12" si="6">I5</f>
        <v>0</v>
      </c>
      <c r="Z5" s="230">
        <f t="shared" ref="Z5:Z12" si="7">D5</f>
        <v>0</v>
      </c>
      <c r="AE5" s="206">
        <f t="shared" ref="AE5:AE12" si="8">IF(K5=0,1,0)</f>
        <v>1</v>
      </c>
      <c r="AF5" s="206">
        <f t="shared" ref="AF5:AL12"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2" si="18">S10</f>
        <v>0</v>
      </c>
      <c r="K10" s="233">
        <f t="shared" ref="K10:K12" si="19">E10*10+F10</f>
        <v>0</v>
      </c>
      <c r="L10" s="233" t="b">
        <f t="shared" ref="L10:L12" si="20">OR(K10=31)</f>
        <v>0</v>
      </c>
      <c r="M10" s="233" t="b">
        <f t="shared" ref="M10:M12" si="21">OR(K10=21,K10=32)</f>
        <v>0</v>
      </c>
      <c r="N10" s="233" t="b">
        <f t="shared" ref="N10:N12" si="22">OR(K10=22,K10=33)</f>
        <v>0</v>
      </c>
      <c r="O10" s="233" t="b">
        <f t="shared" ref="O10:O12" si="23">OR(K10=11,K10=12)</f>
        <v>0</v>
      </c>
      <c r="P10" s="233" t="b">
        <f t="shared" ref="P10:P12" si="24">OR(K10=23,K10=34)</f>
        <v>0</v>
      </c>
      <c r="Q10" s="233" t="b">
        <f t="shared" ref="Q10:Q12" si="25">OR(K10=13,K10=14,K10=24)</f>
        <v>0</v>
      </c>
      <c r="R10" s="233" t="b">
        <f t="shared" ref="R10:R12" si="26">OR(K10=1,K10=2,K10=3,K10=4)</f>
        <v>0</v>
      </c>
      <c r="S10" s="234">
        <f t="shared" ref="S10:S12" si="27">IF(COUNTA(E10:F10)&lt;2,"",(IF(L10=TRUE,$L$3,IF(M10=TRUE,$M$3,IF(N10=TRUE,$N$3,IF(O10=TRUE,$O$3,IF(P10=TRUE,$P$3,IF(Q10=TRUE,$Q$3,IF(R10=TRUE,$R$3,0)))))))))</f>
        <v>0</v>
      </c>
      <c r="T10" s="232">
        <f t="shared" ref="T10:T12" si="28">IF(COUNTA(E10:F10)&lt;2,"",(IF(L10=TRUE,6,IF(M10=TRUE,5,IF(N10=TRUE,4,IF(O10=TRUE,3,IF(P10=TRUE,2,IF(Q10=TRUE,1,IF(R10=TRUE,0,0)))))))))</f>
        <v>0</v>
      </c>
      <c r="U10" s="233">
        <f t="shared" ref="U10:U12"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205" customFormat="1" ht="39" thickBot="1">
      <c r="A12" s="199"/>
      <c r="B12" s="219" t="str">
        <f>'ONR 1'!B14</f>
        <v>0</v>
      </c>
      <c r="C12" s="219" t="str">
        <f>'ONR 1'!C14</f>
        <v>0</v>
      </c>
      <c r="D12" s="240">
        <f>'ONR 1'!D14</f>
        <v>0</v>
      </c>
      <c r="E12" s="270">
        <f>'ONR 1'!E14</f>
        <v>0</v>
      </c>
      <c r="F12" s="277">
        <f>'ONR 1'!F14</f>
        <v>0</v>
      </c>
      <c r="G12" s="211">
        <f>'ONR 1'!G14</f>
        <v>0</v>
      </c>
      <c r="H12" s="212">
        <f>'ONR 1'!H14</f>
        <v>0</v>
      </c>
      <c r="I12" s="225">
        <f>'ONR 1'!I14</f>
        <v>0</v>
      </c>
      <c r="J12" s="232">
        <f>S12</f>
        <v>0</v>
      </c>
      <c r="K12" s="233">
        <f>E12*10+F12</f>
        <v>0</v>
      </c>
      <c r="L12" s="233" t="b">
        <f>OR(K12=31)</f>
        <v>0</v>
      </c>
      <c r="M12" s="233" t="b">
        <f>OR(K12=21,K12=32)</f>
        <v>0</v>
      </c>
      <c r="N12" s="233" t="b">
        <f>OR(K12=22,K12=33)</f>
        <v>0</v>
      </c>
      <c r="O12" s="233" t="b">
        <f>OR(K12=11,K12=12)</f>
        <v>0</v>
      </c>
      <c r="P12" s="233" t="b">
        <f>OR(K12=23,K12=34)</f>
        <v>0</v>
      </c>
      <c r="Q12" s="233" t="b">
        <f>OR(K12=13,K12=14,K12=24)</f>
        <v>0</v>
      </c>
      <c r="R12" s="233" t="b">
        <f>OR(K12=1,K12=2,K12=3,K12=4)</f>
        <v>0</v>
      </c>
      <c r="S12" s="234">
        <f>IF(COUNTA(E12:F12)&lt;2,"",(IF(L12=TRUE,$L$3,IF(M12=TRUE,$M$3,IF(N12=TRUE,$N$3,IF(O12=TRUE,$O$3,IF(P12=TRUE,$P$3,IF(Q12=TRUE,$Q$3,IF(R12=TRUE,$R$3,0)))))))))</f>
        <v>0</v>
      </c>
      <c r="T12" s="232">
        <f>IF(COUNTA(E12:F12)&lt;2,"",(IF(L12=TRUE,6,IF(M12=TRUE,5,IF(N12=TRUE,4,IF(O12=TRUE,3,IF(P12=TRUE,2,IF(Q12=TRUE,1,IF(R12=TRUE,0,0)))))))))</f>
        <v>0</v>
      </c>
      <c r="U12" s="233">
        <f>T12*10+H12</f>
        <v>0</v>
      </c>
      <c r="V12" s="241">
        <f>G12</f>
        <v>0</v>
      </c>
      <c r="W12" s="241">
        <f>'ONR 1'!V14</f>
        <v>0</v>
      </c>
      <c r="X12" s="204">
        <f>'ONR 1'!W14</f>
        <v>0</v>
      </c>
      <c r="Y12" s="236">
        <f>I12</f>
        <v>0</v>
      </c>
      <c r="Z12" s="236">
        <f>D12</f>
        <v>0</v>
      </c>
      <c r="AE12" s="206">
        <f>IF(K12=0,1,0)</f>
        <v>0</v>
      </c>
      <c r="AF12" s="206">
        <f>IF(L12=TRUE,1,0)</f>
        <v>0</v>
      </c>
      <c r="AG12" s="206">
        <f>IF(L12=TRUE,1,0)</f>
        <v>0</v>
      </c>
      <c r="AH12" s="206">
        <f>IF(L12=TRUE,1,0)</f>
        <v>0</v>
      </c>
      <c r="AI12" s="206">
        <f>IF(L12=TRUE,1,0)</f>
        <v>0</v>
      </c>
      <c r="AJ12" s="206">
        <f>IF(L12=TRUE,1,0)</f>
        <v>0</v>
      </c>
      <c r="AK12" s="206">
        <f>IF(L12=TRUE,1,0)</f>
        <v>0</v>
      </c>
      <c r="AL12" s="206">
        <f>IF(L12=TRUE,1,0)</f>
        <v>0</v>
      </c>
    </row>
    <row r="13" spans="1:38" s="116" customFormat="1" ht="23" thickBot="1">
      <c r="A13" s="115"/>
      <c r="B13" s="362" t="str">
        <f>'ONR 2'!B2</f>
        <v>ONR 2  -   INCLUSION : S'engager à développer des services numériques accessibles à toutes et tous, inclusifs et durables</v>
      </c>
      <c r="C13" s="363"/>
      <c r="D13" s="363"/>
      <c r="E13" s="363"/>
      <c r="F13" s="363"/>
      <c r="G13" s="363"/>
      <c r="H13" s="363"/>
      <c r="I13" s="363"/>
      <c r="J13" s="363"/>
      <c r="K13" s="363"/>
      <c r="L13" s="363"/>
      <c r="M13" s="363"/>
      <c r="N13" s="363"/>
      <c r="O13" s="363"/>
      <c r="P13" s="363"/>
      <c r="Q13" s="363"/>
      <c r="R13" s="363"/>
      <c r="S13" s="363"/>
      <c r="T13" s="363"/>
      <c r="U13" s="363"/>
      <c r="V13" s="363"/>
      <c r="W13" s="363"/>
      <c r="X13" s="363"/>
      <c r="Y13" s="363"/>
      <c r="Z13" s="380"/>
      <c r="AB13" s="116" t="str">
        <f>B13</f>
        <v>ONR 2  -   INCLUSION : S'engager à développer des services numériques accessibles à toutes et tous, inclusifs et durables</v>
      </c>
      <c r="AC13" s="116">
        <f>SUMPRODUCT(--(B14:B18&lt;&gt;""))</f>
        <v>4</v>
      </c>
      <c r="AD13" s="116">
        <f>AC13-AE13</f>
        <v>0</v>
      </c>
      <c r="AE13" s="117">
        <f>SUM(AE14:AE18)</f>
        <v>4</v>
      </c>
      <c r="AF13" s="117">
        <f>SUM(AF14:AF18)</f>
        <v>0</v>
      </c>
      <c r="AG13" s="117">
        <f>SUM(AG14:AG18)</f>
        <v>0</v>
      </c>
      <c r="AH13" s="117">
        <f>SUM(AH14:AH18)</f>
        <v>0</v>
      </c>
      <c r="AI13" s="117">
        <f>SUM(AI14:AI18)</f>
        <v>0</v>
      </c>
      <c r="AJ13" s="117">
        <f>SUM(AJ14:AJ18)</f>
        <v>0</v>
      </c>
      <c r="AK13" s="117">
        <f>SUM(AK14:AK18)</f>
        <v>0</v>
      </c>
      <c r="AL13" s="117">
        <f>SUM(AL14:AL18)</f>
        <v>0</v>
      </c>
    </row>
    <row r="14" spans="1:38" s="205" customFormat="1" ht="38">
      <c r="A14" s="199"/>
      <c r="B14" s="218" t="str">
        <f>'ONR 2'!B7</f>
        <v>2.1</v>
      </c>
      <c r="C14" s="221" t="str">
        <f>'ONR 2'!C7</f>
        <v>En généralisant une démarche d’achats responsables avec l’adoption de clauses sociétales et environnementales.</v>
      </c>
      <c r="D14" s="223">
        <f>'ONR 2'!D7</f>
        <v>0</v>
      </c>
      <c r="E14" s="267">
        <f>'ONR 2'!E7</f>
        <v>0</v>
      </c>
      <c r="F14" s="274">
        <f>'ONR 2'!F7</f>
        <v>0</v>
      </c>
      <c r="G14" s="200">
        <f>'ONR 2'!G7</f>
        <v>0</v>
      </c>
      <c r="H14" s="202">
        <f>'ONR 2'!H7</f>
        <v>0</v>
      </c>
      <c r="I14" s="225">
        <f>'ONR 2'!I7</f>
        <v>0</v>
      </c>
      <c r="J14" s="218">
        <f>S14</f>
        <v>0</v>
      </c>
      <c r="K14" s="227">
        <f t="shared" ref="K14" si="31">E14*10+F14</f>
        <v>0</v>
      </c>
      <c r="L14" s="227" t="b">
        <f>OR(K14=31)</f>
        <v>0</v>
      </c>
      <c r="M14" s="227" t="b">
        <f>OR(K14=21,K14=32)</f>
        <v>0</v>
      </c>
      <c r="N14" s="227" t="b">
        <f>OR(K14=22,K14=33)</f>
        <v>0</v>
      </c>
      <c r="O14" s="227" t="b">
        <f>OR(K14=11,K14=12)</f>
        <v>0</v>
      </c>
      <c r="P14" s="227" t="b">
        <f>OR(K14=23,K14=34)</f>
        <v>0</v>
      </c>
      <c r="Q14" s="227" t="b">
        <f>OR(K14=13,K14=14,K14=24)</f>
        <v>0</v>
      </c>
      <c r="R14" s="227" t="b">
        <f>OR(K14=1,K14=2,K14=3,K14=4)</f>
        <v>0</v>
      </c>
      <c r="S14" s="228">
        <f t="shared" ref="S14" si="32">IF(COUNTA(E14:F14)&lt;2,"",(IF(L14=TRUE,$L$3,IF(M14=TRUE,$M$3,IF(N14=TRUE,$N$3,IF(O14=TRUE,$O$3,IF(P14=TRUE,$P$3,IF(Q14=TRUE,$Q$3,IF(R14=TRUE,$R$3,0)))))))))</f>
        <v>0</v>
      </c>
      <c r="T14" s="226">
        <f t="shared" ref="T14" si="33">IF(COUNTA(E14:F14)&lt;2,"",(IF(L14=TRUE,6,IF(M14=TRUE,5,IF(N14=TRUE,4,IF(O14=TRUE,3,IF(P14=TRUE,2,IF(Q14=TRUE,1,IF(R14=TRUE,0,0)))))))))</f>
        <v>0</v>
      </c>
      <c r="U14" s="242">
        <f t="shared" ref="U14" si="34">T14*10+H14</f>
        <v>0</v>
      </c>
      <c r="V14" s="229">
        <f>G14</f>
        <v>0</v>
      </c>
      <c r="W14" s="229">
        <f>'ONR 2'!V7</f>
        <v>0</v>
      </c>
      <c r="X14" s="204">
        <f>'ONR 2'!W7</f>
        <v>0</v>
      </c>
      <c r="Y14" s="230">
        <f>I14</f>
        <v>0</v>
      </c>
      <c r="Z14" s="230">
        <f>D14</f>
        <v>0</v>
      </c>
      <c r="AE14" s="206">
        <f>IF(K14=0,1,0)</f>
        <v>1</v>
      </c>
      <c r="AF14" s="206">
        <f t="shared" ref="AF14:AL18" si="35">IF(L14=TRUE,1,0)</f>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2'!B8</f>
        <v>2.2</v>
      </c>
      <c r="C15" s="221" t="str">
        <f>'ONR 2'!C8</f>
        <v>En permettant des applications accessibles à tous - en mesurant le niveau de conformité RGAA et en accompagnat les entreprises du territoire à se conformer à la règlementation</v>
      </c>
      <c r="D15" s="223">
        <f>'ONR 2'!D8</f>
        <v>0</v>
      </c>
      <c r="E15" s="267">
        <f>'ONR 2'!E8</f>
        <v>0</v>
      </c>
      <c r="F15" s="274">
        <f>'ONR 2'!F8</f>
        <v>0</v>
      </c>
      <c r="G15" s="200">
        <f>'ONR 2'!G8</f>
        <v>0</v>
      </c>
      <c r="H15" s="202">
        <f>'ONR 2'!H8</f>
        <v>0</v>
      </c>
      <c r="I15" s="225">
        <f>'ONR 2'!I8</f>
        <v>0</v>
      </c>
      <c r="J15" s="218">
        <f t="shared" ref="J15:J18" si="36">S15</f>
        <v>0</v>
      </c>
      <c r="K15" s="227">
        <f t="shared" ref="K15:K18" si="37">E15*10+F15</f>
        <v>0</v>
      </c>
      <c r="L15" s="227" t="b">
        <f t="shared" ref="L15:L18" si="38">OR(K15=31)</f>
        <v>0</v>
      </c>
      <c r="M15" s="227" t="b">
        <f t="shared" ref="M15:M18" si="39">OR(K15=21,K15=32)</f>
        <v>0</v>
      </c>
      <c r="N15" s="227" t="b">
        <f t="shared" ref="N15:N18" si="40">OR(K15=22,K15=33)</f>
        <v>0</v>
      </c>
      <c r="O15" s="227" t="b">
        <f t="shared" ref="O15:O18" si="41">OR(K15=11,K15=12)</f>
        <v>0</v>
      </c>
      <c r="P15" s="227" t="b">
        <f t="shared" ref="P15:P18" si="42">OR(K15=23,K15=34)</f>
        <v>0</v>
      </c>
      <c r="Q15" s="227" t="b">
        <f t="shared" ref="Q15:Q18" si="43">OR(K15=13,K15=14,K15=24)</f>
        <v>0</v>
      </c>
      <c r="R15" s="227" t="b">
        <f t="shared" ref="R15:R18" si="44">OR(K15=1,K15=2,K15=3,K15=4)</f>
        <v>0</v>
      </c>
      <c r="S15" s="228">
        <f t="shared" ref="S15:S18" si="45">IF(COUNTA(E15:F15)&lt;2,"",(IF(L15=TRUE,$L$3,IF(M15=TRUE,$M$3,IF(N15=TRUE,$N$3,IF(O15=TRUE,$O$3,IF(P15=TRUE,$P$3,IF(Q15=TRUE,$Q$3,IF(R15=TRUE,$R$3,0)))))))))</f>
        <v>0</v>
      </c>
      <c r="T15" s="226">
        <f t="shared" ref="T15:T18" si="46">IF(COUNTA(E15:F15)&lt;2,"",(IF(L15=TRUE,6,IF(M15=TRUE,5,IF(N15=TRUE,4,IF(O15=TRUE,3,IF(P15=TRUE,2,IF(Q15=TRUE,1,IF(R15=TRUE,0,0)))))))))</f>
        <v>0</v>
      </c>
      <c r="U15" s="242">
        <f t="shared" ref="U15:U18" si="47">T15*10+H15</f>
        <v>0</v>
      </c>
      <c r="V15" s="229">
        <f>G15</f>
        <v>0</v>
      </c>
      <c r="W15" s="229">
        <f>'ONR 2'!V8</f>
        <v>0</v>
      </c>
      <c r="X15" s="204">
        <f>'ONR 2'!W8</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2'!B9</f>
        <v>2.3</v>
      </c>
      <c r="C16" s="221" t="str">
        <f>'ONR 2'!C9</f>
        <v>En déployant les applications autour des 3 U : Utiles, Utilisables, Utilisées pour en simplifier l’usage en intégrant l’accessibilité universelle pour réussir l’e-inclusion de tous</v>
      </c>
      <c r="D16" s="223">
        <f>'ONR 2'!D9</f>
        <v>0</v>
      </c>
      <c r="E16" s="267">
        <f>'ONR 2'!E9</f>
        <v>0</v>
      </c>
      <c r="F16" s="274">
        <f>'ONR 2'!F9</f>
        <v>0</v>
      </c>
      <c r="G16" s="200">
        <f>'ONR 2'!G9</f>
        <v>0</v>
      </c>
      <c r="H16" s="202">
        <f>'ONR 2'!H9</f>
        <v>0</v>
      </c>
      <c r="I16" s="225">
        <f>'ONR 2'!I9</f>
        <v>0</v>
      </c>
      <c r="J16" s="218">
        <f t="shared" si="36"/>
        <v>0</v>
      </c>
      <c r="K17" s="227">
        <f t="shared" si="37"/>
        <v>0</v>
      </c>
      <c r="L17" s="227" t="b">
        <f t="shared" si="38"/>
        <v>0</v>
      </c>
      <c r="M17" s="227" t="b">
        <f t="shared" si="39"/>
        <v>0</v>
      </c>
      <c r="N17" s="227" t="b">
        <f t="shared" si="40"/>
        <v>0</v>
      </c>
      <c r="O17" s="227" t="b">
        <f t="shared" si="41"/>
        <v>0</v>
      </c>
      <c r="P17" s="227" t="b">
        <f t="shared" si="42"/>
        <v>0</v>
      </c>
      <c r="Q17" s="227" t="b">
        <f t="shared" si="43"/>
        <v>0</v>
      </c>
      <c r="R17" s="227" t="b">
        <f t="shared" si="44"/>
        <v>0</v>
      </c>
      <c r="S17" s="228">
        <f t="shared" si="45"/>
        <v>0</v>
      </c>
      <c r="T17" s="226">
        <f t="shared" si="46"/>
        <v>0</v>
      </c>
      <c r="U17" s="242">
        <f t="shared" si="47"/>
        <v>0</v>
      </c>
      <c r="V17" s="229">
        <f>G16</f>
        <v>0</v>
      </c>
      <c r="W16" s="229">
        <f>'ONR 2'!V9</f>
        <v>0</v>
      </c>
      <c r="X16" s="204">
        <f>'ONR 2'!W9</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205" customFormat="1" ht="57">
      <c r="A17" s="199"/>
      <c r="B17" s="218" t="str">
        <f>'ONR 2'!B10</f>
        <v>2.4</v>
      </c>
      <c r="C17" s="221" t="str">
        <f>'ONR 2'!C10</f>
        <v>En associant l’utilisateur à la conception pour éviter des outils surdimensionnés et améliorer progressivement le niveau de conformité des services en ligne.</v>
      </c>
      <c r="D17" s="223">
        <f>'ONR 2'!D10</f>
        <v>0</v>
      </c>
      <c r="E17" s="267">
        <f>'ONR 2'!E10</f>
        <v>0</v>
      </c>
      <c r="F17" s="274">
        <f>'ONR 2'!F10</f>
        <v>0</v>
      </c>
      <c r="G17" s="200">
        <f>'ONR 2'!G10</f>
        <v>0</v>
      </c>
      <c r="H17" s="202">
        <f>'ONR 2'!H10</f>
        <v>0</v>
      </c>
      <c r="I17" s="225">
        <f>'ONR 2'!I10</f>
        <v>0</v>
      </c>
      <c r="J17" s="218">
        <f t="shared" si="36"/>
        <v>0</v>
      </c>
      <c r="K19" s="227">
        <f t="shared" si="37"/>
        <v>0</v>
      </c>
      <c r="L19" s="227" t="b">
        <f t="shared" si="38"/>
        <v>0</v>
      </c>
      <c r="M19" s="227" t="b">
        <f t="shared" si="39"/>
        <v>0</v>
      </c>
      <c r="N19" s="227" t="b">
        <f t="shared" si="40"/>
        <v>0</v>
      </c>
      <c r="O19" s="227" t="b">
        <f t="shared" si="41"/>
        <v>0</v>
      </c>
      <c r="P19" s="227" t="b">
        <f t="shared" si="42"/>
        <v>0</v>
      </c>
      <c r="Q19" s="227" t="b">
        <f t="shared" si="43"/>
        <v>0</v>
      </c>
      <c r="R19" s="227" t="b">
        <f t="shared" si="44"/>
        <v>0</v>
      </c>
      <c r="S19" s="228">
        <f t="shared" si="45"/>
        <v>0</v>
      </c>
      <c r="T19" s="226">
        <f t="shared" si="46"/>
        <v>0</v>
      </c>
      <c r="U19" s="242">
        <f t="shared" si="47"/>
        <v>0</v>
      </c>
      <c r="V19" s="229">
        <f>G17</f>
        <v>0</v>
      </c>
      <c r="W17" s="229">
        <f>'ONR 2'!V10</f>
        <v>0</v>
      </c>
      <c r="X17" s="204">
        <f>'ONR 2'!W10</f>
        <v>0</v>
      </c>
      <c r="Y17" s="230">
        <f>I17</f>
        <v>0</v>
      </c>
      <c r="Z17" s="230">
        <f>D17</f>
        <v>0</v>
      </c>
      <c r="AE17" s="206">
        <f>IF(K17=0,1,0)</f>
        <v>1</v>
      </c>
      <c r="AF17" s="206">
        <f t="shared" si="35"/>
        <v>0</v>
      </c>
      <c r="AG17" s="206">
        <f t="shared" si="35"/>
        <v>0</v>
      </c>
      <c r="AH17" s="206">
        <f t="shared" si="35"/>
        <v>0</v>
      </c>
      <c r="AI17" s="206">
        <f t="shared" si="35"/>
        <v>0</v>
      </c>
      <c r="AJ17" s="206">
        <f t="shared" si="35"/>
        <v>0</v>
      </c>
      <c r="AK17" s="206">
        <f t="shared" si="35"/>
        <v>0</v>
      </c>
      <c r="AL17" s="206">
        <f t="shared" si="35"/>
        <v>0</v>
      </c>
    </row>
    <row r="18" spans="1:38" s="205" customFormat="1" ht="57">
      <c r="A18" s="199"/>
      <c r="B18" s="218" t="str">
        <f>'ONR 2'!B11</f>
        <v>0</v>
      </c>
      <c r="C18" s="221" t="str">
        <f>'ONR 2'!C11</f>
        <v>0</v>
      </c>
      <c r="D18" s="223">
        <f>'ONR 2'!D11</f>
        <v>0</v>
      </c>
      <c r="E18" s="267">
        <f>'ONR 2'!E11</f>
        <v>0</v>
      </c>
      <c r="F18" s="274">
        <f>'ONR 2'!F11</f>
        <v>0</v>
      </c>
      <c r="G18" s="200">
        <f>'ONR 2'!G11</f>
        <v>0</v>
      </c>
      <c r="H18" s="202">
        <f>'ONR 2'!H11</f>
        <v>0</v>
      </c>
      <c r="I18" s="225">
        <f>'ONR 2'!I11</f>
        <v>0</v>
      </c>
      <c r="J18" s="218">
        <f>S18</f>
        <v>0</v>
      </c>
      <c r="K18" s="227">
        <f>E18*10+F18</f>
        <v>0</v>
      </c>
      <c r="L18" s="227" t="b">
        <f>OR(K18=31)</f>
        <v>0</v>
      </c>
      <c r="M18" s="227" t="b">
        <f>OR(K18=21,K18=32)</f>
        <v>0</v>
      </c>
      <c r="N18" s="227" t="b">
        <f>OR(K18=22,K18=33)</f>
        <v>0</v>
      </c>
      <c r="O18" s="227" t="b">
        <f>OR(K18=11,K18=12)</f>
        <v>0</v>
      </c>
      <c r="P18" s="227" t="b">
        <f>OR(K18=23,K18=34)</f>
        <v>0</v>
      </c>
      <c r="Q18" s="227" t="b">
        <f>OR(K18=13,K18=14,K18=24)</f>
        <v>0</v>
      </c>
      <c r="R18" s="227" t="b">
        <f>OR(K18=1,K18=2,K18=3,K18=4)</f>
        <v>0</v>
      </c>
      <c r="S18" s="228">
        <f>IF(COUNTA(E18:F18)&lt;2,"",(IF(L18=TRUE,$L$3,IF(M18=TRUE,$M$3,IF(N18=TRUE,$N$3,IF(O18=TRUE,$O$3,IF(P18=TRUE,$P$3,IF(Q18=TRUE,$Q$3,IF(R18=TRUE,$R$3,0)))))))))</f>
        <v>0</v>
      </c>
      <c r="T18" s="226">
        <f>IF(COUNTA(E18:F18)&lt;2,"",(IF(L18=TRUE,6,IF(M18=TRUE,5,IF(N18=TRUE,4,IF(O18=TRUE,3,IF(P18=TRUE,2,IF(Q18=TRUE,1,IF(R18=TRUE,0,0)))))))))</f>
        <v>0</v>
      </c>
      <c r="U18" s="242">
        <f>T18*10+H18</f>
        <v>0</v>
      </c>
      <c r="V18" s="229">
        <f>G18</f>
        <v>0</v>
      </c>
      <c r="W18" s="229">
        <f>'ONR 2'!V11</f>
        <v>0</v>
      </c>
      <c r="X18" s="204">
        <f>'ONR 2'!W11</f>
        <v>0</v>
      </c>
      <c r="Y18" s="230">
        <f>I18</f>
        <v>0</v>
      </c>
      <c r="Z18" s="230">
        <f>D18</f>
        <v>0</v>
      </c>
      <c r="AE18" s="206">
        <f>IF(K18=0,1,0)</f>
        <v>0</v>
      </c>
      <c r="AF18" s="206">
        <f>IF(L18=TRUE,1,0)</f>
        <v>0</v>
      </c>
      <c r="AG18" s="206">
        <f>IF(L18=TRUE,1,0)</f>
        <v>0</v>
      </c>
      <c r="AH18" s="206">
        <f>IF(L18=TRUE,1,0)</f>
        <v>0</v>
      </c>
      <c r="AI18" s="206">
        <f>IF(L18=TRUE,1,0)</f>
        <v>0</v>
      </c>
      <c r="AJ18" s="206">
        <f>IF(L18=TRUE,1,0)</f>
        <v>0</v>
      </c>
      <c r="AK18" s="206">
        <f>IF(L18=TRUE,1,0)</f>
        <v>0</v>
      </c>
      <c r="AL18" s="206">
        <f>IF(L18=TRUE,1,0)</f>
        <v>0</v>
      </c>
    </row>
    <row r="19" spans="1:38" s="116" customFormat="1" ht="22">
      <c r="A19" s="115"/>
      <c r="B19" s="381" t="str">
        <f>'ONR 3'!B2:C2</f>
        <v xml:space="preserve">ONR 3  -  RSE : S'engager pour des pratiques numériques éthiques et responsables </v>
      </c>
      <c r="C19" s="381"/>
      <c r="D19" s="381"/>
      <c r="E19" s="381"/>
      <c r="F19" s="381"/>
      <c r="G19" s="381"/>
      <c r="H19" s="381"/>
      <c r="I19" s="381"/>
      <c r="J19" s="381"/>
      <c r="K19" s="381"/>
      <c r="L19" s="381"/>
      <c r="M19" s="381"/>
      <c r="N19" s="381"/>
      <c r="O19" s="381"/>
      <c r="P19" s="381"/>
      <c r="Q19" s="381"/>
      <c r="R19" s="381"/>
      <c r="S19" s="381"/>
      <c r="T19" s="381"/>
      <c r="U19" s="381"/>
      <c r="V19" s="381"/>
      <c r="W19" s="381"/>
      <c r="X19" s="381"/>
      <c r="Y19" s="381"/>
      <c r="Z19" s="381"/>
      <c r="AB19" s="116" t="str">
        <f>B19</f>
        <v xml:space="preserve">ONR 3  -  RSE : S'engager pour des pratiques numériques éthiques et responsables </v>
      </c>
      <c r="AC19" s="116">
        <f>SUMPRODUCT(--(B20:B27&lt;&gt;""))</f>
        <v>7</v>
      </c>
      <c r="AD19" s="116">
        <f>AC19-AE19</f>
        <v>0</v>
      </c>
      <c r="AE19" s="117">
        <f>SUM(AE20:AE27)</f>
        <v>7</v>
      </c>
      <c r="AF19" s="117">
        <f>SUM(AF20:AF27)</f>
        <v>0</v>
      </c>
      <c r="AG19" s="117">
        <f>SUM(AG20:AG27)</f>
        <v>0</v>
      </c>
      <c r="AH19" s="117">
        <f>SUM(AH20:AH27)</f>
        <v>0</v>
      </c>
      <c r="AI19" s="117">
        <f>SUM(AI20:AI27)</f>
        <v>0</v>
      </c>
      <c r="AJ19" s="117">
        <f>SUM(AJ20:AJ27)</f>
        <v>0</v>
      </c>
      <c r="AK19" s="117">
        <f>SUM(AK20:AK27)</f>
        <v>0</v>
      </c>
      <c r="AL19" s="117">
        <f>SUM(AL20:AL27)</f>
        <v>0</v>
      </c>
    </row>
    <row r="20" spans="1:38" s="205" customFormat="1" ht="57">
      <c r="A20" s="199"/>
      <c r="B20" s="219" t="str">
        <f>'ONR 3'!B7</f>
        <v>3.1</v>
      </c>
      <c r="C20" s="219" t="str">
        <f>'ONR 3'!C7</f>
        <v>En développant des usages raisonnés des données et services dans une démarche éthique vis-à-vis des impacts sur l’environnement et les populations.</v>
      </c>
      <c r="D20" s="244">
        <f>'ONR 3'!D7</f>
        <v>0</v>
      </c>
      <c r="E20" s="271">
        <f>'ONR 3'!E7</f>
        <v>0</v>
      </c>
      <c r="F20" s="278">
        <f>'ONR 3'!F7</f>
        <v>0</v>
      </c>
      <c r="G20" s="213">
        <f>'ONR 3'!G7</f>
        <v>0</v>
      </c>
      <c r="H20" s="214">
        <f>'ONR 3'!H7</f>
        <v>0</v>
      </c>
      <c r="I20" s="245">
        <f>'ONR 3'!I7</f>
        <v>0</v>
      </c>
      <c r="J20" s="246">
        <f t="shared" ref="J20:J25" si="49">S20</f>
        <v>0</v>
      </c>
      <c r="K20" s="247">
        <f t="shared" ref="K20:K25" si="50">E20*10+F20</f>
        <v>0</v>
      </c>
      <c r="L20" s="247" t="b">
        <f t="shared" ref="L20:L25" si="51">OR(K20=31)</f>
        <v>0</v>
      </c>
      <c r="M20" s="247" t="b">
        <f t="shared" ref="M20:M25" si="52">OR(K20=21,K20=32)</f>
        <v>0</v>
      </c>
      <c r="N20" s="247" t="b">
        <f t="shared" ref="N20:N25" si="53">OR(K20=22,K20=33)</f>
        <v>0</v>
      </c>
      <c r="O20" s="247" t="b">
        <f t="shared" ref="O20:O25" si="54">OR(K20=11,K20=12)</f>
        <v>0</v>
      </c>
      <c r="P20" s="247" t="b">
        <f t="shared" ref="P20:P25" si="55">OR(K20=23,K20=34)</f>
        <v>0</v>
      </c>
      <c r="Q20" s="247" t="b">
        <f t="shared" ref="Q20:Q25" si="56">OR(K20=13,K20=14,K20=24)</f>
        <v>0</v>
      </c>
      <c r="R20" s="247" t="b">
        <f t="shared" ref="R20:R25" si="57">OR(K20=1,K20=2,K20=3,K20=4)</f>
        <v>0</v>
      </c>
      <c r="S20" s="248">
        <f t="shared" ref="S20:S25" si="58">IF(COUNTA(E20:F20)&lt;2,"",(IF(L20=TRUE,$L$3,IF(M20=TRUE,$M$3,IF(N20=TRUE,$N$3,IF(O20=TRUE,$O$3,IF(P20=TRUE,$P$3,IF(Q20=TRUE,$Q$3,IF(R20=TRUE,$R$3,0)))))))))</f>
        <v>0</v>
      </c>
      <c r="T20" s="249">
        <f t="shared" ref="T20:T25" si="59">IF(COUNTA(E20:F20)&lt;2,"",(IF(L20=TRUE,6,IF(M20=TRUE,5,IF(N20=TRUE,4,IF(O20=TRUE,3,IF(P20=TRUE,2,IF(Q20=TRUE,1,IF(R20=TRUE,0,0)))))))))</f>
        <v>0</v>
      </c>
      <c r="U20" s="250">
        <f t="shared" ref="U20:U25" si="60">T20*10+H20</f>
        <v>0</v>
      </c>
      <c r="V20" s="235">
        <f t="shared" ref="V20:V27" si="61">G20</f>
        <v>0</v>
      </c>
      <c r="W20" s="235">
        <f>'ONR 3'!V7</f>
        <v>0</v>
      </c>
      <c r="X20" s="183">
        <f>'ONR 3'!W7</f>
        <v>0</v>
      </c>
      <c r="Y20" s="236">
        <f t="shared" ref="Y20:Y27" si="62">I20</f>
        <v>0</v>
      </c>
      <c r="Z20" s="236">
        <f t="shared" ref="Z20:Z27" si="63">D20</f>
        <v>0</v>
      </c>
      <c r="AE20" s="206">
        <f t="shared" ref="AE20:AE27" si="64">IF(K20=0,1,0)</f>
        <v>1</v>
      </c>
      <c r="AF20" s="206">
        <f t="shared" ref="AF20:AL27" si="65">IF(L20=TRUE,1,0)</f>
        <v>0</v>
      </c>
      <c r="AG20" s="206">
        <f t="shared" si="65"/>
        <v>0</v>
      </c>
      <c r="AH20" s="206">
        <f t="shared" si="65"/>
        <v>0</v>
      </c>
      <c r="AI20" s="206">
        <f t="shared" si="65"/>
        <v>0</v>
      </c>
      <c r="AJ20" s="206">
        <f t="shared" si="65"/>
        <v>0</v>
      </c>
      <c r="AK20" s="206">
        <f t="shared" si="65"/>
        <v>0</v>
      </c>
      <c r="AL20" s="206">
        <f t="shared" si="65"/>
        <v>0</v>
      </c>
    </row>
    <row r="21" spans="1:38" s="205" customFormat="1" ht="57">
      <c r="A21" s="199"/>
      <c r="B21" s="219" t="str">
        <f>'ONR 3'!B8</f>
        <v>3.2</v>
      </c>
      <c r="C21" s="219" t="str">
        <f>'ONR 3'!C8</f>
        <v>En luttant contre les pratiques trompeuses et présence de dark pattern dans les sites internet et en permettant de se conformer à la réglementation</v>
      </c>
      <c r="D21" s="244">
        <f>'ONR 3'!D8</f>
        <v>0</v>
      </c>
      <c r="E21" s="271">
        <f>'ONR 3'!E8</f>
        <v>0</v>
      </c>
      <c r="F21" s="278">
        <f>'ONR 3'!F8</f>
        <v>0</v>
      </c>
      <c r="G21" s="213">
        <f>'ONR 3'!G8</f>
        <v>0</v>
      </c>
      <c r="H21" s="214">
        <f>'ONR 3'!H8</f>
        <v>0</v>
      </c>
      <c r="I21" s="245">
        <f>'ONR 3'!I8</f>
        <v>0</v>
      </c>
      <c r="J21"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35">
        <f t="shared" si="61"/>
        <v>0</v>
      </c>
      <c r="W23" s="235">
        <f>'ONR 3'!V8</f>
        <v>0</v>
      </c>
      <c r="X21" s="183">
        <f>'ONR 3'!W8</f>
        <v>0</v>
      </c>
      <c r="Y21" s="236">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76">
      <c r="A22" s="199"/>
      <c r="B22" s="219" t="str">
        <f>'ONR 3'!B9</f>
        <v>3.3</v>
      </c>
      <c r="C22" s="219" t="str">
        <f>'ONR 3'!C9</f>
        <v>En ne collectant que les données utiles et nécessaires au service des utilisateurs, afin de limiter les risques en matière de vie privée et impacts environnementaux en conformité avec le Règlement Général sur la Protection des Données (RGPD).</v>
      </c>
      <c r="D22" s="244">
        <f>'ONR 3'!D9</f>
        <v>0</v>
      </c>
      <c r="E22" s="271">
        <f>'ONR 3'!E9</f>
        <v>0</v>
      </c>
      <c r="F22" s="278">
        <f>'ONR 3'!F9</f>
        <v>0</v>
      </c>
      <c r="G22" s="213">
        <f>'ONR 3'!G9</f>
        <v>0</v>
      </c>
      <c r="H22" s="214">
        <f>'ONR 3'!H9</f>
        <v>0</v>
      </c>
      <c r="I22" s="245">
        <f>'ONR 3'!I9</f>
        <v>0</v>
      </c>
      <c r="J22" s="246">
        <f t="shared" si="49"/>
        <v>0</v>
      </c>
      <c r="K24" s="247">
        <f t="shared" si="50"/>
        <v>0</v>
      </c>
      <c r="L24" s="247" t="b">
        <f t="shared" si="51"/>
        <v>0</v>
      </c>
      <c r="M24" s="247" t="b">
        <f t="shared" si="52"/>
        <v>0</v>
      </c>
      <c r="N24" s="247" t="b">
        <f t="shared" si="53"/>
        <v>0</v>
      </c>
      <c r="O24" s="247" t="b">
        <f t="shared" si="54"/>
        <v>0</v>
      </c>
      <c r="P24" s="247" t="b">
        <f t="shared" si="55"/>
        <v>0</v>
      </c>
      <c r="Q24" s="247" t="b">
        <f t="shared" si="56"/>
        <v>0</v>
      </c>
      <c r="R24" s="247" t="b">
        <f t="shared" si="57"/>
        <v>0</v>
      </c>
      <c r="S24" s="248">
        <f t="shared" si="58"/>
        <v>0</v>
      </c>
      <c r="T24" s="249">
        <f t="shared" si="59"/>
        <v>0</v>
      </c>
      <c r="U24" s="250">
        <f t="shared" si="60"/>
        <v>0</v>
      </c>
      <c r="V24" s="235">
        <f t="shared" si="61"/>
        <v>0</v>
      </c>
      <c r="W24" s="235">
        <f>'ONR 3'!V9</f>
        <v>0</v>
      </c>
      <c r="X22" s="183">
        <f>'ONR 3'!W9</f>
        <v>0</v>
      </c>
      <c r="Y22" s="236">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19">
      <c r="A23" s="199"/>
      <c r="B23" s="238" t="str">
        <f>'ONR 3'!B10</f>
        <v>3.4</v>
      </c>
      <c r="C23" s="219" t="str">
        <f>'ONR 3'!C10</f>
        <v>En favorisant la diversité des recrutements des métiers du numérique</v>
      </c>
      <c r="D23" s="244">
        <f>'ONR 3'!D10</f>
        <v>0</v>
      </c>
      <c r="E23" s="271">
        <f>'ONR 3'!E10</f>
        <v>0</v>
      </c>
      <c r="F23" s="278">
        <f>'ONR 3'!F10</f>
        <v>0</v>
      </c>
      <c r="G23" s="213">
        <f>'ONR 3'!G10</f>
        <v>0</v>
      </c>
      <c r="H23" s="214">
        <f>'ONR 3'!H10</f>
        <v>0</v>
      </c>
      <c r="I23" s="245">
        <f>'ONR 3'!I10</f>
        <v>0</v>
      </c>
      <c r="J23" s="246">
        <f t="shared" si="49"/>
        <v>0</v>
      </c>
      <c r="K25" s="247">
        <f t="shared" si="50"/>
        <v>0</v>
      </c>
      <c r="L25" s="247" t="b">
        <f t="shared" si="51"/>
        <v>0</v>
      </c>
      <c r="M25" s="247" t="b">
        <f t="shared" si="52"/>
        <v>0</v>
      </c>
      <c r="N25" s="247" t="b">
        <f t="shared" si="53"/>
        <v>0</v>
      </c>
      <c r="O25" s="247" t="b">
        <f t="shared" si="54"/>
        <v>0</v>
      </c>
      <c r="P25" s="247" t="b">
        <f t="shared" si="55"/>
        <v>0</v>
      </c>
      <c r="Q25" s="247" t="b">
        <f t="shared" si="56"/>
        <v>0</v>
      </c>
      <c r="R25" s="247" t="b">
        <f t="shared" si="57"/>
        <v>0</v>
      </c>
      <c r="S25" s="248">
        <f t="shared" si="58"/>
        <v>0</v>
      </c>
      <c r="T25" s="249">
        <f t="shared" si="59"/>
        <v>0</v>
      </c>
      <c r="U25" s="250">
        <f t="shared" si="60"/>
        <v>0</v>
      </c>
      <c r="V25" s="252">
        <f t="shared" si="61"/>
        <v>0</v>
      </c>
      <c r="W25" s="252">
        <f>'ONR 3'!V10</f>
        <v>0</v>
      </c>
      <c r="X23" s="183">
        <f>'ONR 3'!W10</f>
        <v>0</v>
      </c>
      <c r="Y23" s="253">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19">
      <c r="A24" s="199"/>
      <c r="B24" s="238" t="str">
        <f>'ONR 3'!B11</f>
        <v>3.5</v>
      </c>
      <c r="C24" s="219" t="str">
        <f>'ONR 3'!C11</f>
        <v>En améliorant les conditions des travailleurs du numérique</v>
      </c>
      <c r="D24" s="244">
        <f>'ONR 3'!D11</f>
        <v>0</v>
      </c>
      <c r="E24" s="271">
        <f>'ONR 3'!E11</f>
        <v>0</v>
      </c>
      <c r="F24" s="278">
        <f>'ONR 3'!F11</f>
        <v>0</v>
      </c>
      <c r="G24" s="213">
        <f>'ONR 3'!G11</f>
        <v>0</v>
      </c>
      <c r="H24" s="214">
        <f>'ONR 3'!H11</f>
        <v>0</v>
      </c>
      <c r="I24" s="245">
        <f>'ONR 3'!I11</f>
        <v>0</v>
      </c>
      <c r="J24" s="246">
        <f t="shared" si="49"/>
        <v>0</v>
      </c>
      <c r="K26" s="247">
        <f t="shared" si="50"/>
        <v>0</v>
      </c>
      <c r="L26" s="247" t="b">
        <f t="shared" si="51"/>
        <v>0</v>
      </c>
      <c r="M26" s="247" t="b">
        <f t="shared" si="52"/>
        <v>0</v>
      </c>
      <c r="N26" s="247" t="b">
        <f t="shared" si="53"/>
        <v>0</v>
      </c>
      <c r="O26" s="247" t="b">
        <f t="shared" si="54"/>
        <v>0</v>
      </c>
      <c r="P26" s="247" t="b">
        <f t="shared" si="55"/>
        <v>0</v>
      </c>
      <c r="Q26" s="247" t="b">
        <f t="shared" si="56"/>
        <v>0</v>
      </c>
      <c r="R26" s="247" t="b">
        <f t="shared" si="57"/>
        <v>0</v>
      </c>
      <c r="S26" s="248">
        <f t="shared" si="58"/>
        <v>0</v>
      </c>
      <c r="T26" s="249">
        <f t="shared" si="59"/>
        <v>0</v>
      </c>
      <c r="U26" s="250">
        <f t="shared" si="60"/>
        <v>0</v>
      </c>
      <c r="V26" s="252">
        <f t="shared" si="61"/>
        <v>0</v>
      </c>
      <c r="W26" s="145">
        <f>'ONR 3'!V11</f>
        <v>0</v>
      </c>
      <c r="X24" s="183">
        <f>'ONR 3'!W11</f>
        <v>0</v>
      </c>
      <c r="Y24" s="253">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205" customFormat="1" ht="57">
      <c r="A25" s="199"/>
      <c r="B25" s="219" t="str">
        <f>'ONR 3'!B12</f>
        <v>3.6</v>
      </c>
      <c r="C25" s="219" t="str">
        <f>'ONR 3'!C12</f>
        <v>En s’inscrivant résolument dans des dispositifs d’éthique algorithmique sur l’utilisation et la protection des données, notamment au regard de l’intelligence artificielle</v>
      </c>
      <c r="D25" s="244">
        <f>'ONR 3'!D12</f>
        <v>0</v>
      </c>
      <c r="E25" s="271">
        <f>'ONR 3'!E12</f>
        <v>0</v>
      </c>
      <c r="F25" s="278">
        <f>'ONR 3'!F12</f>
        <v>0</v>
      </c>
      <c r="G25" s="213">
        <f>'ONR 3'!G12</f>
        <v>0</v>
      </c>
      <c r="H25" s="214">
        <f>'ONR 3'!H12</f>
        <v>0</v>
      </c>
      <c r="I25" s="245">
        <f>'ONR 3'!I12</f>
        <v>0</v>
      </c>
      <c r="J25" s="246">
        <f t="shared" si="49"/>
        <v>0</v>
      </c>
      <c r="K28" s="247">
        <f t="shared" si="50"/>
        <v>0</v>
      </c>
      <c r="L28" s="247" t="b">
        <f t="shared" si="51"/>
        <v>0</v>
      </c>
      <c r="M28" s="247" t="b">
        <f t="shared" si="52"/>
        <v>0</v>
      </c>
      <c r="N28" s="247" t="b">
        <f t="shared" si="53"/>
        <v>0</v>
      </c>
      <c r="O28" s="247" t="b">
        <f t="shared" si="54"/>
        <v>0</v>
      </c>
      <c r="P28" s="247" t="b">
        <f t="shared" si="55"/>
        <v>0</v>
      </c>
      <c r="Q28" s="247" t="b">
        <f t="shared" si="56"/>
        <v>0</v>
      </c>
      <c r="R28" s="247" t="b">
        <f t="shared" si="57"/>
        <v>0</v>
      </c>
      <c r="S28" s="248">
        <f t="shared" si="58"/>
        <v>0</v>
      </c>
      <c r="T28" s="249">
        <f t="shared" si="59"/>
        <v>0</v>
      </c>
      <c r="U28" s="250">
        <f t="shared" si="60"/>
        <v>0</v>
      </c>
      <c r="V28" s="241">
        <f t="shared" si="61"/>
        <v>0</v>
      </c>
      <c r="W28" s="148">
        <f>'ONR 3'!V12</f>
        <v>0</v>
      </c>
      <c r="X25" s="183">
        <f>'ONR 3'!W12</f>
        <v>0</v>
      </c>
      <c r="Y25" s="254">
        <f t="shared" si="62"/>
        <v>0</v>
      </c>
      <c r="Z25" s="251">
        <f t="shared" si="63"/>
        <v>0</v>
      </c>
      <c r="AE25" s="206">
        <f t="shared" si="64"/>
        <v>1</v>
      </c>
      <c r="AF25" s="206">
        <f t="shared" si="65"/>
        <v>0</v>
      </c>
      <c r="AG25" s="206">
        <f t="shared" si="65"/>
        <v>0</v>
      </c>
      <c r="AH25" s="206">
        <f t="shared" si="65"/>
        <v>0</v>
      </c>
      <c r="AI25" s="206">
        <f t="shared" si="65"/>
        <v>0</v>
      </c>
      <c r="AJ25" s="206">
        <f t="shared" si="65"/>
        <v>0</v>
      </c>
      <c r="AK25" s="206">
        <f t="shared" si="65"/>
        <v>0</v>
      </c>
      <c r="AL25" s="206">
        <f t="shared" si="65"/>
        <v>0</v>
      </c>
    </row>
    <row r="26" spans="1:38" s="205" customFormat="1" ht="20" thickBot="1">
      <c r="A26" s="199"/>
      <c r="B26" s="220" t="str">
        <f>'ONR 3'!B13</f>
        <v>3.7</v>
      </c>
      <c r="C26" s="220" t="str">
        <f>'ONR 3'!C13</f>
        <v>En déployant et valorisant la démarche RSE</v>
      </c>
      <c r="D26" s="244">
        <f>'ONR 3'!D13</f>
        <v>0</v>
      </c>
      <c r="E26" s="271">
        <f>'ONR 3'!E13</f>
        <v>0</v>
      </c>
      <c r="F26" s="278">
        <f>'ONR 3'!F13</f>
        <v>0</v>
      </c>
      <c r="G26" s="213">
        <f>'ONR 3'!G13</f>
        <v>0</v>
      </c>
      <c r="H26" s="214">
        <f>'ONR 3'!H13</f>
        <v>0</v>
      </c>
      <c r="I26" s="245">
        <f>'ONR 3'!I13</f>
        <v>0</v>
      </c>
      <c r="J26" s="246">
        <f t="shared" ref="J26" si="66">S26</f>
        <v>0</v>
      </c>
      <c r="K26" s="247">
        <f t="shared" ref="K26" si="67">E26*10+F26</f>
        <v>0</v>
      </c>
      <c r="L26" s="247" t="b">
        <f t="shared" ref="L26" si="68">OR(K26=31)</f>
        <v>0</v>
      </c>
      <c r="M26" s="247" t="b">
        <f t="shared" ref="M26" si="69">OR(K26=21,K26=32)</f>
        <v>0</v>
      </c>
      <c r="N26" s="247" t="b">
        <f t="shared" ref="N26" si="70">OR(K26=22,K26=33)</f>
        <v>0</v>
      </c>
      <c r="O26" s="247" t="b">
        <f t="shared" ref="O26" si="71">OR(K26=11,K26=12)</f>
        <v>0</v>
      </c>
      <c r="P26" s="247" t="b">
        <f t="shared" ref="P26" si="72">OR(K26=23,K26=34)</f>
        <v>0</v>
      </c>
      <c r="Q26" s="247" t="b">
        <f t="shared" ref="Q26" si="73">OR(K26=13,K26=14,K26=24)</f>
        <v>0</v>
      </c>
      <c r="R26" s="247" t="b">
        <f t="shared" ref="R26" si="74">OR(K26=1,K26=2,K26=3,K26=4)</f>
        <v>0</v>
      </c>
      <c r="S26" s="248">
        <f t="shared" ref="S26" si="75">IF(COUNTA(E26:F26)&lt;2,"",(IF(L26=TRUE,$L$3,IF(M26=TRUE,$M$3,IF(N26=TRUE,$N$3,IF(O26=TRUE,$O$3,IF(P26=TRUE,$P$3,IF(Q26=TRUE,$Q$3,IF(R26=TRUE,$R$3,0)))))))))</f>
        <v>0</v>
      </c>
      <c r="T26" s="249">
        <f t="shared" ref="T26" si="76">IF(COUNTA(E26:F26)&lt;2,"",(IF(L26=TRUE,6,IF(M26=TRUE,5,IF(N26=TRUE,4,IF(O26=TRUE,3,IF(P26=TRUE,2,IF(Q26=TRUE,1,IF(R26=TRUE,0,0)))))))))</f>
        <v>0</v>
      </c>
      <c r="U26" s="250">
        <f t="shared" ref="U26" si="77">T26*10+H26</f>
        <v>0</v>
      </c>
      <c r="V26" s="255">
        <f t="shared" si="61"/>
        <v>0</v>
      </c>
      <c r="W29" s="215">
        <f>'ONR 3'!V13</f>
        <v>0</v>
      </c>
      <c r="X26" s="183">
        <f>'ONR 3'!W13</f>
        <v>0</v>
      </c>
      <c r="Y26" s="251">
        <f t="shared" si="62"/>
        <v>0</v>
      </c>
      <c r="Z26" s="251">
        <f t="shared" si="63"/>
        <v>0</v>
      </c>
      <c r="AE26" s="206">
        <f t="shared" si="64"/>
        <v>1</v>
      </c>
      <c r="AF26" s="206">
        <f t="shared" si="65"/>
        <v>0</v>
      </c>
      <c r="AG26" s="206">
        <f t="shared" si="65"/>
        <v>0</v>
      </c>
      <c r="AH26" s="206">
        <f t="shared" si="65"/>
        <v>0</v>
      </c>
      <c r="AI26" s="206">
        <f t="shared" si="65"/>
        <v>0</v>
      </c>
      <c r="AJ26" s="206">
        <f t="shared" si="65"/>
        <v>0</v>
      </c>
      <c r="AK26" s="206">
        <f t="shared" si="65"/>
        <v>0</v>
      </c>
      <c r="AL26" s="206">
        <f t="shared" si="65"/>
        <v>0</v>
      </c>
    </row>
    <row r="27" spans="1:38" s="205" customFormat="1" ht="20" thickBot="1">
      <c r="A27" s="199"/>
      <c r="B27" s="220" t="str">
        <f>'ONR 3'!B14</f>
        <v>3.8</v>
      </c>
      <c r="C27" s="220" t="str">
        <f>'ONR 3'!C14</f>
        <v>0</v>
      </c>
      <c r="D27" s="244">
        <f>'ONR 3'!D14</f>
        <v>0</v>
      </c>
      <c r="E27" s="271">
        <f>'ONR 3'!E14</f>
        <v>0</v>
      </c>
      <c r="F27" s="278">
        <f>'ONR 3'!F14</f>
        <v>0</v>
      </c>
      <c r="G27" s="213">
        <f>'ONR 3'!G14</f>
        <v>0</v>
      </c>
      <c r="H27" s="214">
        <f>'ONR 3'!H14</f>
        <v>0</v>
      </c>
      <c r="I27" s="245">
        <f>'ONR 3'!I14</f>
        <v>0</v>
      </c>
      <c r="J27" s="246">
        <f>S27</f>
        <v>0</v>
      </c>
      <c r="K27" s="247">
        <f>E27*10+F27</f>
        <v>0</v>
      </c>
      <c r="L27" s="247" t="b">
        <f>OR(K27=31)</f>
        <v>0</v>
      </c>
      <c r="M27" s="247" t="b">
        <f>OR(K27=21,K27=32)</f>
        <v>0</v>
      </c>
      <c r="N27" s="247" t="b">
        <f>OR(K27=22,K27=33)</f>
        <v>0</v>
      </c>
      <c r="O27" s="247" t="b">
        <f>OR(K27=11,K27=12)</f>
        <v>0</v>
      </c>
      <c r="P27" s="247" t="b">
        <f>OR(K27=23,K27=34)</f>
        <v>0</v>
      </c>
      <c r="Q27" s="247" t="b">
        <f>OR(K27=13,K27=14,K27=24)</f>
        <v>0</v>
      </c>
      <c r="R27" s="247" t="b">
        <f>OR(K27=1,K27=2,K27=3,K27=4)</f>
        <v>0</v>
      </c>
      <c r="S27" s="248">
        <f>IF(COUNTA(E27:F27)&lt;2,"",(IF(L27=TRUE,$L$3,IF(M27=TRUE,$M$3,IF(N27=TRUE,$N$3,IF(O27=TRUE,$O$3,IF(P27=TRUE,$P$3,IF(Q27=TRUE,$Q$3,IF(R27=TRUE,$R$3,0)))))))))</f>
        <v>0</v>
      </c>
      <c r="T27" s="249">
        <f>IF(COUNTA(E27:F27)&lt;2,"",(IF(L27=TRUE,6,IF(M27=TRUE,5,IF(N27=TRUE,4,IF(O27=TRUE,3,IF(P27=TRUE,2,IF(Q27=TRUE,1,IF(R27=TRUE,0,0)))))))))</f>
        <v>0</v>
      </c>
      <c r="U27" s="250">
        <f>T27*10+H27</f>
        <v>0</v>
      </c>
      <c r="V27" s="255">
        <f>G27</f>
        <v>0</v>
      </c>
      <c r="W27" s="215">
        <f>'ONR 3'!V14</f>
        <v>0</v>
      </c>
      <c r="X27" s="183">
        <f>'ONR 3'!W14</f>
        <v>0</v>
      </c>
      <c r="Y27" s="251">
        <f>I27</f>
        <v>0</v>
      </c>
      <c r="Z27" s="251">
        <f>D27</f>
        <v>0</v>
      </c>
      <c r="AE27" s="206">
        <f>IF(K27=0,1,0)</f>
        <v>0</v>
      </c>
      <c r="AF27" s="206">
        <f>IF(L27=TRUE,1,0)</f>
        <v>0</v>
      </c>
      <c r="AG27" s="206">
        <f>IF(L27=TRUE,1,0)</f>
        <v>0</v>
      </c>
      <c r="AH27" s="206">
        <f>IF(L27=TRUE,1,0)</f>
        <v>0</v>
      </c>
      <c r="AI27" s="206">
        <f>IF(L27=TRUE,1,0)</f>
        <v>0</v>
      </c>
      <c r="AJ27" s="206">
        <f>IF(L27=TRUE,1,0)</f>
        <v>0</v>
      </c>
      <c r="AK27" s="206">
        <f>IF(L27=TRUE,1,0)</f>
        <v>0</v>
      </c>
      <c r="AL27" s="206">
        <f>IF(L27=TRUE,1,0)</f>
        <v>0</v>
      </c>
    </row>
    <row r="28" spans="1:38" s="116" customFormat="1" ht="23" thickBot="1">
      <c r="A28" s="115"/>
      <c r="B28" s="362" t="str">
        <f>'ONR 4'!B2:C2</f>
        <v>ONR 4  -  RESILIENCE ET STRATEGIE :  S'engager vers un numérique responsable, indispensable pour assurer la résilience des organisations</v>
      </c>
      <c r="C28" s="363"/>
      <c r="D28" s="363"/>
      <c r="E28" s="363"/>
      <c r="F28" s="363"/>
      <c r="G28" s="363"/>
      <c r="H28" s="363"/>
      <c r="I28" s="363"/>
      <c r="J28" s="363"/>
      <c r="K28" s="363"/>
      <c r="L28" s="363"/>
      <c r="M28" s="363"/>
      <c r="N28" s="363"/>
      <c r="O28" s="363"/>
      <c r="P28" s="363"/>
      <c r="Q28" s="363"/>
      <c r="R28" s="363"/>
      <c r="S28" s="363"/>
      <c r="T28" s="363"/>
      <c r="U28" s="363"/>
      <c r="V28" s="363"/>
      <c r="W28" s="363"/>
      <c r="X28" s="363"/>
      <c r="Y28" s="363"/>
      <c r="Z28" s="380"/>
      <c r="AB28" s="116" t="str">
        <f>B28</f>
        <v>ONR 4  -  RESILIENCE ET STRATEGIE :  S'engager vers un numérique responsable, indispensable pour assurer la résilience des organisations</v>
      </c>
      <c r="AC28" s="116">
        <f>SUMPRODUCT(--(B29:B32&lt;&gt;""))</f>
        <v>4</v>
      </c>
      <c r="AD28" s="116">
        <f>AC28-AE28</f>
        <v>0</v>
      </c>
      <c r="AE28" s="117">
        <f>SUM(AE29:AE32)</f>
        <v>4</v>
      </c>
      <c r="AF28" s="117">
        <f>SUM(AF29:AF32)</f>
        <v>0</v>
      </c>
      <c r="AG28" s="117">
        <f>SUM(AG29:AG32)</f>
        <v>0</v>
      </c>
      <c r="AH28" s="117">
        <f>SUM(AH29:AH32)</f>
        <v>0</v>
      </c>
      <c r="AI28" s="117">
        <f>SUM(AI29:AI32)</f>
        <v>0</v>
      </c>
      <c r="AJ28" s="117">
        <f>SUM(AJ29:AJ32)</f>
        <v>0</v>
      </c>
      <c r="AK28" s="117">
        <f>SUM(AK29:AK32)</f>
        <v>0</v>
      </c>
      <c r="AL28" s="117">
        <f>SUM(AL29:AL32)</f>
        <v>0</v>
      </c>
    </row>
    <row r="29" spans="1:38" s="205" customFormat="1" ht="57">
      <c r="A29" s="199"/>
      <c r="B29" s="218" t="str">
        <f>'ONR 4'!B7</f>
        <v>4.1</v>
      </c>
      <c r="C29" s="218" t="str">
        <f>'ONR 4'!C7</f>
        <v>En respectant l'application des normes communes pour collecter, rassembler, analyser et partager les données sur les impacts des Technologie de l’Information et de la Communication (TIC) .</v>
      </c>
      <c r="D29" s="223">
        <f>'ONR 4'!D7</f>
        <v>0</v>
      </c>
      <c r="E29" s="267">
        <f>'ONR 4'!E7</f>
        <v>0</v>
      </c>
      <c r="F29" s="274">
        <f>'ONR 4'!F7</f>
        <v>0</v>
      </c>
      <c r="G29" s="200">
        <f>'ONR 4'!G7</f>
        <v>0</v>
      </c>
      <c r="H29" s="202">
        <f>'ONR 4'!H7</f>
        <v>0</v>
      </c>
      <c r="I29" s="225">
        <f>'ONR 4'!I7</f>
        <v>0</v>
      </c>
      <c r="J29" s="218">
        <f>S29</f>
        <v>0</v>
      </c>
      <c r="K29" s="227">
        <f t="shared" ref="K29:K30" si="79">E29*10+F29</f>
        <v>0</v>
      </c>
      <c r="L29" s="227" t="b">
        <f>OR(K29=31)</f>
        <v>0</v>
      </c>
      <c r="M29" s="227" t="b">
        <f>OR(K29=21,K29=32)</f>
        <v>0</v>
      </c>
      <c r="N29" s="227" t="b">
        <f>OR(K29=22,K29=33)</f>
        <v>0</v>
      </c>
      <c r="O29" s="227" t="b">
        <f>OR(K29=11,K29=12)</f>
        <v>0</v>
      </c>
      <c r="P29" s="227" t="b">
        <f>OR(K29=23,K29=34)</f>
        <v>0</v>
      </c>
      <c r="Q29" s="227" t="b">
        <f>OR(K29=13,K29=14,K29=24)</f>
        <v>0</v>
      </c>
      <c r="R29" s="227" t="b">
        <f>OR(K29=1,K29=2,K29=3,K29=4)</f>
        <v>0</v>
      </c>
      <c r="S29" s="228">
        <f t="shared" ref="S29:S30" si="80">IF(COUNTA(E29:F29)&lt;2,"",(IF(L29=TRUE,$L$3,IF(M29=TRUE,$M$3,IF(N29=TRUE,$N$3,IF(O29=TRUE,$O$3,IF(P29=TRUE,$P$3,IF(Q29=TRUE,$Q$3,IF(R29=TRUE,$R$3,0)))))))))</f>
        <v>0</v>
      </c>
      <c r="T29" s="226">
        <f t="shared" ref="T29:T30" si="81">IF(COUNTA(E29:F29)&lt;2,"",(IF(L29=TRUE,6,IF(M29=TRUE,5,IF(N29=TRUE,4,IF(O29=TRUE,3,IF(P29=TRUE,2,IF(Q29=TRUE,1,IF(R29=TRUE,0,0)))))))))</f>
        <v>0</v>
      </c>
      <c r="U29" s="242">
        <f t="shared" ref="U29:U30" si="82">T29*10+H29</f>
        <v>0</v>
      </c>
      <c r="V29" s="229">
        <f>G29</f>
        <v>0</v>
      </c>
      <c r="W29" s="203">
        <f>'ONR 4'!V7</f>
        <v>0</v>
      </c>
      <c r="X29" s="204">
        <f>'ONR 4'!W7</f>
        <v>0</v>
      </c>
      <c r="Y29" s="230">
        <f>I29</f>
        <v>0</v>
      </c>
      <c r="Z29" s="230">
        <f>D29</f>
        <v>0</v>
      </c>
      <c r="AE29" s="206">
        <f>IF(K29=0,1,0)</f>
        <v>1</v>
      </c>
      <c r="AF29" s="206">
        <f t="shared" ref="AF29:AL32" si="83">IF(L29=TRUE,1,0)</f>
        <v>0</v>
      </c>
      <c r="AG29" s="206">
        <f t="shared" si="83"/>
        <v>0</v>
      </c>
      <c r="AH29" s="206">
        <f t="shared" si="83"/>
        <v>0</v>
      </c>
      <c r="AI29" s="206">
        <f t="shared" si="83"/>
        <v>0</v>
      </c>
      <c r="AJ29" s="206">
        <f t="shared" si="83"/>
        <v>0</v>
      </c>
      <c r="AK29" s="206">
        <f t="shared" si="83"/>
        <v>0</v>
      </c>
      <c r="AL29" s="206">
        <f t="shared" si="83"/>
        <v>0</v>
      </c>
    </row>
    <row r="30" spans="1:38" s="205" customFormat="1" ht="57">
      <c r="A30" s="199"/>
      <c r="B30" s="219" t="str">
        <f>'ONR 4'!B8</f>
        <v>4.2</v>
      </c>
      <c r="C30" s="219" t="str">
        <f>'ONR 4'!C8</f>
        <v>En participant à une démarche collaborative de conception et d’évaluation des services numériques en adéquation avec les réels besoins.</v>
      </c>
      <c r="D30" s="231">
        <f>'ONR 4'!D8</f>
        <v>0</v>
      </c>
      <c r="E30" s="268">
        <f>'ONR 4'!E8</f>
        <v>0</v>
      </c>
      <c r="F30" s="275">
        <f>'ONR 4'!F8</f>
        <v>0</v>
      </c>
      <c r="G30" s="207">
        <f>'ONR 4'!G8</f>
        <v>0</v>
      </c>
      <c r="H30" s="201">
        <f>'ONR 4'!H8</f>
        <v>0</v>
      </c>
      <c r="I30" s="224">
        <f>'ONR 4'!I8</f>
        <v>0</v>
      </c>
      <c r="J30" s="219">
        <f t="shared" ref="J30:J38" si="84">S30</f>
        <v>0</v>
      </c>
      <c r="K30" s="233">
        <f t="shared" si="79"/>
        <v>0</v>
      </c>
      <c r="L33" s="233" t="b">
        <f t="shared" ref="L33" si="85">OR(K30=31)</f>
        <v>0</v>
      </c>
      <c r="M30" s="233" t="b">
        <f t="shared" ref="M30" si="86">OR(K30=21,K30=32)</f>
        <v>0</v>
      </c>
      <c r="N30" s="233" t="b">
        <f t="shared" ref="N30" si="87">OR(K30=22,K30=33)</f>
        <v>0</v>
      </c>
      <c r="O30" s="233" t="b">
        <f t="shared" ref="O30" si="88">OR(K30=11,K30=12)</f>
        <v>0</v>
      </c>
      <c r="P30" s="233" t="b">
        <f t="shared" ref="P30" si="89">OR(K30=23,K30=34)</f>
        <v>0</v>
      </c>
      <c r="Q30" s="233" t="b">
        <f t="shared" ref="Q30" si="90">OR(K30=13,K30=14,K30=24)</f>
        <v>0</v>
      </c>
      <c r="R30" s="233" t="b">
        <f t="shared" ref="R30" si="91">OR(K30=1,K30=2,K30=3,K30=4)</f>
        <v>0</v>
      </c>
      <c r="S30" s="234">
        <f t="shared" si="80"/>
        <v>0</v>
      </c>
      <c r="T33" s="232">
        <f t="shared" si="81"/>
        <v>0</v>
      </c>
      <c r="U33" s="243">
        <f t="shared" si="82"/>
        <v>0</v>
      </c>
      <c r="V33" s="235">
        <f>G30</f>
        <v>0</v>
      </c>
      <c r="W30" s="142">
        <f>'ONR 4'!V8</f>
        <v>0</v>
      </c>
      <c r="X30" s="204">
        <f>'ONR 4'!W8</f>
        <v>0</v>
      </c>
      <c r="Y30" s="236">
        <f>I30</f>
        <v>0</v>
      </c>
      <c r="Z30" s="236">
        <f>D30</f>
        <v>0</v>
      </c>
      <c r="AE30" s="206">
        <f>IF(K30=0,1,0)</f>
        <v>1</v>
      </c>
      <c r="AF30" s="206">
        <f t="shared" si="83"/>
        <v>0</v>
      </c>
      <c r="AG30" s="206">
        <f t="shared" si="83"/>
        <v>0</v>
      </c>
      <c r="AH30" s="206">
        <f t="shared" si="83"/>
        <v>0</v>
      </c>
      <c r="AI30" s="206">
        <f t="shared" si="83"/>
        <v>0</v>
      </c>
      <c r="AJ30" s="206">
        <f t="shared" si="83"/>
        <v>0</v>
      </c>
      <c r="AK30" s="206">
        <f t="shared" si="83"/>
        <v>0</v>
      </c>
      <c r="AL30" s="206">
        <f t="shared" si="83"/>
        <v>0</v>
      </c>
    </row>
    <row r="31" spans="1:38" s="205" customFormat="1" ht="57">
      <c r="A31" s="199"/>
      <c r="B31" s="219" t="str">
        <f>'ONR 4'!B9</f>
        <v>4.3</v>
      </c>
      <c r="C31" s="219" t="str">
        <f>'ONR 4'!C9</f>
        <v>En restant innovant dans l’utilisation de nouveaux outils numériques et assurer leur analyse d'impact avec transparence et visibilité pour les utilisatuer</v>
      </c>
      <c r="D31" s="231">
        <f>'ONR 4'!D9</f>
        <v>0</v>
      </c>
      <c r="E31" s="268">
        <f>'ONR 4'!E9</f>
        <v>0</v>
      </c>
      <c r="F31" s="275">
        <f>'ONR 4'!F9</f>
        <v>0</v>
      </c>
      <c r="G31" s="207">
        <f>'ONR 4'!G9</f>
        <v>0</v>
      </c>
      <c r="H31" s="201">
        <f>'ONR 4'!H9</f>
        <v>0</v>
      </c>
      <c r="I31" s="224">
        <f>'ONR 4'!I9</f>
        <v>0</v>
      </c>
      <c r="J31" s="219">
        <f t="shared" ref="J31:J32" si="92">S31</f>
        <v>0</v>
      </c>
      <c r="K31" s="233">
        <f t="shared" ref="K31:K32" si="93">E31*10+F31</f>
        <v>0</v>
      </c>
      <c r="L31" s="233" t="b">
        <f t="shared" ref="L31:L32" si="94">OR(K31=31)</f>
        <v>0</v>
      </c>
      <c r="M31" s="233" t="b">
        <f t="shared" ref="M31:M32" si="95">OR(K31=21,K31=32)</f>
        <v>0</v>
      </c>
      <c r="N31" s="233" t="b">
        <f t="shared" ref="N31:N32" si="96">OR(K31=22,K31=33)</f>
        <v>0</v>
      </c>
      <c r="O31" s="233" t="b">
        <f t="shared" ref="O31:O32" si="97">OR(K31=11,K31=12)</f>
        <v>0</v>
      </c>
      <c r="P31" s="233" t="b">
        <f t="shared" ref="P31:P32" si="98">OR(K31=23,K31=34)</f>
        <v>0</v>
      </c>
      <c r="Q31" s="233" t="b">
        <f t="shared" ref="Q31:Q32" si="99">OR(K31=13,K31=14,K31=24)</f>
        <v>0</v>
      </c>
      <c r="R31" s="233" t="b">
        <f t="shared" ref="R31:R32" si="100">OR(K31=1,K31=2,K31=3,K31=4)</f>
        <v>0</v>
      </c>
      <c r="S31" s="234">
        <f t="shared" ref="S31:S32" si="101">IF(COUNTA(E31:F31)&lt;2,"",(IF(L31=TRUE,$L$3,IF(M31=TRUE,$M$3,IF(N31=TRUE,$N$3,IF(O31=TRUE,$O$3,IF(P31=TRUE,$P$3,IF(Q31=TRUE,$Q$3,IF(R31=TRUE,$R$3,0)))))))))</f>
        <v>0</v>
      </c>
      <c r="T31" s="232">
        <f t="shared" ref="T31:T32" si="102">IF(COUNTA(E31:F31)&lt;2,"",(IF(L31=TRUE,6,IF(M31=TRUE,5,IF(N31=TRUE,4,IF(O31=TRUE,3,IF(P31=TRUE,2,IF(Q31=TRUE,1,IF(R31=TRUE,0,0)))))))))</f>
        <v>0</v>
      </c>
      <c r="U31" s="243">
        <f t="shared" ref="U31:U32" si="103">T31*10+H31</f>
        <v>0</v>
      </c>
      <c r="V31" s="235">
        <f>G31</f>
        <v>0</v>
      </c>
      <c r="W31" s="142">
        <f>'ONR 4'!V9</f>
        <v>0</v>
      </c>
      <c r="X31" s="204">
        <f>'ONR 4'!W9</f>
        <v>0</v>
      </c>
      <c r="Y31" s="236">
        <f>I31</f>
        <v>0</v>
      </c>
      <c r="Z31" s="236">
        <f>D31</f>
        <v>0</v>
      </c>
      <c r="AE31" s="206">
        <f>IF(K31=0,1,0)</f>
        <v>1</v>
      </c>
      <c r="AF31" s="206">
        <f t="shared" si="83"/>
        <v>0</v>
      </c>
      <c r="AG31" s="206">
        <f t="shared" si="83"/>
        <v>0</v>
      </c>
      <c r="AH31" s="206">
        <f t="shared" si="83"/>
        <v>0</v>
      </c>
      <c r="AI31" s="206">
        <f t="shared" si="83"/>
        <v>0</v>
      </c>
      <c r="AJ31" s="206">
        <f t="shared" si="83"/>
        <v>0</v>
      </c>
      <c r="AK31" s="206">
        <f t="shared" si="83"/>
        <v>0</v>
      </c>
      <c r="AL31" s="206">
        <f t="shared" si="83"/>
        <v>0</v>
      </c>
    </row>
    <row r="32" spans="1:38" s="205" customFormat="1" ht="20" thickBot="1">
      <c r="A32" s="199"/>
      <c r="B32" s="219" t="str">
        <f>'ONR 4'!B10</f>
        <v>4.4</v>
      </c>
      <c r="C32" s="219" t="str">
        <f>'ONR 4'!C10</f>
        <v>En permettant et en garrantissant plus de souveraineté numérique</v>
      </c>
      <c r="D32" s="231">
        <f>'ONR 4'!D10</f>
        <v>0</v>
      </c>
      <c r="E32" s="268">
        <f>'ONR 4'!E10</f>
        <v>0</v>
      </c>
      <c r="F32" s="275">
        <f>'ONR 4'!F10</f>
        <v>0</v>
      </c>
      <c r="G32" s="207">
        <f>'ONR 4'!G10</f>
        <v>0</v>
      </c>
      <c r="H32" s="201">
        <f>'ONR 4'!H10</f>
        <v>0</v>
      </c>
      <c r="I32" s="224">
        <f>'ONR 4'!I10</f>
        <v>0</v>
      </c>
      <c r="J32" s="219">
        <f t="shared" si="92"/>
        <v>0</v>
      </c>
      <c r="K35" s="233">
        <f t="shared" si="93"/>
        <v>0</v>
      </c>
      <c r="L35" s="233" t="b">
        <f t="shared" si="94"/>
        <v>0</v>
      </c>
      <c r="M35" s="233" t="b">
        <f t="shared" si="95"/>
        <v>0</v>
      </c>
      <c r="N35" s="233" t="b">
        <f t="shared" si="96"/>
        <v>0</v>
      </c>
      <c r="O35" s="233" t="b">
        <f t="shared" si="97"/>
        <v>0</v>
      </c>
      <c r="P35" s="233" t="b">
        <f t="shared" si="98"/>
        <v>0</v>
      </c>
      <c r="Q35" s="233" t="b">
        <f t="shared" si="99"/>
        <v>0</v>
      </c>
      <c r="R35" s="233" t="b">
        <f t="shared" si="100"/>
        <v>0</v>
      </c>
      <c r="S35" s="234">
        <f t="shared" si="101"/>
        <v>0</v>
      </c>
      <c r="T35" s="232">
        <f t="shared" si="102"/>
        <v>0</v>
      </c>
      <c r="U35" s="243">
        <f t="shared" si="103"/>
        <v>0</v>
      </c>
      <c r="V35" s="235">
        <f>G32</f>
        <v>0</v>
      </c>
      <c r="W32" s="142">
        <f>'ONR 4'!V10</f>
        <v>0</v>
      </c>
      <c r="X32" s="204">
        <f>'ONR 4'!W10</f>
        <v>0</v>
      </c>
      <c r="Y32" s="236">
        <f>I32</f>
        <v>0</v>
      </c>
      <c r="Z32" s="236">
        <f>D32</f>
        <v>0</v>
      </c>
      <c r="AE32" s="206">
        <f>IF(K32=0,1,0)</f>
        <v>1</v>
      </c>
      <c r="AF32" s="206">
        <f t="shared" si="83"/>
        <v>0</v>
      </c>
      <c r="AG32" s="206">
        <f t="shared" si="83"/>
        <v>0</v>
      </c>
      <c r="AH32" s="206">
        <f t="shared" si="83"/>
        <v>0</v>
      </c>
      <c r="AI32" s="206">
        <f t="shared" si="83"/>
        <v>0</v>
      </c>
      <c r="AJ32" s="206">
        <f t="shared" si="83"/>
        <v>0</v>
      </c>
      <c r="AK32" s="206">
        <f t="shared" si="83"/>
        <v>0</v>
      </c>
      <c r="AL32" s="206">
        <f t="shared" si="83"/>
        <v>0</v>
      </c>
    </row>
    <row r="33" spans="1:38" s="116" customFormat="1" ht="23" thickBot="1">
      <c r="A33" s="115"/>
      <c r="B33" s="362" t="str">
        <f>'ONR 5'!B2:C2</f>
        <v>ONR 5  -  MANAGEMENT :  S'engager à faire les choses avec sens en respectant et en préservant les ressources qui produisent</v>
      </c>
      <c r="C33" s="363"/>
      <c r="D33" s="363"/>
      <c r="E33" s="363"/>
      <c r="F33" s="363"/>
      <c r="G33" s="363"/>
      <c r="H33" s="363"/>
      <c r="I33" s="363"/>
      <c r="J33" s="363"/>
      <c r="K33" s="363"/>
      <c r="L33" s="363"/>
      <c r="M33" s="363"/>
      <c r="N33" s="363"/>
      <c r="O33" s="363"/>
      <c r="P33" s="363"/>
      <c r="Q33" s="363"/>
      <c r="R33" s="363"/>
      <c r="S33" s="363"/>
      <c r="T33" s="363"/>
      <c r="U33" s="363"/>
      <c r="V33" s="363"/>
      <c r="W33" s="363"/>
      <c r="X33" s="363"/>
      <c r="Y33" s="363"/>
      <c r="Z33" s="364"/>
      <c r="AB33" s="116" t="str">
        <f>B33</f>
        <v>ONR 5  -  MANAGEMENT :  S'engager à faire les choses avec sens en respectant et en préservant les ressources qui produisent</v>
      </c>
      <c r="AC33" s="116">
        <f>SUMPRODUCT(--(B34:B40&lt;&gt;""))</f>
        <v>6</v>
      </c>
      <c r="AD33" s="116">
        <f>AC33-AE33</f>
        <v>0</v>
      </c>
      <c r="AE33" s="117">
        <f>SUM(AE34:AE40)</f>
        <v>6</v>
      </c>
      <c r="AF33" s="117">
        <f>SUM(AF34:AF40)</f>
        <v>0</v>
      </c>
      <c r="AG33" s="117">
        <f>SUM(AG34:AG40)</f>
        <v>0</v>
      </c>
      <c r="AH33" s="117">
        <f>SUM(AH34:AH40)</f>
        <v>0</v>
      </c>
      <c r="AI33" s="117">
        <f>SUM(AI34:AI40)</f>
        <v>0</v>
      </c>
      <c r="AJ33" s="117">
        <f>SUM(AJ34:AJ40)</f>
        <v>0</v>
      </c>
      <c r="AK33" s="117">
        <f>SUM(AK34:AK40)</f>
        <v>0</v>
      </c>
      <c r="AL33" s="117">
        <f>SUM(AL34:AL40)</f>
        <v>0</v>
      </c>
    </row>
    <row r="34" spans="1:38" s="205" customFormat="1" ht="38">
      <c r="A34" s="199"/>
      <c r="B34" s="218" t="str">
        <f>'ONR 5'!B7</f>
        <v>5.1</v>
      </c>
      <c r="C34" s="218" t="str">
        <f>'ONR 5'!C7</f>
        <v>En incluant l’innovation sociale dans la définition de nouveaux systèmes et services numériques.</v>
      </c>
      <c r="D34" s="223">
        <f>'ONR 5'!D7</f>
        <v>0</v>
      </c>
      <c r="E34" s="272">
        <f>'ONR 5'!E7</f>
        <v>0</v>
      </c>
      <c r="F34" s="279">
        <f>'ONR 5'!F7</f>
        <v>0</v>
      </c>
      <c r="G34" s="200">
        <f>'ONR 5'!G7</f>
        <v>0</v>
      </c>
      <c r="H34" s="216">
        <f>'ONR 5'!H7</f>
        <v>0</v>
      </c>
      <c r="I34" s="225">
        <f>'ONR 5'!I7</f>
        <v>0</v>
      </c>
      <c r="J34" s="220">
        <f t="shared" si="84"/>
        <v>0</v>
      </c>
      <c r="K37" s="227">
        <f t="shared" ref="K37:K38" si="105">E34*10+F34</f>
        <v>0</v>
      </c>
      <c r="L34" s="227" t="b">
        <f>OR(K34=31)</f>
        <v>0</v>
      </c>
      <c r="M34" s="227" t="b">
        <f>OR(K34=21,K34=32)</f>
        <v>0</v>
      </c>
      <c r="N34" s="227" t="b">
        <f>OR(K34=22,K34=33)</f>
        <v>0</v>
      </c>
      <c r="O34" s="227" t="b">
        <f>OR(K34=11,K34=12)</f>
        <v>0</v>
      </c>
      <c r="P34" s="227" t="b">
        <f>OR(K34=23,K34=34)</f>
        <v>0</v>
      </c>
      <c r="Q34" s="227" t="b">
        <f>OR(K34=13,K34=14,K34=24)</f>
        <v>0</v>
      </c>
      <c r="R34" s="227" t="b">
        <f>OR(K34=1,K34=2,K34=3,K34=4)</f>
        <v>0</v>
      </c>
      <c r="S34" s="228">
        <f t="shared" ref="S34:S38" si="106">IF(COUNTA(E34:F34)&lt;2,"",(IF(L34=TRUE,$L$3,IF(M34=TRUE,$M$3,IF(N34=TRUE,$N$3,IF(O34=TRUE,$O$3,IF(P34=TRUE,$P$3,IF(Q34=TRUE,$Q$3,IF(R34=TRUE,$R$3,0)))))))))</f>
        <v>0</v>
      </c>
      <c r="T34" s="226">
        <f t="shared" ref="T34:T38" si="107">IF(COUNTA(E34:F34)&lt;2,"",(IF(L34=TRUE,6,IF(M34=TRUE,5,IF(N34=TRUE,4,IF(O34=TRUE,3,IF(P34=TRUE,2,IF(Q34=TRUE,1,IF(R34=TRUE,0,0)))))))))</f>
        <v>0</v>
      </c>
      <c r="U34" s="242">
        <f t="shared" ref="U34:U38" si="108">T34*10+H34</f>
        <v>0</v>
      </c>
      <c r="V34" s="229">
        <f t="shared" ref="V34:V38" si="109">G34</f>
        <v>0</v>
      </c>
      <c r="W34" s="203">
        <f>'ONR 5'!V7</f>
        <v>0</v>
      </c>
      <c r="X34" s="204">
        <f>'ONR 5'!W7</f>
        <v>0</v>
      </c>
      <c r="Y34" s="257">
        <f t="shared" ref="Y34:Y38" si="110">I34</f>
        <v>0</v>
      </c>
      <c r="Z34" s="256">
        <f>D34</f>
        <v>0</v>
      </c>
      <c r="AE34" s="206">
        <f t="shared" ref="AE34:AE38" si="111">IF(K34=0,1,0)</f>
        <v>1</v>
      </c>
      <c r="AF34" s="206">
        <f t="shared" ref="AF34:AF38" si="112">IF(L34=TRUE,1,0)</f>
        <v>0</v>
      </c>
      <c r="AG34" s="206">
        <f t="shared" ref="AG34:AG38" si="113">IF(M34=TRUE,1,0)</f>
        <v>0</v>
      </c>
      <c r="AH34" s="206">
        <f t="shared" ref="AH34:AH38" si="114">IF(N34=TRUE,1,0)</f>
        <v>0</v>
      </c>
      <c r="AI34" s="206">
        <f t="shared" ref="AI34:AI38" si="115">IF(O34=TRUE,1,0)</f>
        <v>0</v>
      </c>
      <c r="AJ34" s="206">
        <f t="shared" ref="AJ34:AJ38" si="116">IF(P34=TRUE,1,0)</f>
        <v>0</v>
      </c>
      <c r="AK34" s="206">
        <f t="shared" ref="AK34:AK38" si="117">IF(Q34=TRUE,1,0)</f>
        <v>0</v>
      </c>
      <c r="AL34" s="206">
        <f t="shared" ref="AL34:AL38" si="118">IF(R34=TRUE,1,0)</f>
        <v>0</v>
      </c>
    </row>
    <row r="35" spans="1:38" s="205" customFormat="1" ht="38">
      <c r="A35" s="199"/>
      <c r="B35" s="219" t="str">
        <f>'ONR 5'!B8</f>
        <v>5.2</v>
      </c>
      <c r="C35" s="218" t="str">
        <f>'ONR 5'!C8</f>
        <v>En valorisant les initiatives internes qui mobilisent l’organisation, favorisent les collaborations transversales et le bien-être au travail.</v>
      </c>
      <c r="D35" s="231">
        <f>'ONR 5'!D8</f>
        <v>0</v>
      </c>
      <c r="E35" s="272">
        <f>'ONR 5'!E8</f>
        <v>0</v>
      </c>
      <c r="F35" s="279">
        <f>'ONR 5'!F8</f>
        <v>0</v>
      </c>
      <c r="G35" s="207">
        <f>'ONR 5'!G8</f>
        <v>0</v>
      </c>
      <c r="H35" s="216">
        <f>'ONR 5'!H8</f>
        <v>0</v>
      </c>
      <c r="I35" s="224">
        <f>'ONR 5'!I8</f>
        <v>0</v>
      </c>
      <c r="J35" s="220">
        <f t="shared" si="84"/>
        <v>0</v>
      </c>
      <c r="K38" s="233">
        <f t="shared" si="105"/>
        <v>0</v>
      </c>
      <c r="L38" s="233" t="b">
        <f t="shared" ref="L38:L38" si="119">OR(K35=31)</f>
        <v>0</v>
      </c>
      <c r="M35" s="233" t="b">
        <f t="shared" ref="M35:M38" si="120">OR(K35=21,K35=32)</f>
        <v>0</v>
      </c>
      <c r="N35" s="233" t="b">
        <f t="shared" ref="N35:N38" si="121">OR(K35=22,K35=33)</f>
        <v>0</v>
      </c>
      <c r="O35" s="233" t="b">
        <f t="shared" ref="O35:O38" si="122">OR(K35=11,K35=12)</f>
        <v>0</v>
      </c>
      <c r="P35" s="233" t="b">
        <f t="shared" ref="P35:P38" si="123">OR(K35=23,K35=34)</f>
        <v>0</v>
      </c>
      <c r="Q35" s="233" t="b">
        <f t="shared" ref="Q35:Q38" si="124">OR(K35=13,K35=14,K35=24)</f>
        <v>0</v>
      </c>
      <c r="R35" s="233" t="b">
        <f t="shared" ref="R35:R38" si="125">OR(K35=1,K35=2,K35=3,K35=4)</f>
        <v>0</v>
      </c>
      <c r="S35" s="234">
        <f t="shared" si="106"/>
        <v>0</v>
      </c>
      <c r="T38" s="232">
        <f t="shared" si="107"/>
        <v>0</v>
      </c>
      <c r="U38" s="243">
        <f t="shared" si="108"/>
        <v>0</v>
      </c>
      <c r="V38" s="235">
        <f t="shared" si="109"/>
        <v>0</v>
      </c>
      <c r="W38" s="142">
        <f>'ONR 5'!V8</f>
        <v>0</v>
      </c>
      <c r="X35" s="204">
        <f>'ONR 5'!W8</f>
        <v>0</v>
      </c>
      <c r="Y35" s="258">
        <f t="shared" si="110"/>
        <v>0</v>
      </c>
      <c r="Z38" s="256">
        <f t="shared" ref="Z38:Z38" si="126">D35</f>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s="205" customFormat="1" ht="38">
      <c r="A36" s="199"/>
      <c r="B36" s="219" t="str">
        <f>'ONR 5'!B9</f>
        <v>5.3</v>
      </c>
      <c r="C36" s="218" t="str">
        <f>'ONR 5'!C9</f>
        <v>En sollicitant l’engagement et l’expertise des parties prenantes (sur les sujets environnementaux, sociaux et sociétaux)</v>
      </c>
      <c r="D36" s="231">
        <f>'ONR 5'!D9</f>
        <v>0</v>
      </c>
      <c r="E36" s="272">
        <f>'ONR 5'!E9</f>
        <v>0</v>
      </c>
      <c r="F36" s="279">
        <f>'ONR 5'!F9</f>
        <v>0</v>
      </c>
      <c r="G36" s="207">
        <f>'ONR 5'!G9</f>
        <v>0</v>
      </c>
      <c r="H36" s="216">
        <f>'ONR 5'!H9</f>
        <v>0</v>
      </c>
      <c r="I36" s="224">
        <f>'ONR 5'!I9</f>
        <v>0</v>
      </c>
      <c r="J36" s="220">
        <f t="shared" si="84"/>
        <v>0</v>
      </c>
      <c r="K39" s="233">
        <f t="shared" si="105"/>
        <v>0</v>
      </c>
      <c r="L39" s="233" t="b">
        <f t="shared" si="119"/>
        <v>0</v>
      </c>
      <c r="M39" s="233" t="b">
        <f t="shared" si="120"/>
        <v>0</v>
      </c>
      <c r="N39" s="233" t="b">
        <f t="shared" si="121"/>
        <v>0</v>
      </c>
      <c r="O39" s="233" t="b">
        <f t="shared" si="122"/>
        <v>0</v>
      </c>
      <c r="P39" s="233" t="b">
        <f t="shared" si="123"/>
        <v>0</v>
      </c>
      <c r="Q39" s="233" t="b">
        <f t="shared" si="124"/>
        <v>0</v>
      </c>
      <c r="R39" s="233" t="b">
        <f t="shared" si="125"/>
        <v>0</v>
      </c>
      <c r="S39" s="234">
        <f t="shared" si="106"/>
        <v>0</v>
      </c>
      <c r="T39" s="232">
        <f t="shared" si="107"/>
        <v>0</v>
      </c>
      <c r="U39" s="243">
        <f t="shared" si="108"/>
        <v>0</v>
      </c>
      <c r="V39" s="235">
        <f t="shared" si="109"/>
        <v>0</v>
      </c>
      <c r="W39" s="142">
        <f>'ONR 5'!V9</f>
        <v>0</v>
      </c>
      <c r="X36" s="204">
        <f>'ONR 5'!W9</f>
        <v>0</v>
      </c>
      <c r="Y36" s="258">
        <f t="shared" si="110"/>
        <v>0</v>
      </c>
      <c r="Z36" s="256">
        <f t="shared" si="126"/>
        <v>0</v>
      </c>
      <c r="AE36" s="206">
        <f t="shared" si="111"/>
        <v>1</v>
      </c>
      <c r="AF36" s="206">
        <f t="shared" si="112"/>
        <v>0</v>
      </c>
      <c r="AG36" s="206">
        <f t="shared" si="113"/>
        <v>0</v>
      </c>
      <c r="AH36" s="206">
        <f t="shared" si="114"/>
        <v>0</v>
      </c>
      <c r="AI36" s="206">
        <f t="shared" si="115"/>
        <v>0</v>
      </c>
      <c r="AJ36" s="206">
        <f t="shared" si="116"/>
        <v>0</v>
      </c>
      <c r="AK36" s="206">
        <f t="shared" si="117"/>
        <v>0</v>
      </c>
      <c r="AL36" s="206">
        <f t="shared" si="118"/>
        <v>0</v>
      </c>
    </row>
    <row r="37" spans="1:38" s="205" customFormat="1" ht="57">
      <c r="A37" s="199"/>
      <c r="B37" s="219" t="str">
        <f>'ONR 5'!B10</f>
        <v>5.4</v>
      </c>
      <c r="C37" s="218" t="str">
        <f>'ONR 5'!C10</f>
        <v>En permettant aux générations futures d’innover pour construire un monde ouvert à l’autre soucieux de l’équilibre des écosystèmes et du bien-vivre ensemble.</v>
      </c>
      <c r="D37" s="231">
        <f>'ONR 5'!D10</f>
        <v>0</v>
      </c>
      <c r="E37" s="272">
        <f>'ONR 5'!E10</f>
        <v>0</v>
      </c>
      <c r="F37" s="279">
        <f>'ONR 5'!F10</f>
        <v>0</v>
      </c>
      <c r="G37" s="207">
        <f>'ONR 5'!G10</f>
        <v>0</v>
      </c>
      <c r="H37" s="216">
        <f>'ONR 5'!H10</f>
        <v>0</v>
      </c>
      <c r="I37" s="224">
        <f>'ONR 5'!I10</f>
        <v>0</v>
      </c>
      <c r="J37" s="220">
        <f t="shared" si="84"/>
        <v>0</v>
      </c>
      <c r="K37" s="233">
        <f t="shared" si="105"/>
        <v>0</v>
      </c>
      <c r="L37" s="233" t="b">
        <f t="shared" si="119"/>
        <v>0</v>
      </c>
      <c r="M37" s="233" t="b">
        <f t="shared" si="120"/>
        <v>0</v>
      </c>
      <c r="N37" s="233" t="b">
        <f t="shared" si="121"/>
        <v>0</v>
      </c>
      <c r="O37" s="233" t="b">
        <f t="shared" si="122"/>
        <v>0</v>
      </c>
      <c r="P37" s="233" t="b">
        <f t="shared" si="123"/>
        <v>0</v>
      </c>
      <c r="Q37" s="233" t="b">
        <f t="shared" si="124"/>
        <v>0</v>
      </c>
      <c r="R37" s="233" t="b">
        <f t="shared" si="125"/>
        <v>0</v>
      </c>
      <c r="S37" s="234">
        <f t="shared" si="106"/>
        <v>0</v>
      </c>
      <c r="T37" s="232">
        <f t="shared" si="107"/>
        <v>0</v>
      </c>
      <c r="U37" s="243">
        <f t="shared" si="108"/>
        <v>0</v>
      </c>
      <c r="V37" s="235">
        <f t="shared" si="109"/>
        <v>0</v>
      </c>
      <c r="W37" s="142">
        <f>'ONR 5'!V10</f>
        <v>0</v>
      </c>
      <c r="X37" s="204">
        <f>'ONR 5'!W10</f>
        <v>0</v>
      </c>
      <c r="Y37" s="258">
        <f t="shared" si="110"/>
        <v>0</v>
      </c>
      <c r="Z37" s="256">
        <f t="shared" si="126"/>
        <v>0</v>
      </c>
      <c r="AE37" s="206">
        <f t="shared" si="111"/>
        <v>1</v>
      </c>
      <c r="AF37" s="206">
        <f t="shared" si="112"/>
        <v>0</v>
      </c>
      <c r="AG37" s="206">
        <f t="shared" si="113"/>
        <v>0</v>
      </c>
      <c r="AH37" s="206">
        <f t="shared" si="114"/>
        <v>0</v>
      </c>
      <c r="AI37" s="206">
        <f t="shared" si="115"/>
        <v>0</v>
      </c>
      <c r="AJ37" s="206">
        <f t="shared" si="116"/>
        <v>0</v>
      </c>
      <c r="AK37" s="206">
        <f t="shared" si="117"/>
        <v>0</v>
      </c>
      <c r="AL37" s="206">
        <f t="shared" si="118"/>
        <v>0</v>
      </c>
    </row>
    <row r="38" spans="1:38" s="205" customFormat="1" ht="19">
      <c r="A38" s="199"/>
      <c r="B38" s="219" t="str">
        <f>'ONR 5'!B11</f>
        <v>5.5</v>
      </c>
      <c r="C38" s="218" t="str">
        <f>'ONR 5'!C11</f>
        <v>En suivant les indicateurs de performances et de conformité</v>
      </c>
      <c r="D38" s="231">
        <f>'ONR 5'!D11</f>
        <v>0</v>
      </c>
      <c r="E38" s="268">
        <f>'ONR 5'!E11</f>
        <v>0</v>
      </c>
      <c r="F38" s="275">
        <f>'ONR 5'!F11</f>
        <v>0</v>
      </c>
      <c r="G38" s="207">
        <f>'ONR 5'!G11</f>
        <v>0</v>
      </c>
      <c r="H38" s="201">
        <f>'ONR 5'!H11</f>
        <v>0</v>
      </c>
      <c r="I38" s="224">
        <f>'ONR 5'!I11</f>
        <v>0</v>
      </c>
      <c r="J38" s="219">
        <f t="shared" si="84"/>
        <v>0</v>
      </c>
      <c r="K38" s="233">
        <f t="shared" si="105"/>
        <v>0</v>
      </c>
      <c r="L38" s="233" t="b">
        <f t="shared" si="119"/>
        <v>0</v>
      </c>
      <c r="M38" s="233" t="b">
        <f t="shared" si="120"/>
        <v>0</v>
      </c>
      <c r="N38" s="233" t="b">
        <f t="shared" si="121"/>
        <v>0</v>
      </c>
      <c r="O38" s="233" t="b">
        <f t="shared" si="122"/>
        <v>0</v>
      </c>
      <c r="P38" s="233" t="b">
        <f t="shared" si="123"/>
        <v>0</v>
      </c>
      <c r="Q38" s="233" t="b">
        <f t="shared" si="124"/>
        <v>0</v>
      </c>
      <c r="R38" s="233" t="b">
        <f t="shared" si="125"/>
        <v>0</v>
      </c>
      <c r="S38" s="234">
        <f t="shared" si="106"/>
        <v>0</v>
      </c>
      <c r="T38" s="232">
        <f t="shared" si="107"/>
        <v>0</v>
      </c>
      <c r="U38" s="243">
        <f t="shared" si="108"/>
        <v>0</v>
      </c>
      <c r="V38" s="235">
        <f t="shared" si="109"/>
        <v>0</v>
      </c>
      <c r="W38" s="142">
        <f>'ONR 5'!V11</f>
        <v>0</v>
      </c>
      <c r="X38" s="204">
        <f>'ONR 5'!W11</f>
        <v>0</v>
      </c>
      <c r="Y38" s="258">
        <f t="shared" si="110"/>
        <v>0</v>
      </c>
      <c r="Z38" s="236">
        <f t="shared" si="126"/>
        <v>0</v>
      </c>
      <c r="AE38" s="206">
        <f t="shared" si="111"/>
        <v>1</v>
      </c>
      <c r="AF38" s="206">
        <f t="shared" si="112"/>
        <v>0</v>
      </c>
      <c r="AG38" s="206">
        <f t="shared" si="113"/>
        <v>0</v>
      </c>
      <c r="AH38" s="206">
        <f t="shared" si="114"/>
        <v>0</v>
      </c>
      <c r="AI38" s="206">
        <f t="shared" si="115"/>
        <v>0</v>
      </c>
      <c r="AJ38" s="206">
        <f t="shared" si="116"/>
        <v>0</v>
      </c>
      <c r="AK38" s="206">
        <f t="shared" si="117"/>
        <v>0</v>
      </c>
      <c r="AL38" s="206">
        <f t="shared" si="118"/>
        <v>0</v>
      </c>
    </row>
    <row r="39" spans="1:38" ht="38">
      <c r="B39" s="219" t="str">
        <f>'ONR 5'!B12</f>
        <v>5.6</v>
      </c>
      <c r="C39" s="218" t="str">
        <f>'ONR 5'!C12</f>
        <v>En proposant des axes d’amélioration et d'innovation autour du NR ( y compris s'ils ne sont pas numériques )</v>
      </c>
      <c r="D39" s="231">
        <f>'ONR 5'!D12</f>
        <v>0</v>
      </c>
      <c r="E39" s="268">
        <f>'ONR 5'!E12</f>
        <v>0</v>
      </c>
      <c r="F39" s="275">
        <f>'ONR 5'!F12</f>
        <v>0</v>
      </c>
      <c r="G39" s="207">
        <f>'ONR 5'!G12</f>
        <v>0</v>
      </c>
      <c r="H39" s="201">
        <f>'ONR 5'!H12</f>
        <v>0</v>
      </c>
      <c r="I39" s="224">
        <f>'ONR 5'!I12</f>
        <v>0</v>
      </c>
      <c r="J39" s="219">
        <f t="shared" ref="J39" si="127">S39</f>
        <v>0</v>
      </c>
      <c r="K39" s="233">
        <f t="shared" ref="K39" si="128">E39*10+F39</f>
        <v>0</v>
      </c>
      <c r="L39" s="233" t="b">
        <f t="shared" ref="L39" si="129">OR(K39=31)</f>
        <v>0</v>
      </c>
      <c r="M39" s="233" t="b">
        <f t="shared" ref="M39" si="130">OR(K39=21,K39=32)</f>
        <v>0</v>
      </c>
      <c r="N39" s="233" t="b">
        <f t="shared" ref="N39" si="131">OR(K39=22,K39=33)</f>
        <v>0</v>
      </c>
      <c r="O39" s="233" t="b">
        <f t="shared" ref="O39" si="132">OR(K39=11,K39=12)</f>
        <v>0</v>
      </c>
      <c r="P39" s="233" t="b">
        <f t="shared" ref="P39" si="133">OR(K39=23,K39=34)</f>
        <v>0</v>
      </c>
      <c r="Q39" s="233" t="b">
        <f t="shared" ref="Q39" si="134">OR(K39=13,K39=14,K39=24)</f>
        <v>0</v>
      </c>
      <c r="R39" s="233" t="b">
        <f t="shared" ref="R39" si="135">OR(K39=1,K39=2,K39=3,K39=4)</f>
        <v>0</v>
      </c>
      <c r="S39" s="234">
        <f t="shared" ref="S39" si="136">IF(COUNTA(E39:F39)&lt;2,"",(IF(L39=TRUE,$L$3,IF(M39=TRUE,$M$3,IF(N39=TRUE,$N$3,IF(O39=TRUE,$O$3,IF(P39=TRUE,$P$3,IF(Q39=TRUE,$Q$3,IF(R39=TRUE,$R$3,0)))))))))</f>
        <v>0</v>
      </c>
      <c r="T39" s="232">
        <f t="shared" ref="T39" si="137">IF(COUNTA(E39:F39)&lt;2,"",(IF(L39=TRUE,6,IF(M39=TRUE,5,IF(N39=TRUE,4,IF(O39=TRUE,3,IF(P39=TRUE,2,IF(Q39=TRUE,1,IF(R39=TRUE,0,0)))))))))</f>
        <v>0</v>
      </c>
      <c r="U39" s="243">
        <f t="shared" ref="U39" si="138">T39*10+H39</f>
        <v>0</v>
      </c>
      <c r="V39" s="235">
        <f t="shared" ref="V39" si="139">G39</f>
        <v>0</v>
      </c>
      <c r="W39" s="142">
        <f>'ONR 5'!V12</f>
        <v>0</v>
      </c>
      <c r="X39" s="204">
        <f>'ONR 5'!W12</f>
        <v>0</v>
      </c>
      <c r="Y39" s="258">
        <f t="shared" ref="Y39" si="140">I39</f>
        <v>0</v>
      </c>
      <c r="Z39" s="236">
        <f t="shared" ref="Z39" si="141">D39</f>
        <v>0</v>
      </c>
      <c r="AE39" s="206">
        <f t="shared" ref="AE39" si="142">IF(K39=0,1,0)</f>
        <v>1</v>
      </c>
      <c r="AF39" s="206">
        <f t="shared" ref="AF39" si="143">IF(L39=TRUE,1,0)</f>
        <v>0</v>
      </c>
      <c r="AG39" s="206">
        <f t="shared" ref="AG39" si="144">IF(M39=TRUE,1,0)</f>
        <v>0</v>
      </c>
      <c r="AH39" s="206">
        <f t="shared" ref="AH39" si="145">IF(N39=TRUE,1,0)</f>
        <v>0</v>
      </c>
      <c r="AI39" s="206">
        <f t="shared" ref="AI39" si="146">IF(O39=TRUE,1,0)</f>
        <v>0</v>
      </c>
      <c r="AJ39" s="206">
        <f t="shared" ref="AJ39" si="147">IF(P39=TRUE,1,0)</f>
        <v>0</v>
      </c>
      <c r="AK39" s="206">
        <f t="shared" ref="AK39" si="148">IF(Q39=TRUE,1,0)</f>
        <v>0</v>
      </c>
      <c r="AL39" s="206">
        <f t="shared" ref="AL39" si="149">IF(R39=TRUE,1,0)</f>
        <v>0</v>
      </c>
    </row>
    <row r="40" spans="1:38" ht="38">
      <c r="B40" s="219" t="str">
        <f>'ONR 5'!B13</f>
        <v>0</v>
      </c>
      <c r="C40" s="218" t="str">
        <f>'ONR 5'!C13</f>
        <v>0</v>
      </c>
      <c r="D40" s="231">
        <f>'ONR 5'!D13</f>
        <v>0</v>
      </c>
      <c r="E40" s="268">
        <f>'ONR 5'!E13</f>
        <v>0</v>
      </c>
      <c r="F40" s="275">
        <f>'ONR 5'!F13</f>
        <v>0</v>
      </c>
      <c r="G40" s="207">
        <f>'ONR 5'!G13</f>
        <v>0</v>
      </c>
      <c r="H40" s="201">
        <f>'ONR 5'!H13</f>
        <v>0</v>
      </c>
      <c r="I40" s="224">
        <f>'ONR 5'!I13</f>
        <v>0</v>
      </c>
      <c r="J40" s="219">
        <f>S40</f>
        <v>0</v>
      </c>
      <c r="K40" s="233">
        <f>E40*10+F40</f>
        <v>0</v>
      </c>
      <c r="L40" s="233" t="b">
        <f>OR(K40=31)</f>
        <v>0</v>
      </c>
      <c r="M40" s="233" t="b">
        <f>OR(K40=21,K40=32)</f>
        <v>0</v>
      </c>
      <c r="N40" s="233" t="b">
        <f>OR(K40=22,K40=33)</f>
        <v>0</v>
      </c>
      <c r="O40" s="233" t="b">
        <f>OR(K40=11,K40=12)</f>
        <v>0</v>
      </c>
      <c r="P40" s="233" t="b">
        <f>OR(K40=23,K40=34)</f>
        <v>0</v>
      </c>
      <c r="Q40" s="233" t="b">
        <f>OR(K40=13,K40=14,K40=24)</f>
        <v>0</v>
      </c>
      <c r="R40" s="233" t="b">
        <f>OR(K40=1,K40=2,K40=3,K40=4)</f>
        <v>0</v>
      </c>
      <c r="S40" s="234">
        <f>IF(COUNTA(E40:F40)&lt;2,"",(IF(L40=TRUE,$L$3,IF(M40=TRUE,$M$3,IF(N40=TRUE,$N$3,IF(O40=TRUE,$O$3,IF(P40=TRUE,$P$3,IF(Q40=TRUE,$Q$3,IF(R40=TRUE,$R$3,0)))))))))</f>
        <v>0</v>
      </c>
      <c r="T40" s="232">
        <f>IF(COUNTA(E40:F40)&lt;2,"",(IF(L40=TRUE,6,IF(M40=TRUE,5,IF(N40=TRUE,4,IF(O40=TRUE,3,IF(P40=TRUE,2,IF(Q40=TRUE,1,IF(R40=TRUE,0,0)))))))))</f>
        <v>0</v>
      </c>
      <c r="U40" s="243">
        <f>T40*10+H40</f>
        <v>0</v>
      </c>
      <c r="V40" s="235">
        <f>G40</f>
        <v>0</v>
      </c>
      <c r="W40" s="142">
        <f>'ONR 5'!V13</f>
        <v>0</v>
      </c>
      <c r="X40" s="204">
        <f>'ONR 5'!W13</f>
        <v>0</v>
      </c>
      <c r="Y40" s="258">
        <f>I40</f>
        <v>0</v>
      </c>
      <c r="Z40" s="236">
        <f>D40</f>
        <v>0</v>
      </c>
      <c r="AE40" s="206">
        <f>IF(K40=0,1,0)</f>
        <v>0</v>
      </c>
      <c r="AF40" s="206">
        <f>IF(L40=TRUE,1,0)</f>
        <v>0</v>
      </c>
      <c r="AG40" s="206">
        <f>IF(M40=TRUE,1,0)</f>
        <v>0</v>
      </c>
      <c r="AH40" s="206">
        <f>IF(N40=TRUE,1,0)</f>
        <v>0</v>
      </c>
      <c r="AI40" s="206">
        <f>IF(O40=TRUE,1,0)</f>
        <v>0</v>
      </c>
      <c r="AJ40" s="206">
        <f>IF(P40=TRUE,1,0)</f>
        <v>0</v>
      </c>
      <c r="AK40" s="206">
        <f>IF(Q40=TRUE,1,0)</f>
        <v>0</v>
      </c>
      <c r="AL40" s="206">
        <f>IF(R40=TRUE,1,0)</f>
        <v>0</v>
      </c>
    </row>
  </sheetData>
  <mergeCells count="11">
    <mergeCell ref="B33:Z33"/>
    <mergeCell ref="Y2:Z2"/>
    <mergeCell ref="B2:C3"/>
    <mergeCell ref="D2:E2"/>
    <mergeCell ref="F2:G2"/>
    <mergeCell ref="H2:I2"/>
    <mergeCell ref="V2:X2"/>
    <mergeCell ref="B28:Z28"/>
    <mergeCell ref="B19:Z19"/>
    <mergeCell ref="B13:Z13"/>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2 D14:D18 D36:D40">
    <cfRule type="expression" dxfId="80" priority="5235">
      <formula>FIND("Conforter",F5)</formula>
    </cfRule>
  </conditionalFormatting>
  <conditionalFormatting sqref="D5:D12 D36:D40 V20:Z27 V29:Z32 D14:D18">
    <cfRule type="expression" dxfId="79" priority="5234" stopIfTrue="1">
      <formula>ISTEXT(D5)</formula>
    </cfRule>
  </conditionalFormatting>
  <conditionalFormatting sqref="D7:D12">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4:D18 I14:I18 D20:D27 I20:I27 D29:D32 I29:I32 D34:D40 I34:I40">
    <cfRule type="expression" dxfId="74" priority="5554">
      <formula>FIND("Réagir",E13)</formula>
    </cfRule>
    <cfRule type="expression" dxfId="73" priority="5553">
      <formula>FIND("Agir",E13)</formula>
    </cfRule>
  </conditionalFormatting>
  <conditionalFormatting sqref="D20">
    <cfRule type="expression" dxfId="72" priority="5129">
      <formula>FIND("Conforter",F18)</formula>
    </cfRule>
    <cfRule type="expression" dxfId="71" priority="5128" stopIfTrue="1">
      <formula>ISTEXT(D18)</formula>
    </cfRule>
  </conditionalFormatting>
  <conditionalFormatting sqref="D20:D27 D29:D32 D34:D40">
    <cfRule type="expression" dxfId="70" priority="5497">
      <formula>FIND("Conforter",F18)</formula>
    </cfRule>
  </conditionalFormatting>
  <conditionalFormatting sqref="D20:D27">
    <cfRule type="expression" dxfId="69" priority="5118" stopIfTrue="1">
      <formula>ISTEXT(D18)</formula>
    </cfRule>
    <cfRule type="expression" dxfId="68" priority="5119">
      <formula>FIND("Conforter",F18)</formula>
    </cfRule>
  </conditionalFormatting>
  <conditionalFormatting sqref="D22:D25">
    <cfRule type="expression" dxfId="67" priority="5121">
      <formula>FIND("Conforter",F20)</formula>
    </cfRule>
    <cfRule type="expression" dxfId="66" priority="5120" stopIfTrue="1">
      <formula>ISTEXT(D20)</formula>
    </cfRule>
  </conditionalFormatting>
  <conditionalFormatting sqref="D23">
    <cfRule type="expression" dxfId="65" priority="4990" stopIfTrue="1">
      <formula>ISTEXT(D21)</formula>
    </cfRule>
    <cfRule type="expression" dxfId="64" priority="4991">
      <formula>FIND("Conforter",F21)</formula>
    </cfRule>
  </conditionalFormatting>
  <conditionalFormatting sqref="D29">
    <cfRule type="expression" dxfId="63" priority="4860" stopIfTrue="1">
      <formula>ISTEXT(D26)</formula>
    </cfRule>
    <cfRule type="expression" dxfId="62" priority="4861">
      <formula>FIND("Conforter",F26)</formula>
    </cfRule>
  </conditionalFormatting>
  <conditionalFormatting sqref="D34">
    <cfRule type="expression" dxfId="61" priority="4573">
      <formula>FIND("Conforter",F31)</formula>
    </cfRule>
    <cfRule type="expression" dxfId="60" priority="4572" stopIfTrue="1">
      <formula>ISTEXT(D31)</formula>
    </cfRule>
  </conditionalFormatting>
  <conditionalFormatting sqref="D34:D40 D20:D27 D29:D32">
    <cfRule type="expression" dxfId="59" priority="5496" stopIfTrue="1">
      <formula>ISTEXT(D18)</formula>
    </cfRule>
  </conditionalFormatting>
  <conditionalFormatting sqref="D38:D40">
    <cfRule type="expression" dxfId="58" priority="4435">
      <formula>FIND("Conforter",F35)</formula>
    </cfRule>
    <cfRule type="expression" dxfId="57" priority="4434" stopIfTrue="1">
      <formula>ISTEXT(D35)</formula>
    </cfRule>
  </conditionalFormatting>
  <conditionalFormatting sqref="F14:H18 F34:H40">
    <cfRule type="expression" dxfId="56" priority="7">
      <formula>FIND("Conforter",I13)</formula>
    </cfRule>
  </conditionalFormatting>
  <conditionalFormatting sqref="F20:H27 F29:H32">
    <cfRule type="expression" dxfId="55" priority="5547" stopIfTrue="1">
      <formula>ISTEXT(F18)</formula>
    </cfRule>
    <cfRule type="expression" dxfId="54" priority="5548">
      <formula>FIND("Conforter",I18)</formula>
    </cfRule>
  </conditionalFormatting>
  <conditionalFormatting sqref="F34:H40 F14:H18">
    <cfRule type="expression" dxfId="53" priority="6" stopIfTrue="1">
      <formula>ISTEXT(F13)</formula>
    </cfRule>
  </conditionalFormatting>
  <conditionalFormatting sqref="G14:H18 G29:H32 G34:H40 G20:H27">
    <cfRule type="expression" dxfId="52" priority="5545">
      <formula>FIND("Agir",I13)</formula>
    </cfRule>
    <cfRule type="expression" dxfId="51" priority="5546">
      <formula>FIND("Réagir",I13)</formula>
    </cfRule>
  </conditionalFormatting>
  <conditionalFormatting sqref="G20:H27">
    <cfRule type="expression" dxfId="50" priority="5150" stopIfTrue="1">
      <formula>ISTEXT(G18)</formula>
    </cfRule>
    <cfRule type="expression" dxfId="49" priority="5151">
      <formula>FIND("Conforter",J18)</formula>
    </cfRule>
  </conditionalFormatting>
  <conditionalFormatting sqref="G34:H40 G14:H18 G29:H32">
    <cfRule type="expression" dxfId="48" priority="5544" stopIfTrue="1">
      <formula>ISTEXT(G13)</formula>
    </cfRule>
  </conditionalFormatting>
  <conditionalFormatting sqref="G36:H40">
    <cfRule type="expression" dxfId="47" priority="5393">
      <formula>FIND("Conforter",J33)</formula>
    </cfRule>
  </conditionalFormatting>
  <conditionalFormatting sqref="G38:H40">
    <cfRule type="expression" dxfId="46" priority="4437">
      <formula>FIND("Conforter",J35)</formula>
    </cfRule>
  </conditionalFormatting>
  <conditionalFormatting sqref="G20:I27">
    <cfRule type="expression" dxfId="45" priority="5152" stopIfTrue="1">
      <formula>ISTEXT(G18)</formula>
    </cfRule>
  </conditionalFormatting>
  <conditionalFormatting sqref="G36:I40">
    <cfRule type="expression" dxfId="44" priority="4594" stopIfTrue="1">
      <formula>ISTEXT(G33)</formula>
    </cfRule>
  </conditionalFormatting>
  <conditionalFormatting sqref="G38:I40">
    <cfRule type="expression" dxfId="43" priority="4436" stopIfTrue="1">
      <formula>ISTEXT(G35)</formula>
    </cfRule>
  </conditionalFormatting>
  <conditionalFormatting sqref="H14:H18">
    <cfRule type="expression" dxfId="42" priority="5327" stopIfTrue="1">
      <formula>ISTEXT(H13)</formula>
    </cfRule>
    <cfRule type="expression" dxfId="41" priority="5328">
      <formula>FIND("Conforter",J13)</formula>
    </cfRule>
  </conditionalFormatting>
  <conditionalFormatting sqref="H29">
    <cfRule type="expression" dxfId="40" priority="4838">
      <formula>FIND("Conforter",J26)</formula>
    </cfRule>
    <cfRule type="expression" dxfId="39" priority="4837" stopIfTrue="1">
      <formula>ISTEXT(H26)</formula>
    </cfRule>
  </conditionalFormatting>
  <conditionalFormatting sqref="H34:H40">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2">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4:I18 I20:I27 I29:I32 I34:I40 D20:D27 D29:D32 D34:D40 D14:D18">
    <cfRule type="expression" dxfId="31" priority="5552" stopIfTrue="1">
      <formula>ISTEXT(D13)</formula>
    </cfRule>
  </conditionalFormatting>
  <conditionalFormatting sqref="I20:I27">
    <cfRule type="expression" dxfId="30" priority="5153">
      <formula>FIND("Agir",J18)</formula>
    </cfRule>
    <cfRule type="expression" dxfId="29" priority="5154">
      <formula>FIND("Réagir",J18)</formula>
    </cfRule>
  </conditionalFormatting>
  <conditionalFormatting sqref="I30:I32">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5">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8:I40">
    <cfRule type="expression" dxfId="22" priority="4439">
      <formula>FIND("Agir",J35)</formula>
    </cfRule>
    <cfRule type="expression" dxfId="21" priority="4440">
      <formula>FIND("Réagir",J35)</formula>
    </cfRule>
  </conditionalFormatting>
  <conditionalFormatting sqref="I5:J12 I20:J27 I29:J32 I34:J40 V20:Z27 V29:Z32 V3:Z3 V5:Z12 V14:Z18 V34:Y40 V1:V2 I3:J3 I14:I18">
    <cfRule type="containsText" dxfId="20" priority="5549" stopIfTrue="1" operator="containsText" text="Première">
      <formula>NOT(ISERROR(SEARCH("Première",I1)))</formula>
    </cfRule>
  </conditionalFormatting>
  <conditionalFormatting sqref="J5:J12 J14:J18 J20:J27 J29:J32 J34:J40">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2 J20:J27 J29:J32 J34:J40">
    <cfRule type="containsText" dxfId="12" priority="5541" stopIfTrue="1" operator="containsText" text="Non">
      <formula>NOT(ISERROR(SEARCH("Non",J6)))</formula>
    </cfRule>
  </conditionalFormatting>
  <conditionalFormatting sqref="V1:V2 I3:J3 I5:J12 I14:I18 I20:J27 I29:J32 I34:J40">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2 V14:Z18 V20:Z27 V29:Z32 V34:Y40">
    <cfRule type="containsText" dxfId="9" priority="94" stopIfTrue="1" operator="containsText" text="Terme">
      <formula>NOT(ISERROR(SEARCH("Terme",V3)))</formula>
    </cfRule>
  </conditionalFormatting>
  <conditionalFormatting sqref="V5:Z12 V14:Z18 V34:Z40">
    <cfRule type="expression" dxfId="8" priority="84">
      <formula>FIND("Agir",#REF!)</formula>
    </cfRule>
    <cfRule type="expression" dxfId="7" priority="85">
      <formula>FIND("Réagir",#REF!)</formula>
    </cfRule>
  </conditionalFormatting>
  <conditionalFormatting sqref="V20:Z27 V29:Z32 V5:Z12 V14:Z18 V34:Y40 V3:Z3">
    <cfRule type="containsText" dxfId="6" priority="93" stopIfTrue="1" operator="containsText" text="Seconde">
      <formula>NOT(ISERROR(SEARCH("Seconde",V3)))</formula>
    </cfRule>
  </conditionalFormatting>
  <conditionalFormatting sqref="V20:Z27 V29:Z32">
    <cfRule type="expression" dxfId="5" priority="91">
      <formula>FIND("Réagir",#REF!)</formula>
    </cfRule>
    <cfRule type="expression" dxfId="4" priority="90">
      <formula>FIND("Agir",#REF!)</formula>
    </cfRule>
  </conditionalFormatting>
  <conditionalFormatting sqref="V34:Z40 V5:Z12 V14:Z18">
    <cfRule type="expression" dxfId="3" priority="83" stopIfTrue="1">
      <formula>ISTEXT(V5)</formula>
    </cfRule>
  </conditionalFormatting>
  <conditionalFormatting sqref="Z34:Z40">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9 H14:H18"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4:F18 F20:F27 F29:F40 F5:F12"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4:E18 E20:E27 E29:E40 E5:E12"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28</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7</v>
      </c>
      <c r="E4" s="66" t="str">
        <f>IF('Résultats détaillés'!AD4=0,"",'Résultats détaillés'!AD4)</f>
        <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détaillés'!AB13</f>
        <v>ONR 2  -   INCLUSION : S'engager à développer des services numériques accessibles à toutes et tous, inclusifs et durables</v>
      </c>
      <c r="D5" s="44">
        <f>IF('Résultats détaillés'!AC13=0,"",'Résultats détaillés'!AC13)</f>
        <v>4</v>
      </c>
      <c r="E5" s="66" t="str">
        <f>IF('Résultats détaillés'!AD13=0,"",'Résultats détaillés'!AD13)</f>
        <v/>
      </c>
      <c r="F5" s="64">
        <f>IF('Résultats détaillés'!AE13=0,"",'Résultats détaillés'!AE13)</f>
        <v>4</v>
      </c>
      <c r="G5" s="44" t="str">
        <f>IF('Résultats détaillés'!AF13=0,"",'Résultats détaillés'!AF13)</f>
        <v/>
      </c>
      <c r="H5" s="44" t="str">
        <f>IF('Résultats détaillés'!AG13=0,"",'Résultats détaillés'!AG13)</f>
        <v/>
      </c>
      <c r="I5" s="44" t="str">
        <f>IF('Résultats détaillés'!AH13=0,"",'Résultats détaillés'!AH13)</f>
        <v/>
      </c>
      <c r="J5" s="44" t="str">
        <f>IF('Résultats détaillés'!AI13=0,"",'Résultats détaillés'!AI13)</f>
        <v/>
      </c>
      <c r="K5" s="44" t="str">
        <f>IF('Résultats détaillés'!AJ13=0,"",'Résultats détaillés'!AJ13)</f>
        <v/>
      </c>
      <c r="L5" s="44" t="str">
        <f>IF('Résultats détaillés'!AK13=0,"",'Résultats détaillés'!AK13)</f>
        <v/>
      </c>
      <c r="M5" s="71" t="str">
        <f>IF('Résultats détaillés'!AL13=0,"",'Résultats détaillés'!AL13)</f>
        <v/>
      </c>
    </row>
    <row r="6" spans="2:32" ht="31.5" customHeight="1">
      <c r="B6" s="75"/>
      <c r="C6" s="70" t="str">
        <f>'Résultats détaillés'!AB19</f>
        <v xml:space="preserve">ONR 3  -  RSE : S'engager pour des pratiques numériques éthiques et responsables </v>
      </c>
      <c r="D6" s="44">
        <f>IF('Résultats détaillés'!AC19=0,"",'Résultats détaillés'!AC19)</f>
        <v>7</v>
      </c>
      <c r="E6" s="66" t="str">
        <f>IF('Résultats détaillés'!AD19=0,"",'Résultats détaillés'!AD19)</f>
        <v/>
      </c>
      <c r="F6" s="64">
        <f>IF('Résultats détaillés'!AE19=0,"",'Résultats détaillés'!AE19)</f>
        <v>7</v>
      </c>
      <c r="G6" s="44" t="str">
        <f>IF('Résultats détaillés'!AF19=0,"",'Résultats détaillés'!AF19)</f>
        <v/>
      </c>
      <c r="H6" s="44" t="str">
        <f>IF('Résultats détaillés'!AG19=0,"",'Résultats détaillés'!AG19)</f>
        <v/>
      </c>
      <c r="I6" s="44" t="str">
        <f>IF('Résultats détaillés'!AH19=0,"",'Résultats détaillés'!AH19)</f>
        <v/>
      </c>
      <c r="J6" s="44" t="str">
        <f>IF('Résultats détaillés'!AI19=0,"",'Résultats détaillés'!AI19)</f>
        <v/>
      </c>
      <c r="K6" s="44" t="str">
        <f>IF('Résultats détaillés'!AJ19=0,"",'Résultats détaillés'!AJ19)</f>
        <v/>
      </c>
      <c r="L6" s="44" t="str">
        <f>IF('Résultats détaillés'!AK19=0,"",'Résultats détaillés'!AK19)</f>
        <v/>
      </c>
      <c r="M6" s="71" t="str">
        <f>IF('Résultats détaillés'!AL19=0,"",'Résultats détaillés'!AL19)</f>
        <v/>
      </c>
    </row>
    <row r="7" spans="2:32" ht="31.5" customHeight="1">
      <c r="B7" s="76"/>
      <c r="C7" s="70" t="str">
        <f>'Résultats détaillés'!AB28</f>
        <v>ONR 4  -  RESILIENCE ET STRATEGIE :  S'engager vers un numérique responsable, indispensable pour assurer la résilience des organisations</v>
      </c>
      <c r="D7" s="44">
        <f>IF('Résultats détaillés'!AC28=0,"",'Résultats détaillés'!AC28)</f>
        <v>4</v>
      </c>
      <c r="E7" s="66" t="str">
        <f>IF('Résultats détaillés'!AD28=0,"",'Résultats détaillés'!AD28)</f>
        <v/>
      </c>
      <c r="F7" s="64">
        <f>IF('Résultats détaillés'!AE28=0,"",'Résultats détaillés'!AE28)</f>
        <v>4</v>
      </c>
      <c r="G7" s="44" t="str">
        <f>IF('Résultats détaillés'!AF28=0,"",'Résultats détaillés'!AF28)</f>
        <v/>
      </c>
      <c r="H7" s="44" t="str">
        <f>IF('Résultats détaillés'!AG28=0,"",'Résultats détaillés'!AG28)</f>
        <v/>
      </c>
      <c r="I7" s="44" t="str">
        <f>IF('Résultats détaillés'!AH28=0,"",'Résultats détaillés'!AH28)</f>
        <v/>
      </c>
      <c r="J7" s="44" t="str">
        <f>IF('Résultats détaillés'!AI28=0,"",'Résultats détaillés'!AI28)</f>
        <v/>
      </c>
      <c r="K7" s="44" t="str">
        <f>IF('Résultats détaillés'!AJ28=0,"",'Résultats détaillés'!AJ28)</f>
        <v/>
      </c>
      <c r="L7" s="44" t="str">
        <f>IF('Résultats détaillés'!AK28=0,"",'Résultats détaillés'!AK28)</f>
        <v/>
      </c>
      <c r="M7" s="71" t="str">
        <f>IF('Résultats détaillés'!AL28=0,"",'Résultats détaillés'!AL28)</f>
        <v/>
      </c>
    </row>
    <row r="8" spans="2:32" ht="31.5" customHeight="1">
      <c r="B8" s="77"/>
      <c r="C8" s="70" t="str">
        <f>'Résultats détaillés'!B33</f>
        <v>ONR 5  -  MANAGEMENT :  S'engager à faire les choses avec sens en respectant et en préservant les ressources qui produisent</v>
      </c>
      <c r="D8" s="44">
        <f>IF('Résultats détaillés'!AC33=0,"",'Résultats détaillés'!AC33)</f>
        <v>6</v>
      </c>
      <c r="E8" s="66" t="str">
        <f>IF('Résultats détaillés'!AD33=0,"",'Résultats détaillés'!AD33)</f>
        <v/>
      </c>
      <c r="F8" s="44">
        <f>IF('Résultats détaillés'!AE33=0,"",'Résultats détaillés'!AE33)</f>
        <v>6</v>
      </c>
      <c r="G8" s="44" t="str">
        <f>IF('Résultats détaillés'!AF33=0,"",'Résultats détaillés'!AF33)</f>
        <v/>
      </c>
      <c r="H8" s="44" t="str">
        <f>IF('Résultats détaillés'!AG33=0,"",'Résultats détaillés'!AG33)</f>
        <v/>
      </c>
      <c r="I8" s="44" t="str">
        <f>IF('Résultats détaillés'!AH33=0,"",'Résultats détaillés'!AH33)</f>
        <v/>
      </c>
      <c r="J8" s="44" t="str">
        <f>IF('Résultats détaillés'!AI33=0,"",'Résultats détaillés'!AI33)</f>
        <v/>
      </c>
      <c r="K8" s="44" t="str">
        <f>IF('Résultats détaillés'!AJ33=0,"",'Résultats détaillés'!AJ33)</f>
        <v/>
      </c>
      <c r="L8" s="44" t="str">
        <f>IF('Résultats détaillés'!AK33=0,"",'Résultats détaillés'!AK33)</f>
        <v/>
      </c>
      <c r="M8" s="44" t="str">
        <f>IF('Résultats détaillés'!AL33=0,"",'Résultats détaillés'!AL33)</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32"/>
  <sheetViews>
    <sheetView workbookViewId="0">
      <selection activeCell="D10" sqref="D10"/>
    </sheetView>
  </sheetViews>
  <sheetFormatPr baseColWidth="10" defaultColWidth="11.5" defaultRowHeight="13"/>
  <sheetData>
    <row r="1" spans="1:2">
      <c r="A1" t="inlineStr">
        <is>
          <t>1.1</t>
        </is>
      </c>
      <c r="B1" t="inlineStr">
        <is>
          <t>En intégrant le cycle de vie complet des équipements et logiciels pour le mettre au service de la transition énergétique</t>
        </is>
      </c>
    </row>
    <row r="2" spans="1:2">
      <c r="A2" t="inlineStr">
        <is>
          <t>1.2</t>
        </is>
      </c>
      <c r="B2" t="inlineStr">
        <is>
          <t>En allongeant la durée d'usage des équipements, même au-delà de leur amortissement comptable</t>
        </is>
      </c>
    </row>
    <row r="3" spans="1:2">
      <c r="A3" t="inlineStr">
        <is>
          <t>1.3</t>
        </is>
      </c>
      <c r="B3" t="inlineStr">
        <is>
          <t>En éco-concevant les services numériques, et en choisissant des technologies qui contribuent aux Objectifs de développement durable (ODD)</t>
        </is>
      </c>
    </row>
    <row r="4" spans="1:2">
      <c r="A4" t="inlineStr">
        <is>
          <t>1.4</t>
        </is>
      </c>
      <c r="B4" t="inlineStr">
        <is>
          <t>En favorisant des usages et des pratiques limitant les consommations de matériels, de ressources, d’énergies et de consommables</t>
        </is>
      </c>
    </row>
    <row r="5" spans="1:2">
      <c r="A5" t="inlineStr">
        <is>
          <t>1.5</t>
        </is>
      </c>
      <c r="B5" t="inlineStr">
        <is>
          <t>En considérant nos déchets comme une ressource et leur traitement comme une source d’emplois participant au développement de l’économie circulaire.</t>
        </is>
      </c>
    </row>
    <row r="6" spans="1:2">
      <c r="A6" t="inlineStr">
        <is>
          <t>1.6</t>
        </is>
      </c>
      <c r="B6" t="inlineStr">
        <is>
          <t>En privilégiant et en favorisant l’utilisation de sources d’énergies renouvelables.</t>
        </is>
      </c>
    </row>
    <row r="7" spans="1:2">
      <c r="A7" t="inlineStr">
        <is>
          <t>1.7</t>
        </is>
      </c>
      <c r="B7" t="inlineStr">
        <is>
          <t>En favorisant l'utilisation d'IA lorsque nécessaire uniquement et en privilégiant des IA frugales</t>
        </is>
      </c>
    </row>
    <row r="8" spans="1:2">
      <c r="A8" t="inlineStr">
        <is>
          <t>1.8</t>
        </is>
      </c>
      <c r="B8" t="inlineStr">
        <is>
          <t>En mesurant ce que consomme l'IA, de son entraînement à son usage, et en le réduisant</t>
        </is>
      </c>
    </row>
    <row r="9" spans="1:2">
      <c r="A9" t="inlineStr">
        <is>
          <t>2.1</t>
        </is>
      </c>
      <c r="B9" t="inlineStr">
        <is>
          <t>En généralisant une démarche d’achats responsables avec l’adoption de clauses sociétales et environnementales.</t>
        </is>
      </c>
    </row>
    <row r="10" spans="1:2">
      <c r="A10" t="inlineStr">
        <is>
          <t>2.2</t>
        </is>
      </c>
      <c r="B10" t="inlineStr">
        <is>
          <t>En rendant nos services numériques accessibles à toutes et tous, et en mesurant leur conformité au RGAA</t>
        </is>
      </c>
    </row>
    <row r="11" spans="1:2">
      <c r="A11" t="inlineStr">
        <is>
          <t>2.3</t>
        </is>
      </c>
      <c r="B11" t="inlineStr">
        <is>
          <t>En déployant les applications autour des 3 U : Utiles, Utilisables, Utilisées pour en simplifier l’usage en intégrant l’accessibilité universelle pour réussir l’e-inclusion de tous</t>
        </is>
      </c>
    </row>
    <row r="12" spans="1:2">
      <c r="A12" t="inlineStr">
        <is>
          <t>2.4</t>
        </is>
      </c>
      <c r="B12" t="inlineStr">
        <is>
          <t>En concevant les services avec celles et ceux qui les utiliseront, pour livrer ce dont ils ont besoin et rien de plus</t>
        </is>
      </c>
    </row>
    <row r="13" spans="1:2">
      <c r="A13" t="inlineStr">
        <is>
          <t>2.5</t>
        </is>
      </c>
      <c r="B13" t="inlineStr">
        <is>
          <t>En vérifiant que l'IA ne discrimine personne et que ses services restent utilisables par tous</t>
        </is>
      </c>
    </row>
    <row r="14" spans="1:2">
      <c r="A14" t="inlineStr">
        <is>
          <t>3.1</t>
        </is>
      </c>
      <c r="B14" t="inlineStr">
        <is>
          <t>En développant des usages raisonnés des données et services dans une démarche éthique vis-à-vis des impacts sur l’environnement et les populations.</t>
        </is>
      </c>
    </row>
    <row r="15" spans="1:2">
      <c r="A15" t="inlineStr">
        <is>
          <t>3.2</t>
        </is>
      </c>
      <c r="B15" t="inlineStr">
        <is>
          <t>En luttant contre les pratiques trompeuses et présence de dark pattern dans les sites internet et en permettant de se conformer à la réglementation</t>
        </is>
      </c>
    </row>
    <row r="16" spans="1:2">
      <c r="A16" t="inlineStr">
        <is>
          <t>3.3</t>
        </is>
      </c>
      <c r="B16" t="inlineStr">
        <is>
          <t>En ne collectant que les données utiles et nécessaires au service des utilisateurs, afin de limiter les risques en matière de vie privée et impacts environnementaux en conformité avec le Règlement Général sur la Protection des Données (RGPD).</t>
        </is>
      </c>
    </row>
    <row r="17" spans="1:2">
      <c r="A17" t="inlineStr">
        <is>
          <t>3.4</t>
        </is>
      </c>
      <c r="B17" t="inlineStr">
        <is>
          <t>En favorisant la diversité des recrutements des métiers du numérique</t>
        </is>
      </c>
    </row>
    <row r="18" spans="1:2">
      <c r="A18" t="inlineStr">
        <is>
          <t>3.5</t>
        </is>
      </c>
      <c r="B18" t="inlineStr">
        <is>
          <t>En améliorant les conditions des travailleurs du numérique</t>
        </is>
      </c>
    </row>
    <row r="19" spans="1:2">
      <c r="A19" t="inlineStr">
        <is>
          <t>3.6</t>
        </is>
      </c>
      <c r="B19" t="inlineStr">
        <is>
          <t>En s’inscrivant résolument dans des dispositifs d’éthique algorithmique sur l’utilisation et la protection des données, notamment au regard de l’intelligence artificielle</t>
        </is>
      </c>
    </row>
    <row r="20" spans="1:2">
      <c r="A20" t="inlineStr">
        <is>
          <t>3.7</t>
        </is>
      </c>
      <c r="B20" t="inlineStr">
        <is>
          <t>En déployant et valorisant la démarche RSE</t>
        </is>
      </c>
    </row>
    <row r="21" spans="1:2">
      <c r="A21" t="inlineStr">
        <is>
          <t>3.8</t>
        </is>
      </c>
      <c r="B21" t="inlineStr">
        <is>
          <t>En disant quand c'est une IA qui répond, en expliquant comment elle décide, et en gardant un humain aux commandes sur les sujets sensibles</t>
        </is>
      </c>
    </row>
    <row r="22" spans="1:2">
      <c r="A22" t="inlineStr">
        <is>
          <t>4.1</t>
        </is>
      </c>
      <c r="B22" t="inlineStr">
        <is>
          <t>En respectant l'application des normes communes pour collecter, rassembler, analyser et partager les données sur les impacts des Technologies de l’Information et de la Communication (TIC).</t>
        </is>
      </c>
    </row>
    <row r="23" spans="1:2">
      <c r="A23" t="inlineStr">
        <is>
          <t>4.2</t>
        </is>
      </c>
      <c r="B23" t="inlineStr">
        <is>
          <t>En participant à une démarche collaborative de conception et d’évaluation des services numériques en adéquation avec les réels besoins.</t>
        </is>
      </c>
    </row>
    <row r="24" spans="1:2">
      <c r="A24" t="inlineStr">
        <is>
          <t>4.3</t>
        </is>
      </c>
      <c r="B24" t="inlineStr">
        <is>
          <t>En restant innovant dans l’utilisation de nouveaux outils numériques et assurer leur analyse d'impact avec transparence et visibilité pour les utilisateurs</t>
        </is>
      </c>
    </row>
    <row r="25" spans="1:2">
      <c r="A25" t="inlineStr">
        <is>
          <t>4.4</t>
        </is>
      </c>
      <c r="B25" t="inlineStr">
        <is>
          <t>En permettant et en garantissant plus de souveraineté numérique</t>
        </is>
      </c>
    </row>
    <row r="26" spans="1:2">
      <c r="A26" t="inlineStr">
        <is>
          <t>5.1</t>
        </is>
      </c>
      <c r="B26" t="inlineStr">
        <is>
          <t>En incluant l’innovation sociale dans la définition de nouveaux systèmes et services numériques.</t>
        </is>
      </c>
    </row>
    <row r="27" spans="1:2">
      <c r="A27" t="inlineStr">
        <is>
          <t>5.2</t>
        </is>
      </c>
      <c r="B27" t="inlineStr">
        <is>
          <t>En valorisant les initiatives internes qui mobilisent l’organisation, favorisent les collaborations transversales et le bien-être au travail.</t>
        </is>
      </c>
    </row>
    <row r="28" spans="1:2">
      <c r="A28" t="inlineStr">
        <is>
          <t>5.3</t>
        </is>
      </c>
      <c r="B28" t="inlineStr">
        <is>
          <t>En sollicitant l’engagement et l’expertise des parties prenantes (sur les sujets environnementaux, sociaux et sociétaux)</t>
        </is>
      </c>
    </row>
    <row r="29" spans="1:2">
      <c r="A29" t="inlineStr">
        <is>
          <t>5.4</t>
        </is>
      </c>
      <c r="B29" t="inlineStr">
        <is>
          <t>En permettant aux générations futures d’innover pour construire un monde ouvert à l’autre soucieux de l’équilibre des écosystèmes et du bien-vivre ensemble.</t>
        </is>
      </c>
    </row>
    <row r="30" spans="1:2">
      <c r="A30" t="inlineStr">
        <is>
          <t>5.5</t>
        </is>
      </c>
      <c r="B30" t="inlineStr">
        <is>
          <t>En suivant les indicateurs de performances et de conformité</t>
        </is>
      </c>
    </row>
    <row r="31" spans="1:2">
      <c r="A31" t="inlineStr">
        <is>
          <t>5.6</t>
        </is>
      </c>
      <c r="B31" t="inlineStr">
        <is>
          <t>En proposant des axes d’amélioration et d'innovation autour du NR ( y compris s'ils ne sont pas numériques )</t>
        </is>
      </c>
    </row>
    <row r="32" spans="1:2">
      <c r="A32" t="inlineStr">
        <is>
          <t>5.7</t>
        </is>
      </c>
      <c r="B32" t="inlineStr">
        <is>
          <t>En décidant des usages de l'IA avec les équipes, en les formant à ses limites, et en préservant le sens de leur travail</t>
        </is>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