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<sst xmlns="http://schemas.openxmlformats.org/spreadsheetml/2006/main" count="318" uniqueCount="136">
  <si>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</si>
  <si>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</si>
  <si>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</si>
  <si>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</si>
  <si>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</si>
  <si>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</si>
  <si>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</si>
  <si>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</si>
  <si>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</si>
  <si>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</si>
  <si>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</si>
  <si>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</si>
  <si>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</si>
  <si>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</si>
  <si>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</si>
  <si>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</si>
  <si>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</si>
  <si>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</si>
  <si>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</si>
  <si>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</si>
  <si>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</si>
  <si>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</si>
  <si>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</si>
  <si>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</si>
  <si>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</si>
  <si>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</si>
  <si>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</si>
  <si>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</si>
  <si>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</si>
  <si>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</si>
  <si>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</si>
  <si>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</si>
  <si>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</si>
  <si>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</si>
  <si>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</si>
  <si>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</si>
  <si>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</si>
  <si>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</si>
  <si>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</si>
  <si>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</si>
  <si>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</si>
  <si>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</si>
  <si>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</si>
  <si>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</si>
  <si>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</si>
  <si>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</si>
  <si>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</si>
  <si>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</si>
  <si>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</si>
  <si>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 xml:space="preserve">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</si>
  <si>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</si>
  <si>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</si>
  <si>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</si>
  <si>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</si>
  <si>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</si>
  <si>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</si>
  <si>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</si>
  <si>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</si>
  <si>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</si>
  <si>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</si>
  <si>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</si>
  <si>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</si>
  <si>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</si>
  <si>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</si>
  <si>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</si>
  <si>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</si>
  <si>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</si>
  <si>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</si>
  <si>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</si>
  <si>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</si>
  <si>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</si>
  <si>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</si>
  <si>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</si>
  <si>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 xml:space="preserve">ONR 4 : Résilience et stratégie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</si>
  <si>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</si>
  <si>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</si>
  <si>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</si>
  <si>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évaluant nos services numériques dans la durée, et en partageant les résultats de ces évaluations</t>
  </si>
  <si>
    <t>4.3</t>
  </si>
  <si>
    <t>En restant innovant dans l’utilisation de nouveaux outils numériques et assurer leur analyse d'impact avec transparence et visibilité pour les utilisateurs</t>
  </si>
  <si>
    <t>4.4</t>
  </si>
  <si>
    <t>En permettant et en garantissant plus de souveraineté numérique</t>
  </si>
  <si>
    <t xml:space="preserve">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</si>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</sst>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row r="14" spans="1:24" ht="42">
      <c r="B14" s="154" t="inlineStr">
        <is>
          <t>1.8</t>
        </is>
      </c>
      <c r="C14" s="323" t="inlineStr">
        <is>
          <t>En mesurant ce que consomme l'IA, de son entraînement à son usage, et en le réduisant</t>
        </is>
      </c>
      <c r="D14" s="139"/>
      <c r="E14" s="171"/>
      <c r="F14" s="282"/>
      <c r="G14" s="325"/>
      <c r="H14" s="140"/>
      <c r="I14" s="172"/>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306"/>
      <c r="X14" s="299"/>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4 F7">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s="137" customFormat="1" ht="63">
      <c r="A11" s="136"/>
      <c r="B11" s="180" t="inlineStr">
        <is>
          <t>2.5</t>
        </is>
      </c>
      <c r="C11" s="318" t="inlineStr">
        <is>
          <t>En vérifiant que l'IA ne discrimine personne et que ses services restent utilisables par tous</t>
        </is>
      </c>
      <c r="D11" s="139"/>
      <c r="E11" s="169"/>
      <c r="F11" s="166"/>
      <c r="G11" s="324"/>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4"/>
      <c r="X11" s="293"/>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row r="14" spans="1:447" s="137" customFormat="1" ht="21">
      <c r="A14" s="136"/>
      <c r="B14" s="181" t="inlineStr">
        <is>
          <t>3.8</t>
        </is>
      </c>
      <c r="C14" s="318" t="inlineStr">
        <is>
          <t>En disant quand c'est une IA qui répond, en expliquant comment elle décide, et en gardant un humain aux commandes sur les sujets sensibles</t>
        </is>
      </c>
      <c r="D14" s="139"/>
      <c r="E14" s="171"/>
      <c r="F14" s="167"/>
      <c r="G14" s="324"/>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6"/>
      <c r="X14"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row r="13" spans="1:24" s="138" customFormat="1" ht="43" thickBot="1">
      <c r="A13" s="136"/>
      <c r="B13" s="180" t="inlineStr">
        <is>
          <t>5.7</t>
        </is>
      </c>
      <c r="C13" s="318" t="inlineStr">
        <is>
          <t>En décidant des usages de l'IA avec les équipes, en les formant à ses limites, et en préservant le sens de leur travail</t>
        </is>
      </c>
      <c r="D13" s="184"/>
      <c r="E13" s="169"/>
      <c r="F13" s="166"/>
      <c r="G13" s="324"/>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v>
      </c>
      <c r="AC4" s="116">
        <f>SUMPRODUCT(--(B5:B12&lt;&gt;""))</f>
        <v>7</v>
      </c>
      <c r="AD4" s="116">
        <f>AC4-AE4</f>
        <v>0</v>
      </c>
      <c r="AE4" s="117">
        <f>SUM(AE5:AE12)</f>
        <v>7</v>
      </c>
      <c r="AF4" s="117">
        <f>SUM(AF5:AF12)</f>
        <v>0</v>
      </c>
      <c r="AG4" s="117">
        <f>SUM(AG5:AG12)</f>
        <v>0</v>
      </c>
      <c r="AH4" s="117">
        <f>SUM(AH5:AH12)</f>
        <v>0</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2" si="5">G5</f>
        <v>0</v>
      </c>
      <c r="W5" s="203">
        <f>'ONR 1'!V7</f>
        <v>0</v>
      </c>
      <c r="X5" s="204">
        <f>'ONR 1'!W7</f>
        <v>0</v>
      </c>
      <c r="Y5" s="230">
        <f t="shared" ref="Y5:Y12" si="6">I5</f>
        <v>0</v>
      </c>
      <c r="Z5" s="230">
        <f t="shared" ref="Z5:Z12" si="7">D5</f>
        <v>0</v>
      </c>
      <c r="AE5" s="206">
        <f t="shared" ref="AE5:AE12" si="8">IF(K5=0,1,0)</f>
        <v>1</v>
      </c>
      <c r="AF5" s="206">
        <f t="shared" ref="AF5:AL12"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f>'ONR 1'!D14</f>
        <v>0</v>
      </c>
      <c r="E12" s="270">
        <f>'ONR 1'!E14</f>
        <v>0</v>
      </c>
      <c r="F12" s="277">
        <f>'ONR 1'!F14</f>
        <v>0</v>
      </c>
      <c r="G12" s="211">
        <f>'ONR 1'!G14</f>
        <v>0</v>
      </c>
      <c r="H12" s="212">
        <f>'ONR 1'!H14</f>
        <v>0</v>
      </c>
      <c r="I12" s="225">
        <f>'ONR 1'!I14</f>
        <v>0</v>
      </c>
      <c r="J12" s="232">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f>IF(COUNTA(E12:F12)&lt;2,"",(IF(L12=TRUE,$L$3,IF(M12=TRUE,$M$3,IF(N12=TRUE,$N$3,IF(O12=TRUE,$O$3,IF(P12=TRUE,$P$3,IF(Q12=TRUE,$Q$3,IF(R12=TRUE,$R$3,0)))))))))</f>
        <v>0</v>
      </c>
      <c r="T12" s="232">
        <f>IF(COUNTA(E12:F12)&lt;2,"",(IF(L12=TRUE,6,IF(M12=TRUE,5,IF(N12=TRUE,4,IF(O12=TRUE,3,IF(P12=TRUE,2,IF(Q12=TRUE,1,IF(R12=TRUE,0,0)))))))))</f>
        <v>0</v>
      </c>
      <c r="U12" s="233">
        <f>T12*10+H12</f>
        <v>0</v>
      </c>
      <c r="V12" s="241">
        <f>G12</f>
        <v>0</v>
      </c>
      <c r="W12" s="241">
        <f>'ONR 1'!V14</f>
        <v>0</v>
      </c>
      <c r="X12" s="204">
        <f>'ONR 1'!W14</f>
        <v>0</v>
      </c>
      <c r="Y12" s="236">
        <f>I12</f>
        <v>0</v>
      </c>
      <c r="Z12" s="236">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2" t="str">
        <f>'ONR 2'!B2</f>
        <v xml:space="preserve">ONR 2 : Inclusion · S'engager à développer des services numériques accessibles à toutes et tous, inclusifs et durables</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 xml:space="preserve">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1" t="str">
        <f>'ONR 3'!B2:C2</f>
        <v xml:space="preserve">ONR 3 : RSE · S'engager pour des pratiques numériques éthiques et responsables</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 xml:space="preserve">ONR 3 : RSE · S'engager pour des pratiques numériques éthiques et responsables</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2" t="str">
        <f>'ONR 4'!B2:C2</f>
        <v xml:space="preserve">ONR 4 : Résilience et stratégie · S'engager vers un numérique responsable, indispensable pour assurer la résilience des organisations</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 xml:space="preserve">ONR 4 : Résilience et stratégie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évaluant nos services numériques dans la durée, et en partageant les résultats de ces évaluations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2" t="str">
        <f>'ONR 5'!B2:C2</f>
        <v xml:space="preserve">ONR 5 : Management · S'engager à faire les choses avec sens en respectant et en préservant les ressources qui produisent</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 xml:space="preserve">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28</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v>
      </c>
      <c r="D4" s="44">
        <f>IF('Résultats détaillés'!AC4=0,"",'Résultats détaillés'!AC4)</f>
        <v>7</v>
      </c>
      <c r="E4" s="66" t="str">
        <f>IF('Résultats détaillés'!AD4=0,"",'Résultats détaillés'!AD4)</f>
        <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 xml:space="preserve">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 xml:space="preserve">ONR 4 : Résilience et stratégie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 xml:space="preserve">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En intégrant le cycle de vie complet des équipements et logiciels pour le mettre au service de la transition énergétique</t>
        </is>
      </c>
    </row>
    <row r="2" spans="1:2">
      <c r="A2" t="inlineStr">
        <is>
          <t>1.2</t>
        </is>
      </c>
      <c r="B2" t="inlineStr">
        <is>
          <t>En allongeant la durée d'usage des équipements, même au-delà de leur amortissement comptable</t>
        </is>
      </c>
    </row>
    <row r="3" spans="1:2">
      <c r="A3" t="inlineStr">
        <is>
          <t>1.3</t>
        </is>
      </c>
      <c r="B3" t="inlineStr">
        <is>
          <t>En éco-concevant les services numériques, et en choisissant des technologies qui contribuent aux Objectifs de développement durable (ODD)</t>
        </is>
      </c>
    </row>
    <row r="4" spans="1:2">
      <c r="A4" t="inlineStr">
        <is>
          <t>1.4</t>
        </is>
      </c>
      <c r="B4" t="inlineStr">
        <is>
          <t>En favorisant des usages et des pratiques limitant les consommations de matériels, de ressources, d’énergies et de consommables</t>
        </is>
      </c>
    </row>
    <row r="5" spans="1:2">
      <c r="A5" t="inlineStr">
        <is>
          <t>1.5</t>
        </is>
      </c>
      <c r="B5" t="inlineStr">
        <is>
          <t>En considérant nos déchets comme une ressource et leur traitement comme une source d’emplois participant au développement de l’économie circulaire.</t>
        </is>
      </c>
    </row>
    <row r="6" spans="1:2">
      <c r="A6" t="inlineStr">
        <is>
          <t>1.6</t>
        </is>
      </c>
      <c r="B6" t="inlineStr">
        <is>
          <t>En privilégiant et en favorisant l’utilisation de sources d’énergies renouvelables.</t>
        </is>
      </c>
    </row>
    <row r="7" spans="1:2">
      <c r="A7" t="inlineStr">
        <is>
          <t>1.7</t>
        </is>
      </c>
      <c r="B7" t="inlineStr">
        <is>
          <t>En favorisant l'utilisation d'IA lorsque nécessaire uniquement et en privilégiant des IA frugales</t>
        </is>
      </c>
    </row>
    <row r="8" spans="1:2">
      <c r="A8" t="inlineStr">
        <is>
          <t>1.8</t>
        </is>
      </c>
      <c r="B8" t="inlineStr">
        <is>
          <t>En mesurant ce que consomme l'IA, de son entraînement à son usage, et en le réduisant</t>
        </is>
      </c>
    </row>
    <row r="9" spans="1:2">
      <c r="A9" t="inlineStr">
        <is>
          <t>2.1</t>
        </is>
      </c>
      <c r="B9" t="inlineStr">
        <is>
          <t>En généralisant une démarche d’achats responsables avec l’adoption de clauses sociétales et environnementales.</t>
        </is>
      </c>
    </row>
    <row r="10" spans="1:2">
      <c r="A10" t="inlineStr">
        <is>
          <t>2.2</t>
        </is>
      </c>
      <c r="B10" t="inlineStr">
        <is>
          <t>En rendant nos services numériques accessibles à toutes et tous, et en mesurant leur conformité au RGAA</t>
        </is>
      </c>
    </row>
    <row r="11" spans="1:2">
      <c r="A11" t="inlineStr">
        <is>
          <t>2.3</t>
        </is>
      </c>
      <c r="B11" t="inlineStr">
        <is>
          <t>En déployant les applications autour des 3 U : Utiles, Utilisables, Utilisées pour en simplifier l’usage en intégrant l’accessibilité universelle pour réussir l’e-inclusion de tous</t>
        </is>
      </c>
    </row>
    <row r="12" spans="1:2">
      <c r="A12" t="inlineStr">
        <is>
          <t>2.4</t>
        </is>
      </c>
      <c r="B12" t="inlineStr">
        <is>
          <t>En concevant les services avec celles et ceux qui les utiliseront, pour livrer ce dont ils ont besoin et rien de plus</t>
        </is>
      </c>
    </row>
    <row r="13" spans="1:2">
      <c r="A13" t="inlineStr">
        <is>
          <t>2.5</t>
        </is>
      </c>
      <c r="B13" t="inlineStr">
        <is>
          <t>En vérifiant que l'IA ne discrimine personne et que ses services restent utilisables par tous</t>
        </is>
      </c>
    </row>
    <row r="14" spans="1:2">
      <c r="A14" t="inlineStr">
        <is>
          <t>3.1</t>
        </is>
      </c>
      <c r="B14" t="inlineStr">
        <is>
          <t>En développant des usages raisonnés des données et services dans une démarche éthique vis-à-vis des impacts sur l’environnement et les populations.</t>
        </is>
      </c>
    </row>
    <row r="15" spans="1:2">
      <c r="A15" t="inlineStr">
        <is>
          <t>3.2</t>
        </is>
      </c>
      <c r="B15" t="inlineStr">
        <is>
          <t>En luttant contre les pratiques trompeuses et présence de dark pattern dans les sites internet et en permettant de se conformer à la réglementation</t>
        </is>
      </c>
    </row>
    <row r="16" spans="1:2">
      <c r="A16" t="inlineStr">
        <is>
          <t>3.3</t>
        </is>
      </c>
      <c r="B16" t="inlineStr">
        <is>
          <t>En ne collectant que les données utiles et nécessaires au service des utilisateurs, afin de limiter les risques en matière de vie privée et impacts environnementaux en conformité avec le Règlement Général sur la Protection des Données (RGPD).</t>
        </is>
      </c>
    </row>
    <row r="17" spans="1:2">
      <c r="A17" t="inlineStr">
        <is>
          <t>3.4</t>
        </is>
      </c>
      <c r="B17" t="inlineStr">
        <is>
          <t>En favorisant la diversité des recrutements des métiers du numérique</t>
        </is>
      </c>
    </row>
    <row r="18" spans="1:2">
      <c r="A18" t="inlineStr">
        <is>
          <t>3.5</t>
        </is>
      </c>
      <c r="B18" t="inlineStr">
        <is>
          <t>En améliorant les conditions des travailleurs du numérique</t>
        </is>
      </c>
    </row>
    <row r="19" spans="1:2">
      <c r="A19" t="inlineStr">
        <is>
          <t>3.6</t>
        </is>
      </c>
      <c r="B19" t="inlineStr">
        <is>
          <t>En s’inscrivant résolument dans des dispositifs d’éthique algorithmique sur l’utilisation et la protection des données, notamment au regard de l’intelligence artificielle</t>
        </is>
      </c>
    </row>
    <row r="20" spans="1:2">
      <c r="A20" t="inlineStr">
        <is>
          <t>3.7</t>
        </is>
      </c>
      <c r="B20" t="inlineStr">
        <is>
          <t>En déployant et valorisant la démarche RSE</t>
        </is>
      </c>
    </row>
    <row r="21" spans="1:2">
      <c r="A21" t="inlineStr">
        <is>
          <t>3.8</t>
        </is>
      </c>
      <c r="B21" t="inlineStr">
        <is>
          <t>En disant quand c'est une IA qui répond, en expliquant comment elle décide, et en gardant un humain aux commandes sur les sujets sensibles</t>
        </is>
      </c>
    </row>
    <row r="22" spans="1:2">
      <c r="A22" t="inlineStr">
        <is>
          <t>4.1</t>
        </is>
      </c>
      <c r="B22" t="inlineStr">
        <is>
          <t>En respectant l'application des normes communes pour collecter, rassembler, analyser et partager les données sur les impacts des Technologies de l’Information et de la Communication (TIC).</t>
        </is>
      </c>
    </row>
    <row r="23" spans="1:2">
      <c r="A23" t="inlineStr">
        <is>
          <t>4.2</t>
        </is>
      </c>
      <c r="B23" t="inlineStr">
        <is>
          <t>En évaluant nos services numériques dans la durée, et en partageant les résultats de ces évaluations</t>
        </is>
      </c>
    </row>
    <row r="24" spans="1:2">
      <c r="A24" t="inlineStr">
        <is>
          <t>4.3</t>
        </is>
      </c>
      <c r="B24" t="inlineStr">
        <is>
          <t>En restant innovant dans l’utilisation de nouveaux outils numériques et assurer leur analyse d'impact avec transparence et visibilité pour les utilisateurs</t>
        </is>
      </c>
    </row>
    <row r="25" spans="1:2">
      <c r="A25" t="inlineStr">
        <is>
          <t>4.4</t>
        </is>
      </c>
      <c r="B25" t="inlineStr">
        <is>
          <t>En permettant et en garantissant plus de souveraineté numérique</t>
        </is>
      </c>
    </row>
    <row r="26" spans="1:2">
      <c r="A26" t="inlineStr">
        <is>
          <t>5.1</t>
        </is>
      </c>
      <c r="B26" t="inlineStr">
        <is>
          <t>En incluant l’innovation sociale dans la définition de nouveaux systèmes et services numériques.</t>
        </is>
      </c>
    </row>
    <row r="27" spans="1:2">
      <c r="A27" t="inlineStr">
        <is>
          <t>5.2</t>
        </is>
      </c>
      <c r="B27" t="inlineStr">
        <is>
          <t>En valorisant les initiatives internes qui mobilisent l’organisation, favorisent les collaborations transversales et le bien-être au travail.</t>
        </is>
      </c>
    </row>
    <row r="28" spans="1:2">
      <c r="A28" t="inlineStr">
        <is>
          <t>5.3</t>
        </is>
      </c>
      <c r="B28" t="inlineStr">
        <is>
          <t>En sollicitant l’engagement et l’expertise des parties prenantes (sur les sujets environnementaux, sociaux et sociétaux)</t>
        </is>
      </c>
    </row>
    <row r="29" spans="1:2">
      <c r="A29" t="inlineStr">
        <is>
          <t>5.4</t>
        </is>
      </c>
      <c r="B29" t="inlineStr">
        <is>
          <t>En permettant aux générations futures d’innover pour construire un monde ouvert à l’autre soucieux de l’équilibre des écosystèmes et du bien-vivre ensemble.</t>
        </is>
      </c>
    </row>
    <row r="30" spans="1:2">
      <c r="A30" t="inlineStr">
        <is>
          <t>5.5</t>
        </is>
      </c>
      <c r="B30" t="inlineStr">
        <is>
          <t>En suivant les indicateurs de performances et de conformité</t>
        </is>
      </c>
    </row>
    <row r="31" spans="1:2">
      <c r="A31" t="inlineStr">
        <is>
          <t>5.6</t>
        </is>
      </c>
      <c r="B31" t="inlineStr">
        <is>
          <t>En proposant des axes d’amélioration et d'innovation autour du NR ( y compris s'ils ne sont pas numériques )</t>
        </is>
      </c>
    </row>
    <row r="32" spans="1:2">
      <c r="A32" t="inlineStr">
        <is>
          <t>5.7</t>
        </is>
      </c>
      <c r="B32" t="inlineStr">
        <is>
          <t>En décidant des usages de l'IA avec les équipes, en les formant à ses limites, et en préservant le sens de leur travail</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