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<sst xmlns="http://schemas.openxmlformats.org/spreadsheetml/2006/main" count="318" uniqueCount="136">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</sst>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row r="14" spans="1:24" ht="42">
      <c r="B14" s="154" t="inlineStr">
        <is>
          <t>1.8</t>
        </is>
      </c>
      <c r="C14" s="323" t="inlineStr">
        <is>
          <t>En mesurant ce que consomme l'IA, de son entraînement à son usage, et en le réduisant</t>
        </is>
      </c>
      <c r="D14" s="139"/>
      <c r="E14" s="171"/>
      <c r="F14" s="282"/>
      <c r="G14" s="325"/>
      <c r="H14" s="140"/>
      <c r="I14" s="172"/>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306"/>
      <c r="X14" s="299"/>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4 F7">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s="137" customFormat="1" ht="63">
      <c r="A11" s="136"/>
      <c r="B11" s="180" t="inlineStr">
        <is>
          <t>2.5</t>
        </is>
      </c>
      <c r="C11" s="318" t="inlineStr">
        <is>
          <t>En vérifiant que l'IA ne discrimine personne et que ses services restent utilisables par tous</t>
        </is>
      </c>
      <c r="D11" s="139"/>
      <c r="E11" s="169"/>
      <c r="F11" s="166"/>
      <c r="G11" s="324"/>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4"/>
      <c r="X11" s="293"/>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row r="14" spans="1:447" s="137" customFormat="1" ht="21">
      <c r="A14" s="136"/>
      <c r="B14" s="181" t="inlineStr">
        <is>
          <t>3.8</t>
        </is>
      </c>
      <c r="C14" s="318" t="inlineStr">
        <is>
          <t>En disant quand c'est une IA qui répond, en expliquant comment elle décide, et en gardant un humain aux commandes sur les sujets sensibles</t>
        </is>
      </c>
      <c r="D14" s="139"/>
      <c r="E14" s="171"/>
      <c r="F14" s="167"/>
      <c r="G14" s="324"/>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6"/>
      <c r="X14"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row r="13" spans="1:24" s="138" customFormat="1" ht="43" thickBot="1">
      <c r="A13" s="136"/>
      <c r="B13" s="180" t="inlineStr">
        <is>
          <t>5.7</t>
        </is>
      </c>
      <c r="C13" s="318" t="inlineStr">
        <is>
          <t>En décidant des usages de l'IA avec les équipes, en les formant à ses limites, et en préservant le sens de leur travail</t>
        </is>
      </c>
      <c r="D13" s="184"/>
      <c r="E13" s="169"/>
      <c r="F13" s="166"/>
      <c r="G13" s="324"/>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f>SUMPRODUCT(--(B5:B12&lt;&gt;""))</f>
        <v>7</v>
      </c>
      <c r="AD4" s="116">
        <f>AC4-AE4</f>
        <v>0</v>
      </c>
      <c r="AE4" s="117">
        <f>SUM(AE5:AE12)</f>
        <v>7</v>
      </c>
      <c r="AF4" s="117">
        <f>SUM(AF5:AF12)</f>
        <v>0</v>
      </c>
      <c r="AG4" s="117">
        <f>SUM(AG5:AG12)</f>
        <v>0</v>
      </c>
      <c r="AH4" s="117">
        <f>SUM(AH5:AH12)</f>
        <v>0</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2" si="5">G5</f>
        <v>0</v>
      </c>
      <c r="W5" s="203">
        <f>'ONR 1'!V7</f>
        <v>0</v>
      </c>
      <c r="X5" s="204">
        <f>'ONR 1'!W7</f>
        <v>0</v>
      </c>
      <c r="Y5" s="230">
        <f t="shared" ref="Y5:Y12" si="6">I5</f>
        <v>0</v>
      </c>
      <c r="Z5" s="230">
        <f t="shared" ref="Z5:Z12" si="7">D5</f>
        <v>0</v>
      </c>
      <c r="AE5" s="206">
        <f t="shared" ref="AE5:AE12" si="8">IF(K5=0,1,0)</f>
        <v>1</v>
      </c>
      <c r="AF5" s="206">
        <f t="shared" ref="AF5:AL12"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f>'ONR 1'!D14</f>
        <v>0</v>
      </c>
      <c r="E12" s="270">
        <f>'ONR 1'!E14</f>
        <v>0</v>
      </c>
      <c r="F12" s="277">
        <f>'ONR 1'!F14</f>
        <v>0</v>
      </c>
      <c r="G12" s="211">
        <f>'ONR 1'!G14</f>
        <v>0</v>
      </c>
      <c r="H12" s="212">
        <f>'ONR 1'!H14</f>
        <v>0</v>
      </c>
      <c r="I12" s="225">
        <f>'ONR 1'!I14</f>
        <v>0</v>
      </c>
      <c r="J12" s="232">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f>IF(COUNTA(E12:F12)&lt;2,"",(IF(L12=TRUE,$L$3,IF(M12=TRUE,$M$3,IF(N12=TRUE,$N$3,IF(O12=TRUE,$O$3,IF(P12=TRUE,$P$3,IF(Q12=TRUE,$Q$3,IF(R12=TRUE,$R$3,0)))))))))</f>
        <v>0</v>
      </c>
      <c r="T12" s="232">
        <f>IF(COUNTA(E12:F12)&lt;2,"",(IF(L12=TRUE,6,IF(M12=TRUE,5,IF(N12=TRUE,4,IF(O12=TRUE,3,IF(P12=TRUE,2,IF(Q12=TRUE,1,IF(R12=TRUE,0,0)))))))))</f>
        <v>0</v>
      </c>
      <c r="U12" s="233">
        <f>T12*10+H12</f>
        <v>0</v>
      </c>
      <c r="V12" s="241">
        <f>G12</f>
        <v>0</v>
      </c>
      <c r="W12" s="241">
        <f>'ONR 1'!V14</f>
        <v>0</v>
      </c>
      <c r="X12" s="204">
        <f>'ONR 1'!W14</f>
        <v>0</v>
      </c>
      <c r="Y12" s="236">
        <f>I12</f>
        <v>0</v>
      </c>
      <c r="Z12" s="236">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2" t="str">
        <f>'ONR 2'!B2</f>
        <v>ONR 2  -   INCLUSION : S'engager à développer des services numériques accessibles à toutes et tous, inclusifs et durables</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1" t="str">
        <f>'ONR 3'!B2:C2</f>
        <v xml:space="preserve">ONR 3  -  RSE : S'engager pour des pratiques numériques éthiques et responsables </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2" t="str">
        <f>'ONR 4'!B2:C2</f>
        <v>ONR 4  -  RESILIENCE ET STRATEGIE :  S'engager vers un numérique responsable, indispensable pour assurer la résilience des organisations</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participant à une démarche collaborative de conception et d’évaluation des services numériques en adéquation avec les réels besoins.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2" t="str">
        <f>'ONR 5'!B2:C2</f>
        <v>ONR 5  -  MANAGEMENT :  S'engager à faire les choses avec sens en respectant et en préservant les ressources qui produisent</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