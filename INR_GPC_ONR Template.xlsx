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summary20261007_drawing3.xml" ContentType="application/vnd.openxmlformats-officedocument.drawing+xml"/>
  <Override PartName="/xl/drawings/charts/summary20261007_chart1.xml" ContentType="application/vnd.openxmlformats-officedocument.drawingml.chart+xml"/>
  <Default Extension="png" ContentType="image/png"/>
  <Override PartName="/xl/drawings/inr20261007_drawing4.xml" ContentType="application/vnd.openxmlformats-officedocument.drawing+xml"/>
  <Override PartName="/xl/drawings/inr20261007_drawing5.xml" ContentType="application/vnd.openxmlformats-officedocument.drawing+xml"/>
  <Override PartName="/xl/drawings/inr20261007_drawing6.xml" ContentType="application/vnd.openxmlformats-officedocument.drawing+xml"/>
  <Override PartName="/xl/drawings/inr20261007_drawing7.xml" ContentType="application/vnd.openxmlformats-officedocument.drawing+xml"/>
  <Override PartName="/xl/drawings/inr20261007_drawing8.xml" ContentType="application/vnd.openxmlformats-officedocument.drawing+xml"/>
  <Override PartName="/xl/drawings/inr20261007_drawing10.xml" ContentType="application/vnd.openxmlformats-officedocument.drawing+xml"/>
  <Override PartName="/xl/drawings/charts/inr20261007_chart1.xml" ContentType="application/vnd.openxmlformats-officedocument.drawingml.chart+xml"/>
  <Override PartName="/xl/drawings/charts/inr20261007_chart2.xml" ContentType="application/vnd.openxmlformats-officedocument.drawingml.chart+xml"/>
  <Override PartName="/xl/drawings/inr20261007_drawing3.xml" ContentType="application/vnd.openxmlformats-officedocument.drawing+xml"/>
  <Override PartName="/xl/drawings/inr20261007_drawing9.xml" ContentType="application/vnd.openxmlformats-officedocument.drawing+xml"/>
  <Override PartName="/xl/drawings/inr20261007_drawing1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8_{110A7F95-4F06-7A4C-9991-43459C783435}" xr6:coauthVersionLast="47" xr6:coauthVersionMax="47" xr10:uidLastSave="{00000000-0000-0000-0000-000000000000}"/>
  <bookViews>
    <workbookView xWindow="27940" yWindow="9160" windowWidth="32420" windowHeight="19880" tabRatio="879"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9">'Résultats détaillés'!$B$2:$X$35</definedName>
    <definedName name="_xlnm.Print_Area" localSheetId="3">'ONR 1'!$B$2:$V$14</definedName>
    <definedName name="_xlnm.Print_Titles" localSheetId="3">'ONR 1'!$4:$6,'ONR 1'!$B:$C</definedName>
    <definedName name="_xlnm.Print_Area" localSheetId="4">'ONR 2'!$B$2:$V$11</definedName>
    <definedName name="_xlnm.Print_Titles" localSheetId="4">'ONR 2'!$4:$6,'ONR 2'!$B:$C</definedName>
    <definedName name="_xlnm.Print_Area" localSheetId="5">'ONR 3'!$B$2:$V$14</definedName>
    <definedName name="_xlnm.Print_Titles" localSheetId="5">'ONR 3'!$4:$6,'ONR 3'!$B:$C</definedName>
    <definedName name="_xlnm.Print_Area" localSheetId="6">'ONR 4'!$B$2:$V$10</definedName>
    <definedName name="_xlnm.Print_Titles" localSheetId="6">'ONR 4'!$4:$6,'ONR 4'!$B:$C</definedName>
    <definedName name="_xlnm.Print_Area" localSheetId="7">'ONR 5'!$B$2:$V$13</definedName>
    <definedName name="_xlnm.Print_Titles" localSheetId="7">'ONR 5'!$4:$6,'ONR 5'!$B:$C</definedName>
    <definedName name="_xlnm.Print_Area" localSheetId="10">'Résultats synthèse'!$B$2:$M$73</definedName>
  </definedNames>
  <calcPr calcId="191028" fullCalcOnLoad="1" calcMode="auto" forceFullCalc="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t>Décrire les opportunités et les menaces associées à cette cible pour l’organisation : enjeux économiques, sociaux, environnementaux, réglementaires ou opérationnels.</t>
      </text>
    </comment>
    <comment ref="E5" authorId="1" shapeId="0" xr:uid="{00000000-0006-0000-0300-000003000000}">
      <text>
        <t>Évaluer l’importance de la cible pour l’organisation.
0 : non applicable ; 1 : peu importante ; 2 : importante ; 3 : très importante.
Une importance de 0 classe la cible comme non applicable, même sans note de performance.</t>
      </text>
    </comment>
    <comment ref="F5" authorId="1" shapeId="0" xr:uid="{00000000-0006-0000-0300-000004000000}">
      <text>
        <t>Évaluer la situation actuelle à partir d’éléments documentés.
1 : pas du tout atteinte ; 2 : atteinte en partie ; 3 : en voie d’être atteinte ; 4 : atteinte.
Laisser vide si la cible n’est pas évaluée ou n’est pas applicable.</t>
      </text>
    </comment>
    <comment ref="G5" authorId="1" shapeId="0" xr:uid="{00000000-0006-0000-0300-000005000000}">
      <text>
        <t>Justifier la note de performance avec les mesures déjà en place, les résultats observés, les indicateurs disponibles et les sources datées. Distinguer les actions réalisées des actions seulement prévues.</t>
      </text>
    </comment>
    <comment ref="I5" authorId="1" shapeId="0" xr:uid="{00000000-0006-0000-0300-000007000000}">
      <text>
        <t>Décrire les forces et les faiblesses internes : compétences, moyens humains, financiers et techniques, et partenaires disponibles pour agir sur la cible.</t>
      </text>
    </comment>
    <comment ref="J5" authorId="1" shapeId="0" xr:uid="{00000000-0006-0000-03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1" shapeId="0" xr:uid="{00000000-0006-0000-03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t>Décrire les opportunités et les menaces associées à cette cible pour l’organisation : enjeux économiques, sociaux, environnementaux, réglementaires ou opérationnels.</t>
      </text>
    </comment>
    <comment ref="E5" authorId="0" shapeId="0" xr:uid="{00000000-0006-0000-05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5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5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500-000007000000}">
      <text>
        <t>Décrire les forces et les faiblesses internes : compétences, moyens humains, financiers et techniques, et partenaires disponibles pour agir sur la cible.</t>
      </text>
    </comment>
    <comment ref="J5" authorId="0" shapeId="0" xr:uid="{00000000-0006-0000-05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5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t>Décrire les opportunités et les menaces associées à cette cible pour l’organisation : enjeux économiques, sociaux, environnementaux, réglementaires ou opérationnels.</t>
      </text>
    </comment>
    <comment ref="E5" authorId="0" shapeId="0" xr:uid="{988E1C45-7988-DB49-85E0-84F3DA705D86}">
      <text>
        <t>Évaluer l’importance de la cible pour l’organisation.
0 : non applicable ; 1 : peu importante ; 2 : importante ; 3 : très importante.
Une importance de 0 classe la cible comme non applicable, même sans note de performance.</t>
      </text>
    </comment>
    <comment ref="F5" authorId="0" shapeId="0" xr:uid="{6EFAD041-22B7-C04F-9E51-652EBA0E8A16}">
      <text>
        <t>Évaluer la situation actuelle à partir d’éléments documentés.
1 : pas du tout atteinte ; 2 : atteinte en partie ; 3 : en voie d’être atteinte ; 4 : atteinte.
Laisser vide si la cible n’est pas évaluée ou n’est pas applicable.</t>
      </text>
    </comment>
    <comment ref="G5" authorId="0" shapeId="0" xr:uid="{BD753896-2A33-C44A-9474-6ED31D82EDF1}">
      <text>
        <t>Justifier la note de performance avec les mesures déjà en place, les résultats observés, les indicateurs disponibles et les sources datées. Distinguer les actions réalisées des actions seulement prévues.</t>
      </text>
    </comment>
    <comment ref="H5" authorId="0" shapeId="0" xr:uid="{A0B61C8E-D016-114B-919D-21D504540378}">
      <text>
        <t>Identifier les compétences à mobiliser.
1 : équipe NR / RSE ; 2 : NR / RSE et DSI ; 3 : NR / RSE et équipe hors DSI ; 4 : intervention extérieure.
Ce choix n’entre pas dans le calcul du niveau de priorité.</t>
      </text>
    </comment>
    <comment ref="I5" authorId="0" shapeId="0" xr:uid="{81F53470-33EE-0B43-93A9-4C132E04A690}">
      <text>
        <t>Décrire les forces et les faiblesses internes : compétences, moyens humains, financiers et techniques, et partenaires disponibles pour agir sur la cible.</t>
      </text>
    </comment>
    <comment ref="J5" authorId="0" shapeId="0" xr:uid="{00000000-0006-0000-06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6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t>Décrire les opportunités et les menaces associées à cette cible pour l’organisation : enjeux économiques, sociaux, environnementaux, réglementaires ou opérationnels.</t>
      </text>
    </comment>
    <comment ref="E5" authorId="0" shapeId="0" xr:uid="{00000000-0006-0000-07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7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7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700-000007000000}">
      <text>
        <t>Décrire les forces et les faiblesses internes : compétences, moyens humains, financiers et techniques, et partenaires disponibles pour agir sur la cible.</t>
      </text>
    </comment>
    <comment ref="J5" authorId="0" shapeId="0" xr:uid="{00000000-0006-0000-07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7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t>Décrire les opportunités et les menaces associées à cette cible pour l’organisation : enjeux économiques, sociaux, environnementaux, réglementaires ou opérationnels.</t>
      </text>
    </comment>
    <comment ref="G3" authorId="0" shapeId="0" xr:uid="{00000000-0006-0000-1400-000002000000}">
      <text>
        <t>Justifier la note de performance avec les mesures déjà en place, les résultats observés, les indicateurs disponibles et les sources datées. Distinguer les actions réalisées des actions seulement prévues.</t>
      </text>
    </comment>
    <comment ref="I3" authorId="0" shapeId="0" xr:uid="{00000000-0006-0000-1400-000003000000}">
      <text>
        <t>Décrire les forces et les faiblesses internes : compétences, moyens humains, financiers et techniques, et partenaires disponibles pour agir sur la cible.</t>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sharedStrings.xml><?xml version="1.0" encoding="utf-8"?>
<sst xmlns="http://schemas.openxmlformats.org/spreadsheetml/2006/main" count="318" uniqueCount="136">
  <si>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</si>
  <si>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</si>
  <si>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</si>
  <si>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</si>
  <si>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</si>
  <si>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</si>
  <si>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</si>
  <si>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</si>
  <si>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</si>
  <si>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</si>
  <si>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t>
  </si>
  <si>
    <t>Importance de la cible</t>
  </si>
  <si>
    <t>Performance actuelle</t>
  </si>
  <si>
    <t>Compétences interne-externe</t>
  </si>
  <si>
    <t>Priorité</t>
  </si>
  <si>
    <t>Mise en œuvre</t>
  </si>
  <si>
    <t>Enjeux: opportunités et menaces</t>
  </si>
  <si>
    <t>Importance de la cible</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</si>
  <si>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</si>
  <si>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</si>
  <si>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</si>
  <si>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</si>
  <si>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</si>
  <si>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</si>
  <si>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</si>
  <si>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</si>
  <si>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</si>
  <si>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</si>
  <si>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</si>
  <si>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</si>
  <si>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</si>
  <si>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</si>
  <si>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</si>
  <si>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</si>
  <si>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</si>
  <si>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</si>
  <si>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</si>
  <si>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</si>
  <si>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allongeant la durée d’usage des équipements, même au-delà de leur amortissement comptable</t>
  </si>
  <si>
    <t>1.3</t>
  </si>
  <si>
    <t>En éco-concevant les services numériques, et en choisissant des technologies qui contribuent aux Objectifs de développement durable (ODD)</t>
  </si>
  <si>
    <t>1.4</t>
  </si>
  <si>
    <t>En favorisant des usages et des pratiques limitant les consommations de matériels, de ressources, d’énergies et de consommables</t>
  </si>
  <si>
    <t>1.5</t>
  </si>
  <si>
    <t>En considérant nos déchets comme une ressource et leur traitement comme une source d’emplois participant au développement de l’économie circulaire.</t>
  </si>
  <si>
    <t>1.6</t>
  </si>
  <si>
    <t>En privilégiant et en favorisant l’utilisation de sources d’énergies renouvelables.</t>
  </si>
  <si>
    <t>1.7</t>
  </si>
  <si>
    <t>En favorisant l'utilisation d'IA lorsque nécessaire uniquement et en privilégiant des IA frugales</t>
  </si>
  <si>
    <t xml:space="preserve">ONR 2 : Inclusion · S'engager à développer des services numériques accessibles à toutes et tous, inclusifs et durables</t>
  </si>
  <si>
    <t>2.1</t>
  </si>
  <si>
    <t>En généralisant une démarche d’achats responsables avec l’adoption de clauses sociétales et environnementales.</t>
  </si>
  <si>
    <t>2.2</t>
  </si>
  <si>
    <t>En rendant nos services numériques accessibles à toutes et tous, et en mesurant leur conformité au RGAA</t>
  </si>
  <si>
    <t>2.3</t>
  </si>
  <si>
    <t>En déployant les applications autour des 3 U : Utiles, Utilisables, Utilisées pour en simplifier l’usage en intégrant l’accessibilité universelle pour réussir l’e-inclusion de tous</t>
  </si>
  <si>
    <t>2.4</t>
  </si>
  <si>
    <t>En concevant les services avec celles et ceux qui les utiliseront, pour livrer ce dont ils ont besoin et rien de plus</t>
  </si>
  <si>
    <t xml:space="preserve">ONR 3 : RSE · S'engager pour des pratiques numériques éthiques et responsables</t>
  </si>
  <si>
    <t>3.1</t>
  </si>
  <si>
    <t>En développant des usages raisonnés des données et services dans une démarche éthique vis-à-vis des impacts sur l’environnement et les populations.</t>
  </si>
  <si>
    <t>3.2</t>
  </si>
  <si>
    <t>En luttant contre les pratiques trompeuses et présence de dark pattern dans les sites internet et en permettant de se conformer à la réglementation</t>
  </si>
  <si>
    <t>3.3</t>
  </si>
  <si>
    <t>En ne collectant que les données utiles et nécessaires au service des utilisateurs, afin de limiter les risques en matière de vie privée et impacts environnementaux en conformité avec le Règlement Général sur la Protection des Données (RGPD).</t>
  </si>
  <si>
    <t>3.4</t>
  </si>
  <si>
    <t>En favorisant la diversité des recrutements des métiers du numérique</t>
  </si>
  <si>
    <t>3.5</t>
  </si>
  <si>
    <t>En améliorant les conditions des travailleurs du numérique</t>
  </si>
  <si>
    <t>3.6</t>
  </si>
  <si>
    <t>En s’inscrivant résolument dans des dispositifs d’éthique algorithmique sur l’utilisation et la protection des données, notamment au regard de l’intelligence artificielle</t>
  </si>
  <si>
    <t>3.7</t>
  </si>
  <si>
    <t>En déployant et valorisant la démarche RSE</t>
  </si>
  <si>
    <t xml:space="preserve">ONR 4 : Résilience et stratégie · S'engager vers un numérique responsable, indispensable pour assurer la résilience des organisations</t>
  </si>
  <si>
    <t>4.1</t>
  </si>
  <si>
    <t>En respectant l'application des normes communes pour collecter, rassembler, analyser et partager les données sur les impacts des Technologies de l’Information et de la Communication (TIC).</t>
  </si>
  <si>
    <t>4.2</t>
  </si>
  <si>
    <t>En évaluant nos services numériques dans la durée, et en partageant les résultats de ces évaluations</t>
  </si>
  <si>
    <t>4.3</t>
  </si>
  <si>
    <t>En restant innovant dans l’utilisation de nouveaux outils numériques et assurer leur analyse d'impact avec transparence et visibilité pour les utilisateurs</t>
  </si>
  <si>
    <t>4.4</t>
  </si>
  <si>
    <t>En permettant et en garantissant plus de souveraineté numérique</t>
  </si>
  <si>
    <t xml:space="preserve">ONR 5 : Management · S'engager à faire les choses avec sens en respectant et en préservant les ressources qui produisent</t>
  </si>
  <si>
    <t>5.1</t>
  </si>
  <si>
    <t>En incluant l’innovation sociale dans la définition de nouveaux systèmes et services numériques.</t>
  </si>
  <si>
    <t>5.2</t>
  </si>
  <si>
    <t>En valorisant les initiatives internes qui mobilisent l’organisation, favorisent les collaborations transversales et le bien-être au travail.</t>
  </si>
  <si>
    <t>5.3</t>
  </si>
  <si>
    <t>En sollicitant l’engagement et l’expertise des parties prenantes (sur les sujets environnementaux, sociaux et sociétaux)</t>
  </si>
  <si>
    <t>5.4</t>
  </si>
  <si>
    <t>En permettant aux générations futures d’innover pour construire un monde ouvert à l’autre soucieux de l’équilibre des écosystèmes et du bien-vivre ensemble.</t>
  </si>
  <si>
    <t>5.5</t>
  </si>
  <si>
    <t>En suivant les indicateurs de performances et de conformité</t>
  </si>
  <si>
    <t>5.6</t>
  </si>
  <si>
    <t>En proposant des axes d’amélioration et d'innovation autour du NR ( y compris s'ils ne sont pas numériques )</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</si>
  <si>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</si>
  <si>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</si>
  <si>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</si>
  <si>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</si>
  <si>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</si>
  <si>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</si>
  <si>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</si>
  <si>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</si>
  <si>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</si>
  <si>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</si>
  <si>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</si>
  <si>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</si>
  <si>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</si>
  <si>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</si>
  <si>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</si>
  <si>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</si>
  <si>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</si>
  <si>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</si>
  <si>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</si>
  <si>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</si>
  <si>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</si>
  <si>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</si>
  <si>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</si>
  <si>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</si>
  <si>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</si>
  <si>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</si>
  <si>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</si>
  <si>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</si>
  <si>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</si>
  <si>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</si>
  <si>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</si>
  <si>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</si>
  <si>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</si>
  <si>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</si>
  <si>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</si>
  <si>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</si>
  <si>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</si>
  <si>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pour le mettre au service de la transition énergétique</t>
  </si>
  <si>
    <t xml:space="preserve">Compétences </t>
  </si>
  <si>
    <t>Compétences</t>
  </si>
  <si>
    <t>En sollicitant l’engagement et l’expertise des parties prenantes (sur les sujets environnementaux, sociaux et sociétaux)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</si>
</sst>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C]d\ mmm\ yyyy;@"/>
    <numFmt numFmtId="165" formatCode="0.0%"/>
    <numFmt numFmtId="166" formatCode="0"/>
  </numFmts>
  <fonts count="249">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sz val="14"/>
      <color theme="5"/>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1"/>
      <color rgb="FF000000"/>
      <name val="Arial"/>
    </font>
    <font>
      <b/>
      <sz val="11"/>
      <color rgb="FF000000"/>
      <name val="Arial"/>
    </font>
    <font>
      <sz val="11"/>
      <color rgb="FF000000"/>
      <name val="Arial"/>
    </font>
    <font>
      <b/>
      <sz val="18"/>
      <color rgb="FF000000"/>
      <name val="Arial"/>
    </font>
    <font>
      <b/>
      <sz val="12"/>
      <color rgb="FFFFFFFF"/>
      <name val="Arial"/>
    </font>
    <font>
      <b/>
      <sz val="11"/>
      <color rgb="FF404040"/>
      <name val="Arial"/>
    </font>
    <font>
      <b/>
      <sz val="22"/>
      <color rgb="FF000000"/>
      <name val="Arial"/>
    </font>
    <font>
      <sz val="10"/>
      <color rgb="FF404040"/>
      <name val="Arial"/>
    </font>
    <font>
      <sz val="10"/>
      <color rgb="FF404040"/>
      <name val="Arial"/>
    </font>
  </fonts>
  <fills count="237">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solid">
        <fgColor rgb="FFD9D9D9"/>
      </patternFill>
    </fill>
    <fill>
      <patternFill patternType="solid">
        <fgColor rgb="FF4F81BD"/>
      </patternFill>
    </fill>
    <fill>
      <patternFill patternType="solid">
        <fgColor rgb="FF4BACC6"/>
      </patternFill>
    </fill>
    <fill>
      <patternFill patternType="solid">
        <fgColor rgb="FFCCC1DA"/>
      </patternFill>
    </fill>
    <fill>
      <patternFill patternType="solid">
        <fgColor rgb="FFE6B9B8"/>
      </patternFill>
    </fill>
    <fill>
      <patternFill patternType="solid">
        <fgColor rgb="FFF2F2F2"/>
      </patternFill>
    </fill>
    <fill>
      <patternFill patternType="solid">
        <fgColor rgb="FFFFFFFF"/>
      </patternFill>
    </fill>
    <fill>
      <patternFill patternType="solid">
        <fgColor rgb="FFFFF2CC"/>
      </patternFill>
    </fill>
    <fill>
      <patternFill patternType="solid">
        <fgColor rgb="FFF79646"/>
      </patternFill>
    </fill>
    <fill>
      <patternFill patternType="solid">
        <fgColor rgb="FF9BBB59"/>
      </patternFill>
    </fill>
    <fill>
      <patternFill patternType="solid">
        <fgColor rgb="FF00B0F0"/>
      </patternFill>
    </fill>
    <fill>
      <patternFill patternType="solid">
        <fgColor rgb="FF8064A2"/>
      </patternFill>
    </fill>
    <fill>
      <patternFill patternType="solid">
        <fgColor rgb="FFFF0000"/>
      </patternFill>
    </fill>
    <fill>
      <patternFill patternType="solid">
        <fgColor rgb="FFFFC000"/>
      </patternFill>
    </fill>
    <fill>
      <patternFill patternType="solid">
        <fgColor rgb="FFFFFF00"/>
      </patternFill>
    </fill>
    <fill>
      <patternFill patternType="solid">
        <fgColor rgb="FF00B050"/>
      </patternFill>
    </fill>
    <fill>
      <patternFill patternType="solid">
        <fgColor rgb="FFD9EAD3"/>
      </patternFill>
    </fill>
    <fill>
      <patternFill patternType="solid">
        <fgColor rgb="FF92D050"/>
      </patternFill>
    </fill>
    <fill>
      <patternFill patternType="solid">
        <fgColor rgb="FFF2EDF6"/>
      </patternFill>
    </fill>
  </fills>
  <borders count="228">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A6A6A6"/>
      </left>
      <right style="thin">
        <color rgb="FFA6A6A6"/>
      </right>
      <top style="thin">
        <color rgb="FFA6A6A6"/>
      </top>
      <bottom style="thin">
        <color rgb="FFA6A6A6"/>
      </bottom>
    </border>
    <border>
      <left style="thin">
        <color rgb="FF777777"/>
      </left>
      <top style="thin">
        <color rgb="FF777777"/>
      </top>
    </border>
    <border>
      <top style="thin">
        <color rgb="FF777777"/>
      </top>
    </border>
    <border>
      <right style="thin">
        <color rgb="FF777777"/>
      </right>
      <top style="thin">
        <color rgb="FF777777"/>
      </top>
    </border>
    <border>
      <left style="thin">
        <color rgb="FF777777"/>
      </left>
    </border>
    <border>
      <right style="thin">
        <color rgb="FF777777"/>
      </right>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s>
  <cellStyleXfs count="8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7" fillId="53" borderId="53"/>
    <xf numFmtId="4" fontId="58" fillId="53" borderId="53" applyFont="0" applyFill="0" applyBorder="0" applyAlignment="0" applyProtection="0"/>
    <xf numFmtId="0" fontId="58" fillId="55" borderId="53" applyNumberFormat="0" applyFont="0" applyBorder="0" applyAlignment="0" applyProtection="0"/>
    <xf numFmtId="0" fontId="58" fillId="54" borderId="53" applyNumberFormat="0" applyFont="0" applyBorder="0" applyAlignment="0" applyProtection="0"/>
    <xf numFmtId="0" fontId="58" fillId="56" borderId="53" applyNumberFormat="0" applyFont="0" applyBorder="0" applyAlignment="0" applyProtection="0"/>
    <xf numFmtId="0" fontId="58" fillId="53" borderId="53" applyNumberFormat="0" applyFont="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120" fillId="109" borderId="106"/>
    <xf numFmtId="4" fontId="121" fillId="109" borderId="106" applyFont="0" applyFill="0" applyBorder="0" applyAlignment="0" applyProtection="0"/>
    <xf numFmtId="0" fontId="121" fillId="111" borderId="106" applyNumberFormat="0" applyFont="0" applyBorder="0" applyAlignment="0" applyProtection="0"/>
    <xf numFmtId="0" fontId="121" fillId="110" borderId="106" applyNumberFormat="0" applyFont="0" applyBorder="0" applyAlignment="0" applyProtection="0"/>
    <xf numFmtId="0" fontId="121" fillId="112" borderId="106" applyNumberFormat="0" applyFont="0" applyBorder="0" applyAlignment="0" applyProtection="0"/>
    <xf numFmtId="0" fontId="121" fillId="109" borderId="106" applyNumberFormat="0" applyFont="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77" fillId="162" borderId="159"/>
    <xf numFmtId="4" fontId="178" fillId="162" borderId="159" applyFont="0" applyFill="0" applyBorder="0" applyAlignment="0" applyProtection="0"/>
    <xf numFmtId="0" fontId="178" fillId="164" borderId="159" applyNumberFormat="0" applyFont="0" applyBorder="0" applyAlignment="0" applyProtection="0"/>
    <xf numFmtId="0" fontId="178" fillId="163" borderId="159" applyNumberFormat="0" applyFont="0" applyBorder="0" applyAlignment="0" applyProtection="0"/>
    <xf numFmtId="0" fontId="178" fillId="165" borderId="159" applyNumberFormat="0" applyFont="0" applyBorder="0" applyAlignment="0" applyProtection="0"/>
    <xf numFmtId="0" fontId="178" fillId="162" borderId="159" applyNumberFormat="0" applyFont="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cellStyleXfs>
  <cellXfs count="2038">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7" borderId="9" xfId="0" applyFont="1" applyFill="1" applyBorder="1" applyAlignment="1" applyProtection="1">
      <alignment horizontal="center" vertical="center" wrapText="1"/>
      <protection locked="0"/>
    </xf>
    <xf numFmtId="0" fontId="51" fillId="4" borderId="0" xfId="0" applyFont="1" applyFill="1" applyAlignment="1">
      <alignment horizontal="center" vertical="center" wrapText="1"/>
    </xf>
    <xf numFmtId="0" fontId="54" fillId="4" borderId="0" xfId="0" applyFont="1" applyFill="1" applyAlignment="1">
      <alignment horizontal="center" vertical="center" wrapText="1"/>
    </xf>
    <xf numFmtId="0" fontId="52" fillId="4" borderId="0" xfId="0" applyFont="1" applyFill="1" applyAlignment="1">
      <alignment vertical="top" wrapText="1"/>
    </xf>
    <xf numFmtId="0" fontId="55"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6"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3"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57" fillId="53" borderId="53" xfId="20"/>
    <xf numFmtId="0" fontId="57" fillId="57" borderId="53" xfId="20" applyFill="1"/>
    <xf numFmtId="0" fontId="66" fillId="57" borderId="53" xfId="20" applyFont="1" applyFill="1"/>
    <xf numFmtId="0" fontId="66" fillId="53" borderId="69" xfId="20" applyFont="1" applyBorder="1" applyAlignment="1">
      <alignment horizontal="center" vertical="center"/>
    </xf>
    <xf numFmtId="0" fontId="57" fillId="60" borderId="55" xfId="20" applyFill="1" applyBorder="1"/>
    <xf numFmtId="0" fontId="57" fillId="61" borderId="63" xfId="20" applyFill="1" applyBorder="1"/>
    <xf numFmtId="0" fontId="68" fillId="62" borderId="56" xfId="20" applyFont="1" applyFill="1" applyBorder="1" applyAlignment="1">
      <alignment horizontal="center" vertical="center" wrapText="1"/>
    </xf>
    <xf numFmtId="0" fontId="57" fillId="57" borderId="53" xfId="20" applyFill="1" applyAlignment="1">
      <alignment horizontal="left" vertical="center"/>
    </xf>
    <xf numFmtId="0" fontId="68" fillId="60" borderId="62" xfId="20" applyFont="1" applyFill="1" applyBorder="1" applyAlignment="1">
      <alignment horizontal="center" vertical="center" wrapText="1"/>
    </xf>
    <xf numFmtId="0" fontId="68" fillId="62" borderId="62" xfId="20" applyFont="1" applyFill="1" applyBorder="1" applyAlignment="1">
      <alignment horizontal="center" vertical="center" wrapText="1"/>
    </xf>
    <xf numFmtId="0" fontId="66" fillId="53" borderId="70" xfId="20" applyFont="1" applyBorder="1" applyAlignment="1">
      <alignment horizontal="center" vertical="center"/>
    </xf>
    <xf numFmtId="0" fontId="57" fillId="61" borderId="62" xfId="20" applyFill="1" applyBorder="1"/>
    <xf numFmtId="0" fontId="57" fillId="63" borderId="62" xfId="20" applyFill="1" applyBorder="1"/>
    <xf numFmtId="0" fontId="57" fillId="64" borderId="64" xfId="20" applyFill="1" applyBorder="1"/>
    <xf numFmtId="0" fontId="68" fillId="61" borderId="62" xfId="20" applyFont="1" applyFill="1" applyBorder="1" applyAlignment="1">
      <alignment horizontal="center" vertical="center" wrapText="1"/>
    </xf>
    <xf numFmtId="0" fontId="68" fillId="64" borderId="62" xfId="20" applyFont="1" applyFill="1" applyBorder="1" applyAlignment="1">
      <alignment horizontal="center" vertical="center" wrapText="1"/>
    </xf>
    <xf numFmtId="0" fontId="57" fillId="64" borderId="62" xfId="20" applyFill="1" applyBorder="1"/>
    <xf numFmtId="0" fontId="68" fillId="63" borderId="62" xfId="20" applyFont="1" applyFill="1" applyBorder="1" applyAlignment="1">
      <alignment horizontal="center" vertical="center" wrapText="1"/>
    </xf>
    <xf numFmtId="0" fontId="68" fillId="65" borderId="62" xfId="20" applyFont="1" applyFill="1" applyBorder="1" applyAlignment="1">
      <alignment horizontal="center" vertical="center" wrapText="1"/>
    </xf>
    <xf numFmtId="0" fontId="66" fillId="53" borderId="71" xfId="20" applyFont="1" applyBorder="1" applyAlignment="1">
      <alignment horizontal="center" vertical="center"/>
    </xf>
    <xf numFmtId="0" fontId="68" fillId="65" borderId="57" xfId="20" applyFont="1" applyFill="1" applyBorder="1" applyAlignment="1">
      <alignment horizontal="center" vertical="center" wrapText="1"/>
    </xf>
    <xf numFmtId="0" fontId="68" fillId="65" borderId="65" xfId="20" applyFont="1" applyFill="1" applyBorder="1" applyAlignment="1">
      <alignment horizontal="center" vertical="center" wrapText="1"/>
    </xf>
    <xf numFmtId="0" fontId="68" fillId="65" borderId="58" xfId="20" applyFont="1" applyFill="1" applyBorder="1" applyAlignment="1">
      <alignment horizontal="center" vertical="center" wrapText="1"/>
    </xf>
    <xf numFmtId="0" fontId="66" fillId="53" borderId="53" xfId="20" applyFont="1"/>
    <xf numFmtId="0" fontId="66" fillId="53" borderId="72" xfId="20" applyFont="1" applyBorder="1" applyAlignment="1">
      <alignment horizontal="center" vertical="center"/>
    </xf>
    <xf numFmtId="0" fontId="66" fillId="53" borderId="73" xfId="20" applyFont="1" applyBorder="1" applyAlignment="1">
      <alignment horizontal="center" vertical="center"/>
    </xf>
    <xf numFmtId="0" fontId="57" fillId="66" borderId="63" xfId="20" applyFill="1" applyBorder="1"/>
    <xf numFmtId="0" fontId="69" fillId="66" borderId="62" xfId="20" applyFont="1" applyFill="1" applyBorder="1" applyAlignment="1">
      <alignment horizontal="center" vertical="center" wrapText="1"/>
    </xf>
    <xf numFmtId="0" fontId="57" fillId="66" borderId="61" xfId="20" applyFill="1" applyBorder="1"/>
    <xf numFmtId="0" fontId="57" fillId="63" borderId="61" xfId="20" applyFill="1" applyBorder="1"/>
    <xf numFmtId="0" fontId="57" fillId="62" borderId="62" xfId="20" applyFill="1" applyBorder="1"/>
    <xf numFmtId="0" fontId="59" fillId="57" borderId="53" xfId="20" applyFont="1" applyFill="1" applyAlignment="1">
      <alignment horizontal="left" vertical="center"/>
    </xf>
    <xf numFmtId="0" fontId="59" fillId="57" borderId="53" xfId="20" applyFont="1" applyFill="1" applyAlignment="1">
      <alignment horizontal="left" vertical="center" wrapText="1"/>
    </xf>
    <xf numFmtId="0" fontId="59" fillId="57" borderId="55" xfId="20" applyFont="1" applyFill="1" applyBorder="1" applyAlignment="1">
      <alignment horizontal="left" vertical="center" wrapText="1"/>
    </xf>
    <xf numFmtId="0" fontId="71" fillId="57" borderId="56" xfId="20" applyFont="1" applyFill="1" applyBorder="1" applyAlignment="1">
      <alignment horizontal="left" vertical="center" wrapText="1"/>
    </xf>
    <xf numFmtId="0" fontId="59" fillId="57" borderId="66" xfId="20" applyFont="1" applyFill="1" applyBorder="1" applyAlignment="1">
      <alignment horizontal="left" vertical="center" wrapText="1"/>
    </xf>
    <xf numFmtId="0" fontId="71" fillId="57" borderId="68" xfId="20" applyFont="1" applyFill="1" applyBorder="1" applyAlignment="1">
      <alignment horizontal="left" vertical="center" wrapText="1"/>
    </xf>
    <xf numFmtId="0" fontId="59" fillId="57" borderId="61" xfId="20" applyFont="1" applyFill="1" applyBorder="1" applyAlignment="1">
      <alignment horizontal="left" vertical="center" wrapText="1"/>
    </xf>
    <xf numFmtId="0" fontId="71" fillId="57" borderId="64" xfId="20" applyFont="1" applyFill="1" applyBorder="1" applyAlignment="1">
      <alignment horizontal="left" vertical="center" wrapText="1"/>
    </xf>
    <xf numFmtId="0" fontId="59" fillId="57" borderId="87" xfId="20" applyFont="1" applyFill="1" applyBorder="1" applyAlignment="1">
      <alignment horizontal="left" vertical="center" wrapText="1"/>
    </xf>
    <xf numFmtId="0" fontId="71" fillId="57" borderId="88" xfId="20" applyFont="1" applyFill="1" applyBorder="1" applyAlignment="1">
      <alignment horizontal="left" vertical="center" wrapText="1"/>
    </xf>
    <xf numFmtId="0" fontId="59" fillId="57" borderId="57" xfId="20" applyFont="1" applyFill="1" applyBorder="1" applyAlignment="1">
      <alignment horizontal="left" vertical="center" wrapText="1"/>
    </xf>
    <xf numFmtId="0" fontId="71" fillId="57" borderId="58" xfId="20" applyFont="1" applyFill="1" applyBorder="1" applyAlignment="1">
      <alignment horizontal="left" vertical="center" wrapText="1"/>
    </xf>
    <xf numFmtId="164" fontId="71" fillId="57" borderId="58" xfId="20" applyNumberFormat="1" applyFont="1" applyFill="1" applyBorder="1" applyAlignment="1">
      <alignment horizontal="left" vertical="center" wrapText="1"/>
    </xf>
    <xf numFmtId="0" fontId="79" fillId="53" borderId="62" xfId="20" applyFont="1" applyBorder="1" applyAlignment="1">
      <alignment horizontal="center" vertical="center"/>
    </xf>
    <xf numFmtId="0" fontId="80" fillId="65" borderId="62" xfId="20" applyFont="1" applyFill="1" applyBorder="1" applyAlignment="1">
      <alignment horizontal="center" vertical="center" wrapText="1"/>
    </xf>
    <xf numFmtId="0" fontId="62" fillId="57" borderId="53" xfId="20" applyFont="1" applyFill="1"/>
    <xf numFmtId="0" fontId="62" fillId="57" borderId="53" xfId="20" applyFont="1" applyFill="1" applyAlignment="1">
      <alignment horizontal="center" vertical="center" wrapText="1"/>
    </xf>
    <xf numFmtId="0" fontId="62" fillId="57" borderId="53" xfId="20" applyFont="1" applyFill="1" applyAlignment="1">
      <alignment horizontal="left" vertical="top" wrapText="1"/>
    </xf>
    <xf numFmtId="0" fontId="62" fillId="57" borderId="53" xfId="20" applyFont="1" applyFill="1" applyAlignment="1">
      <alignment horizontal="justify"/>
    </xf>
    <xf numFmtId="0" fontId="62" fillId="57" borderId="53" xfId="20" applyFont="1" applyFill="1" applyAlignment="1">
      <alignment horizontal="center" vertical="center"/>
    </xf>
    <xf numFmtId="0" fontId="62" fillId="53" borderId="53" xfId="20" applyFont="1"/>
    <xf numFmtId="0" fontId="63" fillId="57" borderId="53" xfId="20" applyFont="1" applyFill="1" applyAlignment="1">
      <alignment vertical="center"/>
    </xf>
    <xf numFmtId="0" fontId="63" fillId="53" borderId="53" xfId="20" applyFont="1" applyAlignment="1">
      <alignment vertical="center"/>
    </xf>
    <xf numFmtId="0" fontId="62" fillId="53" borderId="53" xfId="20" applyFont="1" applyAlignment="1">
      <alignment horizontal="center" vertical="center" wrapText="1"/>
    </xf>
    <xf numFmtId="0" fontId="62" fillId="53" borderId="53" xfId="20" applyFont="1" applyAlignment="1">
      <alignment horizontal="left" vertical="top" wrapText="1"/>
    </xf>
    <xf numFmtId="0" fontId="62" fillId="53" borderId="53" xfId="20" applyFont="1" applyAlignment="1">
      <alignment horizontal="justify"/>
    </xf>
    <xf numFmtId="0" fontId="62" fillId="53" borderId="53" xfId="20" applyFont="1" applyAlignment="1">
      <alignment horizontal="center" vertical="center"/>
    </xf>
    <xf numFmtId="0" fontId="71" fillId="57" borderId="53" xfId="20" applyFont="1" applyFill="1" applyAlignment="1">
      <alignment horizontal="left" vertical="center" wrapText="1"/>
    </xf>
    <xf numFmtId="0" fontId="65" fillId="57" borderId="53" xfId="20" applyFont="1" applyFill="1" applyAlignment="1">
      <alignment horizontal="left" vertical="center"/>
    </xf>
    <xf numFmtId="0" fontId="65" fillId="53" borderId="53" xfId="20" applyFont="1"/>
    <xf numFmtId="0" fontId="84" fillId="53" borderId="53" xfId="20" applyFont="1"/>
    <xf numFmtId="0" fontId="84" fillId="57" borderId="53" xfId="20" applyFont="1" applyFill="1"/>
    <xf numFmtId="0" fontId="80" fillId="65" borderId="76" xfId="20" applyFont="1" applyFill="1" applyBorder="1" applyAlignment="1">
      <alignment horizontal="center" vertical="center" wrapText="1"/>
    </xf>
    <xf numFmtId="0" fontId="79" fillId="53" borderId="76" xfId="20" applyFont="1" applyBorder="1" applyAlignment="1">
      <alignment horizontal="center" vertical="center"/>
    </xf>
    <xf numFmtId="0" fontId="80" fillId="65" borderId="98" xfId="20" applyFont="1" applyFill="1" applyBorder="1" applyAlignment="1">
      <alignment horizontal="center" vertical="center" wrapText="1"/>
    </xf>
    <xf numFmtId="0" fontId="79" fillId="53" borderId="98" xfId="20" applyFont="1" applyBorder="1" applyAlignment="1">
      <alignment horizontal="center" vertical="center"/>
    </xf>
    <xf numFmtId="0" fontId="68" fillId="65" borderId="63" xfId="20" applyFont="1" applyFill="1" applyBorder="1" applyAlignment="1">
      <alignment horizontal="center" vertical="center" wrapText="1"/>
    </xf>
    <xf numFmtId="0" fontId="68" fillId="65" borderId="100" xfId="20" applyFont="1" applyFill="1" applyBorder="1" applyAlignment="1">
      <alignment horizontal="center" vertical="center" wrapText="1"/>
    </xf>
    <xf numFmtId="0" fontId="68" fillId="65" borderId="82" xfId="20" applyFont="1" applyFill="1" applyBorder="1" applyAlignment="1">
      <alignment horizontal="center" vertical="center" wrapText="1"/>
    </xf>
    <xf numFmtId="0" fontId="70" fillId="53" borderId="61" xfId="20" applyFont="1" applyBorder="1" applyAlignment="1">
      <alignment vertical="top" wrapText="1"/>
    </xf>
    <xf numFmtId="0" fontId="79" fillId="53" borderId="64" xfId="20" applyFont="1" applyBorder="1" applyAlignment="1">
      <alignment horizontal="center" vertical="center"/>
    </xf>
    <xf numFmtId="0" fontId="70" fillId="53" borderId="77" xfId="20" applyFont="1" applyBorder="1" applyAlignment="1">
      <alignment vertical="top" wrapText="1"/>
    </xf>
    <xf numFmtId="0" fontId="57" fillId="86" borderId="99" xfId="20" applyFill="1" applyBorder="1" applyAlignment="1">
      <alignment horizontal="center"/>
    </xf>
    <xf numFmtId="0" fontId="57" fillId="90" borderId="99" xfId="20" applyFill="1" applyBorder="1" applyAlignment="1">
      <alignment horizontal="center"/>
    </xf>
    <xf numFmtId="0" fontId="57" fillId="91" borderId="99" xfId="20" applyFill="1" applyBorder="1" applyAlignment="1">
      <alignment horizontal="center"/>
    </xf>
    <xf numFmtId="0" fontId="57" fillId="88" borderId="99" xfId="20" applyFill="1" applyBorder="1" applyAlignment="1">
      <alignment horizontal="center"/>
    </xf>
    <xf numFmtId="0" fontId="57" fillId="64" borderId="99" xfId="20" applyFill="1" applyBorder="1" applyAlignment="1">
      <alignment horizontal="center"/>
    </xf>
    <xf numFmtId="0" fontId="88" fillId="53" borderId="53" xfId="20" applyFont="1" applyAlignment="1"/>
    <xf numFmtId="0" fontId="90" fillId="59" borderId="55" xfId="20" applyFont="1" applyFill="1" applyBorder="1" applyAlignment="1">
      <alignment horizontal="center" vertical="center" wrapText="1"/>
    </xf>
    <xf numFmtId="0" fontId="90" fillId="59" borderId="97" xfId="20" applyFont="1" applyFill="1" applyBorder="1" applyAlignment="1">
      <alignment vertical="center" wrapText="1"/>
    </xf>
    <xf numFmtId="0" fontId="73" fillId="70" borderId="57" xfId="20" applyFont="1" applyFill="1" applyBorder="1" applyAlignment="1">
      <alignment horizontal="center" vertical="center" wrapText="1"/>
    </xf>
    <xf numFmtId="0" fontId="73" fillId="70" borderId="58" xfId="20" applyFont="1" applyFill="1" applyBorder="1" applyAlignment="1">
      <alignment horizontal="center" vertical="center" wrapText="1"/>
    </xf>
    <xf numFmtId="0" fontId="73" fillId="59" borderId="57" xfId="20" applyFont="1" applyFill="1" applyBorder="1" applyAlignment="1">
      <alignment horizontal="center" vertical="center" wrapText="1"/>
    </xf>
    <xf numFmtId="0" fontId="91" fillId="53" borderId="65" xfId="20" applyFont="1" applyBorder="1" applyAlignment="1"/>
    <xf numFmtId="0" fontId="91" fillId="57" borderId="65" xfId="20" applyFont="1" applyFill="1" applyBorder="1" applyAlignment="1"/>
    <xf numFmtId="0" fontId="73" fillId="69" borderId="65" xfId="20" applyFont="1" applyFill="1" applyBorder="1" applyAlignment="1">
      <alignment horizontal="center" vertical="center" wrapText="1"/>
    </xf>
    <xf numFmtId="0" fontId="73" fillId="69" borderId="58" xfId="20" applyFont="1" applyFill="1" applyBorder="1" applyAlignment="1">
      <alignment horizontal="center" vertical="center" wrapText="1"/>
    </xf>
    <xf numFmtId="0" fontId="91" fillId="53" borderId="62" xfId="20" applyFont="1" applyBorder="1"/>
    <xf numFmtId="0" fontId="91" fillId="53" borderId="62" xfId="20" applyFont="1" applyBorder="1" applyAlignment="1">
      <alignment wrapText="1"/>
    </xf>
    <xf numFmtId="0" fontId="91" fillId="53" borderId="62" xfId="20" applyFont="1" applyBorder="1" applyAlignment="1">
      <alignment wrapText="1"/>
    </xf>
    <xf numFmtId="0" fontId="91" fillId="57" borderId="62" xfId="20" applyFont="1" applyFill="1" applyBorder="1"/>
    <xf numFmtId="0" fontId="91" fillId="81" borderId="62" xfId="20" applyFont="1" applyFill="1" applyBorder="1"/>
    <xf numFmtId="0" fontId="91" fillId="81" borderId="62" xfId="20" applyFont="1" applyFill="1" applyBorder="1" applyAlignment="1">
      <alignment wrapText="1"/>
    </xf>
    <xf numFmtId="0" fontId="91" fillId="81" borderId="62" xfId="20" applyFont="1" applyFill="1" applyBorder="1" applyAlignment="1">
      <alignment wrapText="1"/>
    </xf>
    <xf numFmtId="0" fontId="91" fillId="77" borderId="62" xfId="20" applyFont="1" applyFill="1" applyBorder="1"/>
    <xf numFmtId="0" fontId="91" fillId="75" borderId="62" xfId="20" applyFont="1" applyFill="1" applyBorder="1"/>
    <xf numFmtId="0" fontId="91" fillId="75" borderId="62" xfId="20" applyFont="1" applyFill="1" applyBorder="1" applyAlignment="1">
      <alignment wrapText="1"/>
    </xf>
    <xf numFmtId="0" fontId="91" fillId="75" borderId="62" xfId="20" applyFont="1" applyFill="1" applyBorder="1" applyAlignment="1">
      <alignment wrapText="1"/>
    </xf>
    <xf numFmtId="0" fontId="91" fillId="74" borderId="62" xfId="20" applyFont="1" applyFill="1" applyBorder="1"/>
    <xf numFmtId="0" fontId="92" fillId="59" borderId="57" xfId="20" applyFont="1" applyFill="1" applyBorder="1" applyAlignment="1">
      <alignment horizontal="center" vertical="center" wrapText="1"/>
    </xf>
    <xf numFmtId="0" fontId="93" fillId="53" borderId="65" xfId="20" applyFont="1" applyBorder="1" applyAlignment="1"/>
    <xf numFmtId="0" fontId="93" fillId="57" borderId="65" xfId="20" applyFont="1" applyFill="1" applyBorder="1" applyAlignment="1"/>
    <xf numFmtId="0" fontId="92" fillId="69" borderId="65" xfId="20" applyFont="1" applyFill="1" applyBorder="1" applyAlignment="1">
      <alignment horizontal="center" vertical="center" wrapText="1"/>
    </xf>
    <xf numFmtId="0" fontId="91" fillId="94" borderId="62" xfId="20" applyFont="1" applyFill="1" applyBorder="1"/>
    <xf numFmtId="0" fontId="91" fillId="94" borderId="62" xfId="20" applyFont="1" applyFill="1" applyBorder="1" applyAlignment="1">
      <alignment wrapText="1"/>
    </xf>
    <xf numFmtId="0" fontId="91" fillId="94" borderId="62" xfId="20" applyFont="1" applyFill="1" applyBorder="1" applyAlignment="1">
      <alignment wrapText="1"/>
    </xf>
    <xf numFmtId="0" fontId="91" fillId="95" borderId="62" xfId="20" applyFont="1" applyFill="1" applyBorder="1"/>
    <xf numFmtId="0" fontId="91" fillId="95" borderId="62" xfId="20" applyFont="1" applyFill="1" applyBorder="1" applyAlignment="1">
      <alignment wrapText="1"/>
    </xf>
    <xf numFmtId="0" fontId="91" fillId="95" borderId="62" xfId="20" applyFont="1" applyFill="1" applyBorder="1" applyAlignment="1">
      <alignment wrapText="1"/>
    </xf>
    <xf numFmtId="0" fontId="91" fillId="57" borderId="62" xfId="20" applyFont="1" applyFill="1" applyBorder="1" applyAlignment="1">
      <alignment horizontal="center" vertical="center" wrapText="1"/>
    </xf>
    <xf numFmtId="0" fontId="59" fillId="59" borderId="69" xfId="20" applyFont="1" applyFill="1" applyBorder="1" applyAlignment="1">
      <alignment horizontal="center" vertical="center" wrapText="1"/>
    </xf>
    <xf numFmtId="0" fontId="59" fillId="59" borderId="97" xfId="20" applyFont="1" applyFill="1" applyBorder="1" applyAlignment="1">
      <alignment horizontal="center" vertical="center" wrapText="1"/>
    </xf>
    <xf numFmtId="0" fontId="63" fillId="57" borderId="53" xfId="20" applyFont="1" applyFill="1" applyAlignment="1">
      <alignment horizontal="center" vertical="center"/>
    </xf>
    <xf numFmtId="0" fontId="63" fillId="53" borderId="53" xfId="20" applyFont="1" applyAlignment="1">
      <alignment horizontal="center" vertical="center"/>
    </xf>
    <xf numFmtId="0" fontId="76" fillId="57" borderId="53" xfId="20" applyFont="1" applyFill="1" applyAlignment="1">
      <alignment horizontal="center" vertical="center"/>
    </xf>
    <xf numFmtId="0" fontId="76" fillId="53" borderId="53" xfId="20" applyFont="1" applyAlignment="1">
      <alignment horizontal="center" vertical="center"/>
    </xf>
    <xf numFmtId="0" fontId="76" fillId="53" borderId="62" xfId="20" applyFont="1" applyBorder="1" applyAlignment="1">
      <alignment horizontal="center" vertical="center"/>
    </xf>
    <xf numFmtId="0" fontId="93" fillId="53" borderId="65" xfId="20" applyFont="1" applyBorder="1" applyAlignment="1">
      <alignment horizontal="center" vertical="center"/>
    </xf>
    <xf numFmtId="0" fontId="93" fillId="57" borderId="65" xfId="20" applyFont="1" applyFill="1" applyBorder="1" applyAlignment="1">
      <alignment horizontal="center" vertical="center"/>
    </xf>
    <xf numFmtId="0" fontId="93" fillId="68" borderId="58" xfId="20" applyFont="1" applyFill="1" applyBorder="1" applyAlignment="1">
      <alignment horizontal="center" vertical="center" wrapText="1"/>
    </xf>
    <xf numFmtId="0" fontId="93" fillId="70" borderId="57" xfId="20" applyFont="1" applyFill="1" applyBorder="1" applyAlignment="1">
      <alignment horizontal="center" vertical="center" wrapText="1"/>
    </xf>
    <xf numFmtId="0" fontId="93" fillId="70" borderId="58" xfId="20" applyFont="1" applyFill="1" applyBorder="1" applyAlignment="1">
      <alignment horizontal="center" vertical="center" wrapText="1"/>
    </xf>
    <xf numFmtId="0" fontId="93" fillId="59" borderId="57" xfId="20" applyFont="1" applyFill="1" applyBorder="1" applyAlignment="1">
      <alignment horizontal="center" vertical="center" wrapText="1"/>
    </xf>
    <xf numFmtId="0" fontId="93" fillId="69" borderId="57" xfId="20" applyFont="1" applyFill="1" applyBorder="1" applyAlignment="1">
      <alignment horizontal="center" vertical="center" wrapText="1"/>
    </xf>
    <xf numFmtId="0" fontId="93" fillId="69" borderId="65" xfId="20" applyFont="1" applyFill="1" applyBorder="1" applyAlignment="1">
      <alignment horizontal="center" vertical="center" wrapText="1"/>
    </xf>
    <xf numFmtId="0" fontId="93" fillId="69" borderId="92" xfId="20" applyFont="1" applyFill="1" applyBorder="1" applyAlignment="1">
      <alignment horizontal="center" vertical="center" wrapText="1"/>
    </xf>
    <xf numFmtId="0" fontId="93" fillId="84" borderId="61" xfId="20" applyFont="1" applyFill="1" applyBorder="1" applyAlignment="1">
      <alignment horizontal="center" vertical="center" wrapText="1"/>
    </xf>
    <xf numFmtId="0" fontId="93" fillId="84" borderId="64" xfId="20" applyFont="1" applyFill="1" applyBorder="1" applyAlignment="1">
      <alignment horizontal="center" vertical="center" wrapText="1"/>
    </xf>
    <xf numFmtId="0" fontId="94" fillId="60" borderId="65" xfId="20" applyFont="1" applyFill="1" applyBorder="1" applyAlignment="1">
      <alignment horizontal="center" vertical="center" wrapText="1"/>
    </xf>
    <xf numFmtId="0" fontId="95" fillId="66" borderId="65" xfId="20" applyFont="1" applyFill="1" applyBorder="1" applyAlignment="1">
      <alignment horizontal="center" vertical="center" wrapText="1"/>
    </xf>
    <xf numFmtId="0" fontId="94" fillId="61" borderId="65" xfId="20" applyFont="1" applyFill="1" applyBorder="1" applyAlignment="1">
      <alignment horizontal="center" vertical="center" wrapText="1"/>
    </xf>
    <xf numFmtId="0" fontId="94" fillId="63" borderId="65" xfId="20" applyFont="1" applyFill="1" applyBorder="1" applyAlignment="1">
      <alignment horizontal="center" vertical="center" wrapText="1"/>
    </xf>
    <xf numFmtId="0" fontId="94" fillId="62" borderId="65" xfId="20" applyFont="1" applyFill="1" applyBorder="1" applyAlignment="1">
      <alignment horizontal="center" vertical="center" wrapText="1"/>
    </xf>
    <xf numFmtId="0" fontId="94" fillId="64" borderId="65" xfId="20" applyFont="1" applyFill="1" applyBorder="1" applyAlignment="1">
      <alignment horizontal="center" vertical="center" wrapText="1"/>
    </xf>
    <xf numFmtId="0" fontId="94" fillId="65" borderId="65" xfId="20" applyFont="1" applyFill="1" applyBorder="1" applyAlignment="1">
      <alignment horizontal="center" vertical="center" wrapText="1"/>
    </xf>
    <xf numFmtId="0" fontId="75" fillId="57" borderId="53" xfId="20" applyFont="1" applyFill="1" applyAlignment="1">
      <alignment horizontal="left" vertical="center"/>
    </xf>
    <xf numFmtId="0" fontId="75" fillId="53" borderId="53" xfId="20" applyFont="1"/>
    <xf numFmtId="0" fontId="75" fillId="92" borderId="53" xfId="20" applyFont="1" applyFill="1"/>
    <xf numFmtId="0" fontId="91" fillId="67" borderId="62" xfId="20" applyFont="1" applyFill="1" applyBorder="1" applyAlignment="1">
      <alignment horizontal="left" vertical="center" wrapText="1"/>
    </xf>
    <xf numFmtId="0" fontId="91" fillId="70" borderId="62" xfId="20" applyFont="1" applyFill="1" applyBorder="1" applyAlignment="1">
      <alignment horizontal="center" vertical="center" wrapText="1"/>
    </xf>
    <xf numFmtId="0" fontId="91" fillId="70" borderId="62" xfId="20" applyFont="1" applyFill="1" applyBorder="1" applyAlignment="1">
      <alignment horizontal="left" vertical="center" wrapText="1"/>
    </xf>
    <xf numFmtId="0" fontId="91" fillId="69" borderId="62" xfId="20" applyFont="1" applyFill="1" applyBorder="1" applyAlignment="1">
      <alignment horizontal="center" vertical="center" wrapText="1"/>
    </xf>
    <xf numFmtId="0" fontId="91" fillId="69" borderId="62" xfId="20" applyFont="1" applyFill="1" applyBorder="1" applyAlignment="1">
      <alignment vertical="center" wrapText="1"/>
    </xf>
    <xf numFmtId="0" fontId="91" fillId="77" borderId="62" xfId="20" applyFont="1" applyFill="1" applyBorder="1" applyAlignment="1">
      <alignment horizontal="center" vertical="center" wrapText="1"/>
    </xf>
    <xf numFmtId="0" fontId="91" fillId="82" borderId="62" xfId="20" applyFont="1" applyFill="1" applyBorder="1" applyAlignment="1">
      <alignment horizontal="center" vertical="center" wrapText="1"/>
    </xf>
    <xf numFmtId="0" fontId="91" fillId="82" borderId="62" xfId="20" applyFont="1" applyFill="1" applyBorder="1" applyAlignment="1">
      <alignment horizontal="left" vertical="center" wrapText="1"/>
    </xf>
    <xf numFmtId="0" fontId="91" fillId="74" borderId="62" xfId="20" applyFont="1" applyFill="1" applyBorder="1" applyAlignment="1">
      <alignment horizontal="center" vertical="center" wrapText="1"/>
    </xf>
    <xf numFmtId="0" fontId="91" fillId="76" borderId="62" xfId="20" applyFont="1" applyFill="1" applyBorder="1" applyAlignment="1">
      <alignment horizontal="center" vertical="center" wrapText="1"/>
    </xf>
    <xf numFmtId="0" fontId="91" fillId="76"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94" borderId="62" xfId="20" applyFont="1" applyFill="1" applyBorder="1" applyAlignment="1">
      <alignment horizontal="center" vertical="center" wrapText="1"/>
    </xf>
    <xf numFmtId="0" fontId="91" fillId="57" borderId="77" xfId="20" applyFont="1" applyFill="1" applyBorder="1" applyAlignment="1">
      <alignment horizontal="center" vertical="center" wrapText="1"/>
    </xf>
    <xf numFmtId="0" fontId="91" fillId="57" borderId="61" xfId="20" applyFont="1" applyFill="1" applyBorder="1" applyAlignment="1">
      <alignment horizontal="center" vertical="center" wrapText="1"/>
    </xf>
    <xf numFmtId="0" fontId="91" fillId="77" borderId="61" xfId="20" applyFont="1" applyFill="1" applyBorder="1" applyAlignment="1">
      <alignment horizontal="center" vertical="center" wrapText="1"/>
    </xf>
    <xf numFmtId="0" fontId="91" fillId="57" borderId="66" xfId="20" applyFont="1" applyFill="1" applyBorder="1" applyAlignment="1">
      <alignment horizontal="center" vertical="center" wrapText="1"/>
    </xf>
    <xf numFmtId="0" fontId="100" fillId="96" borderId="85" xfId="20" applyFont="1" applyFill="1" applyBorder="1" applyAlignment="1">
      <alignment horizontal="center" vertical="center" wrapText="1"/>
    </xf>
    <xf numFmtId="0" fontId="100" fillId="96" borderId="102" xfId="20" applyFont="1" applyFill="1" applyBorder="1" applyAlignment="1">
      <alignment horizontal="center" vertical="center" wrapText="1"/>
    </xf>
    <xf numFmtId="0" fontId="100" fillId="97" borderId="57" xfId="20" applyFont="1" applyFill="1" applyBorder="1" applyAlignment="1">
      <alignment horizontal="center" vertical="center" wrapText="1"/>
    </xf>
    <xf numFmtId="0" fontId="100" fillId="97" borderId="102" xfId="20" applyFont="1" applyFill="1" applyBorder="1" applyAlignment="1">
      <alignment horizontal="center" vertical="center" wrapText="1"/>
    </xf>
    <xf numFmtId="0" fontId="73" fillId="58" borderId="57" xfId="20" applyFont="1" applyFill="1" applyBorder="1" applyAlignment="1">
      <alignment horizontal="center" vertical="center" wrapText="1"/>
    </xf>
    <xf numFmtId="0" fontId="73" fillId="58" borderId="58" xfId="20" applyFont="1" applyFill="1" applyBorder="1" applyAlignment="1">
      <alignment horizontal="center" vertical="center" wrapText="1"/>
    </xf>
    <xf numFmtId="0" fontId="73" fillId="98" borderId="57" xfId="20" applyFont="1" applyFill="1" applyBorder="1" applyAlignment="1">
      <alignment horizontal="center" vertical="center" wrapText="1"/>
    </xf>
    <xf numFmtId="0" fontId="73" fillId="98" borderId="58" xfId="20" applyFont="1" applyFill="1" applyBorder="1" applyAlignment="1">
      <alignment horizontal="center" vertical="center" wrapText="1"/>
    </xf>
    <xf numFmtId="0" fontId="100" fillId="99" borderId="85" xfId="20" applyFont="1" applyFill="1" applyBorder="1" applyAlignment="1">
      <alignment horizontal="center" vertical="center" wrapText="1"/>
    </xf>
    <xf numFmtId="0" fontId="100" fillId="99" borderId="102"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70" borderId="62" xfId="20" applyFont="1" applyFill="1" applyBorder="1" applyAlignment="1">
      <alignment vertical="center" wrapText="1"/>
    </xf>
    <xf numFmtId="0" fontId="102" fillId="60" borderId="65" xfId="20" applyFont="1" applyFill="1" applyBorder="1" applyAlignment="1">
      <alignment horizontal="center" vertical="center" wrapText="1"/>
    </xf>
    <xf numFmtId="0" fontId="90" fillId="66" borderId="65" xfId="20" applyFont="1" applyFill="1" applyBorder="1" applyAlignment="1">
      <alignment horizontal="center" vertical="center" wrapText="1"/>
    </xf>
    <xf numFmtId="0" fontId="102" fillId="61" borderId="65" xfId="20" applyFont="1" applyFill="1" applyBorder="1" applyAlignment="1">
      <alignment horizontal="center" vertical="center" wrapText="1"/>
    </xf>
    <xf numFmtId="0" fontId="102" fillId="63" borderId="65" xfId="20" applyFont="1" applyFill="1" applyBorder="1" applyAlignment="1">
      <alignment horizontal="center" vertical="center" wrapText="1"/>
    </xf>
    <xf numFmtId="0" fontId="102" fillId="62" borderId="65" xfId="20" applyFont="1" applyFill="1" applyBorder="1" applyAlignment="1">
      <alignment horizontal="center" vertical="center" wrapText="1"/>
    </xf>
    <xf numFmtId="0" fontId="102" fillId="64" borderId="65" xfId="20" applyFont="1" applyFill="1" applyBorder="1" applyAlignment="1">
      <alignment horizontal="center" vertical="center" wrapText="1"/>
    </xf>
    <xf numFmtId="0" fontId="102" fillId="65" borderId="65" xfId="20" applyFont="1" applyFill="1" applyBorder="1" applyAlignment="1">
      <alignment horizontal="center" vertical="center" wrapText="1"/>
    </xf>
    <xf numFmtId="0" fontId="75" fillId="57" borderId="61" xfId="20" applyFont="1" applyFill="1" applyBorder="1" applyAlignment="1">
      <alignment horizontal="center" vertical="center" wrapText="1"/>
    </xf>
    <xf numFmtId="0" fontId="93" fillId="57" borderId="61" xfId="20" applyFont="1" applyFill="1" applyBorder="1" applyAlignment="1">
      <alignment horizontal="center" vertical="center" wrapText="1"/>
    </xf>
    <xf numFmtId="0" fontId="75" fillId="53" borderId="53" xfId="20" applyFont="1" applyAlignment="1">
      <alignment wrapText="1"/>
    </xf>
    <xf numFmtId="0" fontId="91" fillId="69" borderId="62" xfId="20" applyFont="1" applyFill="1" applyBorder="1" applyAlignment="1">
      <alignment horizontal="center" vertical="center" wrapText="1"/>
    </xf>
    <xf numFmtId="0" fontId="91" fillId="67" borderId="62" xfId="20" applyFont="1" applyFill="1" applyBorder="1" applyAlignment="1">
      <alignment vertical="center" wrapText="1"/>
    </xf>
    <xf numFmtId="0" fontId="103" fillId="60" borderId="65" xfId="20" applyFont="1" applyFill="1" applyBorder="1" applyAlignment="1">
      <alignment horizontal="center" vertical="center" wrapText="1"/>
    </xf>
    <xf numFmtId="0" fontId="104" fillId="66" borderId="65" xfId="20" applyFont="1" applyFill="1" applyBorder="1" applyAlignment="1">
      <alignment horizontal="center" vertical="center" wrapText="1"/>
    </xf>
    <xf numFmtId="0" fontId="103" fillId="61" borderId="65" xfId="20" applyFont="1" applyFill="1" applyBorder="1" applyAlignment="1">
      <alignment horizontal="center" vertical="center" wrapText="1"/>
    </xf>
    <xf numFmtId="0" fontId="103" fillId="63" borderId="65" xfId="20" applyFont="1" applyFill="1" applyBorder="1" applyAlignment="1">
      <alignment horizontal="center" vertical="center" wrapText="1"/>
    </xf>
    <xf numFmtId="0" fontId="103" fillId="62" borderId="65" xfId="20" applyFont="1" applyFill="1" applyBorder="1" applyAlignment="1">
      <alignment horizontal="center" vertical="center" wrapText="1"/>
    </xf>
    <xf numFmtId="0" fontId="103" fillId="64" borderId="65" xfId="20" applyFont="1" applyFill="1" applyBorder="1" applyAlignment="1">
      <alignment horizontal="center" vertical="center" wrapText="1"/>
    </xf>
    <xf numFmtId="0" fontId="103" fillId="65" borderId="65" xfId="20" applyFont="1" applyFill="1" applyBorder="1" applyAlignment="1">
      <alignment horizontal="center" vertical="center" wrapText="1"/>
    </xf>
    <xf numFmtId="0" fontId="105" fillId="65" borderId="62" xfId="20" applyFont="1" applyFill="1" applyBorder="1" applyAlignment="1">
      <alignment horizontal="center" vertical="center" wrapText="1"/>
    </xf>
    <xf numFmtId="0" fontId="105" fillId="60" borderId="62" xfId="20" applyFont="1" applyFill="1" applyBorder="1" applyAlignment="1">
      <alignment horizontal="center" vertical="center" wrapText="1"/>
    </xf>
    <xf numFmtId="0" fontId="59" fillId="66" borderId="62" xfId="20" applyFont="1" applyFill="1" applyBorder="1" applyAlignment="1">
      <alignment horizontal="center" vertical="center" wrapText="1"/>
    </xf>
    <xf numFmtId="0" fontId="105" fillId="61" borderId="62" xfId="20" applyFont="1" applyFill="1" applyBorder="1" applyAlignment="1">
      <alignment horizontal="center" vertical="center" wrapText="1"/>
    </xf>
    <xf numFmtId="0" fontId="105" fillId="63" borderId="62" xfId="20" applyFont="1" applyFill="1" applyBorder="1" applyAlignment="1">
      <alignment horizontal="center" vertical="center" wrapText="1"/>
    </xf>
    <xf numFmtId="0" fontId="105" fillId="62" borderId="62" xfId="20" applyFont="1" applyFill="1" applyBorder="1" applyAlignment="1">
      <alignment horizontal="center" vertical="center" wrapText="1"/>
    </xf>
    <xf numFmtId="0" fontId="105" fillId="64" borderId="62" xfId="20" applyFont="1" applyFill="1" applyBorder="1" applyAlignment="1">
      <alignment horizontal="center" vertical="center" wrapText="1"/>
    </xf>
    <xf numFmtId="0" fontId="75" fillId="57" borderId="53" xfId="20" applyFont="1" applyFill="1" applyAlignment="1">
      <alignment horizontal="center" vertical="center"/>
    </xf>
    <xf numFmtId="0" fontId="91" fillId="68" borderId="78" xfId="20" applyFont="1" applyFill="1" applyBorder="1" applyAlignment="1">
      <alignment horizontal="center" vertical="center" wrapText="1"/>
    </xf>
    <xf numFmtId="0" fontId="91" fillId="70" borderId="62" xfId="20" applyFont="1" applyFill="1" applyBorder="1" applyAlignment="1">
      <alignment horizontal="center" vertical="center" wrapText="1"/>
    </xf>
    <xf numFmtId="0" fontId="91" fillId="70"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75" fillId="53" borderId="53" xfId="20" applyFont="1" applyAlignment="1">
      <alignment horizontal="center" vertical="center"/>
    </xf>
    <xf numFmtId="0" fontId="75" fillId="53" borderId="62" xfId="20" applyFont="1" applyBorder="1" applyAlignment="1">
      <alignment horizontal="center" vertical="center"/>
    </xf>
    <xf numFmtId="0" fontId="91" fillId="68" borderId="62" xfId="20" applyFont="1" applyFill="1" applyBorder="1" applyAlignment="1">
      <alignment horizontal="center" vertical="center" wrapText="1"/>
    </xf>
    <xf numFmtId="0" fontId="91" fillId="79" borderId="62" xfId="20" applyFont="1" applyFill="1" applyBorder="1" applyAlignment="1">
      <alignment horizontal="center" vertical="center" wrapText="1"/>
    </xf>
    <xf numFmtId="0" fontId="91" fillId="80" borderId="62" xfId="20" applyFont="1" applyFill="1" applyBorder="1" applyAlignment="1">
      <alignment horizontal="center" vertical="center" wrapText="1"/>
    </xf>
    <xf numFmtId="0" fontId="91" fillId="83" borderId="62" xfId="20" applyFont="1" applyFill="1" applyBorder="1" applyAlignment="1">
      <alignment horizontal="center" vertical="center" wrapText="1"/>
    </xf>
    <xf numFmtId="0" fontId="91" fillId="72" borderId="62" xfId="20" applyFont="1" applyFill="1" applyBorder="1" applyAlignment="1">
      <alignment horizontal="center" vertical="center" wrapText="1"/>
    </xf>
    <xf numFmtId="0" fontId="91" fillId="73" borderId="62" xfId="20" applyFont="1" applyFill="1" applyBorder="1" applyAlignment="1">
      <alignment horizontal="center" vertical="center" wrapText="1"/>
    </xf>
    <xf numFmtId="0" fontId="91" fillId="72" borderId="67" xfId="20" applyFont="1" applyFill="1" applyBorder="1" applyAlignment="1">
      <alignment horizontal="center" vertical="center" wrapText="1"/>
    </xf>
    <xf numFmtId="0" fontId="91" fillId="73" borderId="67" xfId="20" applyFont="1" applyFill="1" applyBorder="1" applyAlignment="1">
      <alignment horizontal="center" vertical="center" wrapText="1"/>
    </xf>
    <xf numFmtId="0" fontId="91" fillId="76" borderId="67" xfId="20" applyFont="1" applyFill="1" applyBorder="1" applyAlignment="1">
      <alignment horizontal="center" vertical="center" wrapText="1"/>
    </xf>
    <xf numFmtId="0" fontId="91" fillId="70" borderId="67" xfId="20" applyFont="1" applyFill="1" applyBorder="1" applyAlignment="1">
      <alignment horizontal="center" vertical="center" wrapText="1"/>
    </xf>
    <xf numFmtId="0" fontId="62" fillId="57" borderId="53" xfId="20" applyFont="1" applyFill="1" applyAlignment="1">
      <alignment horizontal="left" vertical="center" wrapText="1"/>
    </xf>
    <xf numFmtId="0" fontId="91" fillId="57" borderId="78" xfId="20" applyFont="1" applyFill="1" applyBorder="1" applyAlignment="1">
      <alignment horizontal="left" vertical="center" wrapText="1"/>
    </xf>
    <xf numFmtId="0" fontId="91" fillId="57" borderId="62" xfId="20" applyFont="1" applyFill="1" applyBorder="1" applyAlignment="1">
      <alignment horizontal="left" vertical="center" wrapText="1"/>
    </xf>
    <xf numFmtId="0" fontId="91" fillId="57" borderId="67" xfId="20" applyFont="1" applyFill="1" applyBorder="1" applyAlignment="1">
      <alignment horizontal="left" vertical="center" wrapText="1"/>
    </xf>
    <xf numFmtId="0" fontId="98" fillId="92" borderId="78" xfId="20" applyFont="1" applyFill="1" applyBorder="1" applyAlignment="1">
      <alignment horizontal="left" vertical="center" wrapText="1"/>
    </xf>
    <xf numFmtId="0" fontId="62" fillId="53" borderId="53" xfId="20" applyFont="1" applyAlignment="1">
      <alignment horizontal="left" vertical="center" wrapText="1"/>
    </xf>
    <xf numFmtId="0" fontId="91" fillId="67" borderId="78" xfId="20" applyFont="1" applyFill="1" applyBorder="1" applyAlignment="1">
      <alignment horizontal="left" vertical="center" wrapText="1"/>
    </xf>
    <xf numFmtId="0" fontId="91" fillId="70" borderId="62" xfId="20" applyFont="1" applyFill="1" applyBorder="1" applyAlignment="1">
      <alignment horizontal="left" vertical="center" wrapText="1"/>
    </xf>
    <xf numFmtId="0" fontId="91" fillId="70" borderId="78" xfId="20" applyFont="1" applyFill="1" applyBorder="1" applyAlignment="1">
      <alignment horizontal="left" vertical="center" wrapText="1"/>
    </xf>
    <xf numFmtId="0" fontId="91" fillId="92" borderId="78" xfId="20" applyFont="1" applyFill="1" applyBorder="1" applyAlignment="1">
      <alignment horizontal="left" vertical="center" wrapText="1"/>
    </xf>
    <xf numFmtId="0" fontId="91" fillId="92" borderId="78" xfId="20" applyFont="1" applyFill="1" applyBorder="1" applyAlignment="1">
      <alignment horizontal="left" vertical="center"/>
    </xf>
    <xf numFmtId="0" fontId="91" fillId="92" borderId="78" xfId="20" applyFont="1" applyFill="1" applyBorder="1" applyAlignment="1">
      <alignment horizontal="left" vertical="center" wrapText="1"/>
    </xf>
    <xf numFmtId="0" fontId="91" fillId="69" borderId="78" xfId="20" applyFont="1" applyFill="1" applyBorder="1" applyAlignment="1">
      <alignment horizontal="left" vertical="center" wrapText="1"/>
    </xf>
    <xf numFmtId="0" fontId="91" fillId="84" borderId="78" xfId="20" applyFont="1" applyFill="1" applyBorder="1" applyAlignment="1">
      <alignment horizontal="left" vertical="center" wrapText="1"/>
    </xf>
    <xf numFmtId="0" fontId="91" fillId="67" borderId="62" xfId="20" applyFont="1" applyFill="1" applyBorder="1" applyAlignment="1">
      <alignment horizontal="left" vertical="center" wrapText="1"/>
    </xf>
    <xf numFmtId="0" fontId="91" fillId="92" borderId="62" xfId="20" applyFont="1" applyFill="1" applyBorder="1" applyAlignment="1">
      <alignment horizontal="left" vertical="center" wrapText="1"/>
    </xf>
    <xf numFmtId="0" fontId="91" fillId="92" borderId="62" xfId="20" applyFont="1" applyFill="1" applyBorder="1" applyAlignment="1">
      <alignment horizontal="left" vertical="center"/>
    </xf>
    <xf numFmtId="0" fontId="91" fillId="92"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84" borderId="62" xfId="20" applyFont="1" applyFill="1" applyBorder="1" applyAlignment="1">
      <alignment horizontal="left" vertical="center" wrapText="1"/>
    </xf>
    <xf numFmtId="0" fontId="91" fillId="78" borderId="62" xfId="20" applyFont="1" applyFill="1" applyBorder="1" applyAlignment="1">
      <alignment horizontal="left" vertical="center" wrapText="1"/>
    </xf>
    <xf numFmtId="0" fontId="91" fillId="77" borderId="62" xfId="20" applyFont="1" applyFill="1" applyBorder="1" applyAlignment="1">
      <alignment horizontal="left" vertical="center" wrapText="1"/>
    </xf>
    <xf numFmtId="0" fontId="91" fillId="83" borderId="62" xfId="20" applyFont="1" applyFill="1" applyBorder="1" applyAlignment="1">
      <alignment horizontal="left" vertical="center" wrapText="1"/>
    </xf>
    <xf numFmtId="0" fontId="91" fillId="71" borderId="62" xfId="20" applyFont="1" applyFill="1" applyBorder="1" applyAlignment="1">
      <alignment horizontal="left" vertical="center" wrapText="1"/>
    </xf>
    <xf numFmtId="0" fontId="91" fillId="76" borderId="62" xfId="20" applyFont="1" applyFill="1" applyBorder="1" applyAlignment="1">
      <alignment horizontal="left" vertical="center" wrapText="1"/>
    </xf>
    <xf numFmtId="0" fontId="91" fillId="57" borderId="78" xfId="20" applyFont="1" applyFill="1" applyBorder="1" applyAlignment="1">
      <alignment horizontal="left" vertical="center"/>
    </xf>
    <xf numFmtId="0" fontId="91" fillId="57" borderId="62" xfId="20" applyFont="1" applyFill="1" applyBorder="1" applyAlignment="1">
      <alignment horizontal="left" vertical="center"/>
    </xf>
    <xf numFmtId="0" fontId="91" fillId="71" borderId="67" xfId="20" applyFont="1" applyFill="1" applyBorder="1" applyAlignment="1">
      <alignment horizontal="left" vertical="center" wrapText="1"/>
    </xf>
    <xf numFmtId="0" fontId="91" fillId="73" borderId="67" xfId="20" applyFont="1" applyFill="1" applyBorder="1" applyAlignment="1">
      <alignment horizontal="left" vertical="center" wrapText="1"/>
    </xf>
    <xf numFmtId="0" fontId="91" fillId="74" borderId="67" xfId="20" applyFont="1" applyFill="1" applyBorder="1" applyAlignment="1">
      <alignment horizontal="left" vertical="center" wrapText="1"/>
    </xf>
    <xf numFmtId="0" fontId="91" fillId="75" borderId="67" xfId="20" applyFont="1" applyFill="1" applyBorder="1" applyAlignment="1">
      <alignment horizontal="left" vertical="center"/>
    </xf>
    <xf numFmtId="0" fontId="91" fillId="75" borderId="67" xfId="20" applyFont="1" applyFill="1" applyBorder="1" applyAlignment="1">
      <alignment horizontal="left" vertical="center" wrapText="1"/>
    </xf>
    <xf numFmtId="0" fontId="91" fillId="75" borderId="67" xfId="20" applyFont="1" applyFill="1" applyBorder="1" applyAlignment="1">
      <alignment horizontal="left" vertical="center" wrapText="1"/>
    </xf>
    <xf numFmtId="0" fontId="91" fillId="74" borderId="67" xfId="20" applyFont="1" applyFill="1" applyBorder="1" applyAlignment="1">
      <alignment horizontal="left" vertical="center"/>
    </xf>
    <xf numFmtId="0" fontId="91" fillId="85" borderId="67" xfId="20" applyFont="1" applyFill="1" applyBorder="1" applyAlignment="1">
      <alignment horizontal="left" vertical="center" wrapText="1"/>
    </xf>
    <xf numFmtId="0" fontId="91" fillId="82" borderId="62" xfId="20" applyFont="1" applyFill="1" applyBorder="1" applyAlignment="1">
      <alignment horizontal="left" vertical="center" wrapText="1"/>
    </xf>
    <xf numFmtId="0" fontId="91" fillId="93" borderId="62" xfId="20" applyFont="1" applyFill="1" applyBorder="1" applyAlignment="1">
      <alignment horizontal="left" vertical="center" wrapText="1"/>
    </xf>
    <xf numFmtId="0" fontId="91" fillId="85" borderId="62" xfId="20" applyFont="1" applyFill="1" applyBorder="1" applyAlignment="1">
      <alignment horizontal="left" vertical="center" wrapText="1"/>
    </xf>
    <xf numFmtId="0" fontId="91" fillId="76" borderId="67" xfId="20" applyFont="1" applyFill="1" applyBorder="1" applyAlignment="1">
      <alignment horizontal="left" vertical="center" wrapText="1"/>
    </xf>
    <xf numFmtId="0" fontId="91" fillId="84" borderId="67" xfId="20" applyFont="1" applyFill="1" applyBorder="1" applyAlignment="1">
      <alignment horizontal="left" vertical="center" wrapText="1"/>
    </xf>
    <xf numFmtId="0" fontId="91" fillId="84" borderId="103" xfId="20" applyFont="1" applyFill="1" applyBorder="1" applyAlignment="1">
      <alignment horizontal="left" vertical="center" wrapText="1"/>
    </xf>
    <xf numFmtId="0" fontId="91" fillId="84" borderId="74" xfId="20" applyFont="1" applyFill="1" applyBorder="1" applyAlignment="1">
      <alignment horizontal="left" vertical="center" wrapText="1"/>
    </xf>
    <xf numFmtId="0" fontId="68" fillId="53" borderId="63" xfId="20" applyFont="1" applyBorder="1" applyAlignment="1">
      <alignment horizontal="center" vertical="center" wrapText="1"/>
    </xf>
    <xf numFmtId="0" fontId="69" fillId="53" borderId="63" xfId="20" applyFont="1" applyBorder="1" applyAlignment="1">
      <alignment horizontal="center" vertical="center" wrapText="1"/>
    </xf>
    <xf numFmtId="0" fontId="68" fillId="53" borderId="56" xfId="20" applyFont="1" applyBorder="1" applyAlignment="1">
      <alignment horizontal="center" vertical="center" wrapText="1"/>
    </xf>
    <xf numFmtId="0" fontId="80" fillId="53" borderId="62" xfId="20" applyFont="1" applyBorder="1" applyAlignment="1">
      <alignment horizontal="center" vertical="center" wrapText="1"/>
    </xf>
    <xf numFmtId="0" fontId="81" fillId="53" borderId="62" xfId="20" applyFont="1" applyBorder="1" applyAlignment="1">
      <alignment horizontal="center" vertical="center" wrapText="1"/>
    </xf>
    <xf numFmtId="0" fontId="80" fillId="53" borderId="64" xfId="20" applyFont="1" applyBorder="1" applyAlignment="1">
      <alignment horizontal="center" vertical="center" wrapText="1"/>
    </xf>
    <xf numFmtId="0" fontId="64" fillId="58" borderId="57" xfId="20" applyFont="1" applyFill="1" applyBorder="1" applyAlignment="1">
      <alignment horizontal="center" vertical="center" wrapText="1"/>
    </xf>
    <xf numFmtId="0" fontId="93" fillId="58" borderId="58" xfId="20" applyFont="1" applyFill="1" applyBorder="1" applyAlignment="1">
      <alignment horizontal="center" vertical="center" wrapText="1"/>
    </xf>
    <xf numFmtId="0" fontId="91" fillId="58" borderId="78"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103" borderId="67" xfId="20" applyFont="1" applyFill="1" applyBorder="1" applyAlignment="1">
      <alignment horizontal="center" vertical="center" wrapText="1"/>
    </xf>
    <xf numFmtId="0" fontId="91" fillId="58" borderId="67" xfId="20" applyFont="1" applyFill="1" applyBorder="1" applyAlignment="1">
      <alignment horizontal="center" vertical="center" wrapText="1"/>
    </xf>
    <xf numFmtId="0" fontId="93" fillId="98" borderId="57" xfId="20" applyFont="1" applyFill="1" applyBorder="1" applyAlignment="1">
      <alignment horizontal="center" vertical="center" wrapText="1"/>
    </xf>
    <xf numFmtId="0" fontId="91" fillId="98" borderId="78"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0" borderId="67" xfId="20" applyFont="1" applyFill="1" applyBorder="1" applyAlignment="1">
      <alignment horizontal="center" vertical="center" wrapText="1"/>
    </xf>
    <xf numFmtId="0" fontId="91" fillId="98" borderId="67" xfId="20" applyFont="1" applyFill="1" applyBorder="1" applyAlignment="1">
      <alignment horizontal="center" vertical="center" wrapText="1"/>
    </xf>
    <xf numFmtId="0" fontId="106" fillId="57" borderId="62" xfId="20" applyFont="1" applyFill="1" applyBorder="1" applyAlignment="1">
      <alignment horizontal="center" vertical="center" wrapText="1"/>
    </xf>
    <xf numFmtId="0" fontId="73" fillId="70" borderId="57" xfId="20" applyFont="1" applyFill="1" applyBorder="1" applyAlignment="1">
      <alignment horizontal="center" vertical="center"/>
    </xf>
    <xf numFmtId="0" fontId="107" fillId="100" borderId="62" xfId="20" applyFont="1" applyFill="1" applyBorder="1" applyAlignment="1">
      <alignment horizontal="center" vertical="center" wrapText="1"/>
    </xf>
    <xf numFmtId="0" fontId="108" fillId="57" borderId="53" xfId="20" applyFont="1" applyFill="1" applyAlignment="1">
      <alignment horizontal="center" vertical="center" wrapText="1"/>
    </xf>
    <xf numFmtId="0" fontId="111" fillId="57" borderId="53" xfId="20" applyFont="1" applyFill="1" applyAlignment="1">
      <alignment horizontal="center" vertical="center" wrapText="1"/>
    </xf>
    <xf numFmtId="0" fontId="109" fillId="57" borderId="53" xfId="20" applyFont="1" applyFill="1" applyAlignment="1">
      <alignment vertical="top" wrapText="1"/>
    </xf>
    <xf numFmtId="0" fontId="112" fillId="57" borderId="53" xfId="20" applyFont="1" applyFill="1" applyAlignment="1">
      <alignment horizontal="center" vertical="center"/>
    </xf>
    <xf numFmtId="0" fontId="73" fillId="69" borderId="92" xfId="20" applyFont="1" applyFill="1" applyBorder="1" applyAlignment="1">
      <alignment horizontal="center" vertical="center" wrapText="1"/>
    </xf>
    <xf numFmtId="0" fontId="75" fillId="69" borderId="103" xfId="20" applyFont="1" applyFill="1" applyBorder="1" applyAlignment="1">
      <alignment horizontal="center" vertical="center" wrapText="1"/>
    </xf>
    <xf numFmtId="0" fontId="75" fillId="69" borderId="74" xfId="20" applyFont="1" applyFill="1" applyBorder="1" applyAlignment="1">
      <alignment horizontal="center" vertical="center" wrapText="1"/>
    </xf>
    <xf numFmtId="0" fontId="75" fillId="83" borderId="7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65" fillId="53" borderId="62" xfId="20" applyFont="1" applyBorder="1"/>
    <xf numFmtId="0" fontId="75" fillId="53" borderId="62" xfId="20" applyFont="1" applyBorder="1"/>
    <xf numFmtId="0" fontId="75" fillId="69" borderId="74" xfId="20" applyFont="1" applyFill="1" applyBorder="1" applyAlignment="1">
      <alignment horizontal="center" vertical="center" wrapText="1"/>
    </xf>
    <xf numFmtId="0" fontId="75" fillId="69" borderId="90" xfId="20" applyFont="1" applyFill="1" applyBorder="1" applyAlignment="1">
      <alignment horizontal="center" vertical="center" wrapText="1"/>
    </xf>
    <xf numFmtId="0" fontId="75" fillId="76" borderId="74" xfId="20" applyFont="1" applyFill="1" applyBorder="1" applyAlignment="1">
      <alignment horizontal="center" vertical="center" wrapText="1"/>
    </xf>
    <xf numFmtId="0" fontId="75" fillId="82" borderId="74" xfId="20" applyFont="1" applyFill="1" applyBorder="1" applyAlignment="1">
      <alignment horizontal="center" vertical="center" wrapText="1"/>
    </xf>
    <xf numFmtId="0" fontId="75" fillId="53" borderId="62" xfId="20" applyFont="1" applyBorder="1" applyAlignment="1">
      <alignment vertical="center" wrapText="1"/>
    </xf>
    <xf numFmtId="0" fontId="91" fillId="53" borderId="62" xfId="20" applyFont="1" applyBorder="1" applyAlignment="1">
      <alignment vertical="center" wrapText="1"/>
    </xf>
    <xf numFmtId="0" fontId="91" fillId="92" borderId="62" xfId="20" applyFont="1" applyFill="1" applyBorder="1" applyAlignment="1">
      <alignment vertical="center" wrapText="1"/>
    </xf>
    <xf numFmtId="0" fontId="91" fillId="53" borderId="62" xfId="20" applyFont="1" applyBorder="1" applyAlignment="1">
      <alignment horizontal="left" vertical="center" wrapText="1"/>
    </xf>
    <xf numFmtId="0" fontId="100" fillId="53" borderId="62" xfId="20" applyFont="1" applyBorder="1" applyAlignment="1">
      <alignment vertical="center" wrapText="1"/>
    </xf>
    <xf numFmtId="0" fontId="75" fillId="69" borderId="74" xfId="20" applyFont="1" applyFill="1" applyBorder="1" applyAlignment="1">
      <alignment horizontal="left" vertical="center" wrapText="1"/>
    </xf>
    <xf numFmtId="0" fontId="75" fillId="76" borderId="91" xfId="20" applyFont="1" applyFill="1" applyBorder="1" applyAlignment="1">
      <alignment horizontal="left" vertical="center" wrapText="1"/>
    </xf>
    <xf numFmtId="0" fontId="75" fillId="82" borderId="62" xfId="20" applyFont="1" applyFill="1" applyBorder="1" applyAlignment="1">
      <alignment horizontal="left" vertical="center" wrapText="1"/>
    </xf>
    <xf numFmtId="0" fontId="75" fillId="82" borderId="103" xfId="20" applyFont="1" applyFill="1" applyBorder="1" applyAlignment="1">
      <alignment horizontal="left" vertical="center" wrapText="1"/>
    </xf>
    <xf numFmtId="0" fontId="91" fillId="69" borderId="74" xfId="20" applyFont="1" applyFill="1" applyBorder="1" applyAlignment="1">
      <alignment horizontal="left" vertical="center" wrapText="1"/>
    </xf>
    <xf numFmtId="0" fontId="113" fillId="69" borderId="103" xfId="20" applyFont="1" applyFill="1" applyBorder="1" applyAlignment="1">
      <alignment horizontal="left" vertical="center" wrapText="1"/>
    </xf>
    <xf numFmtId="0" fontId="73" fillId="58" borderId="54" xfId="20" applyFont="1" applyFill="1" applyBorder="1" applyAlignment="1">
      <alignment vertical="center" wrapText="1"/>
    </xf>
    <xf numFmtId="0" fontId="73" fillId="58" borderId="75" xfId="20" applyFont="1" applyFill="1" applyBorder="1" applyAlignment="1">
      <alignment vertical="center" wrapText="1"/>
    </xf>
    <xf numFmtId="0" fontId="73" fillId="58" borderId="59" xfId="20" applyFont="1" applyFill="1" applyBorder="1" applyAlignment="1">
      <alignment vertical="center" wrapText="1"/>
    </xf>
    <xf numFmtId="0" fontId="73" fillId="58" borderId="53" xfId="20" applyFont="1" applyFill="1" applyAlignment="1">
      <alignment vertical="center" wrapText="1"/>
    </xf>
    <xf numFmtId="0" fontId="73" fillId="58" borderId="96" xfId="20" applyFont="1" applyFill="1" applyBorder="1" applyAlignment="1">
      <alignment vertical="center" wrapText="1"/>
    </xf>
    <xf numFmtId="0" fontId="65" fillId="53" borderId="78" xfId="20" applyFont="1" applyBorder="1"/>
    <xf numFmtId="0" fontId="91" fillId="69" borderId="90" xfId="20" applyFont="1" applyFill="1" applyBorder="1" applyAlignment="1">
      <alignment horizontal="left" vertical="center" wrapText="1"/>
    </xf>
    <xf numFmtId="0" fontId="91" fillId="76" borderId="74" xfId="20" applyFont="1" applyFill="1" applyBorder="1" applyAlignment="1">
      <alignment horizontal="left" vertical="center" wrapText="1"/>
    </xf>
    <xf numFmtId="0" fontId="75" fillId="76" borderId="74" xfId="20" applyFont="1" applyFill="1" applyBorder="1" applyAlignment="1">
      <alignment horizontal="left" vertical="center" wrapText="1"/>
    </xf>
    <xf numFmtId="0" fontId="95" fillId="53" borderId="74" xfId="20" applyFont="1" applyBorder="1" applyAlignment="1">
      <alignment vertical="center" wrapText="1"/>
    </xf>
    <xf numFmtId="0" fontId="94" fillId="53" borderId="105" xfId="20" applyFont="1" applyBorder="1" applyAlignment="1">
      <alignment vertical="center" wrapText="1"/>
    </xf>
    <xf numFmtId="0" fontId="95" fillId="53" borderId="103" xfId="20" applyFont="1" applyBorder="1" applyAlignment="1">
      <alignment vertical="center" wrapText="1"/>
    </xf>
    <xf numFmtId="0" fontId="95" fillId="77" borderId="74" xfId="20" applyFont="1" applyFill="1" applyBorder="1" applyAlignment="1">
      <alignment vertical="center" wrapText="1"/>
    </xf>
    <xf numFmtId="0" fontId="95" fillId="53" borderId="91" xfId="20" applyFont="1" applyBorder="1" applyAlignment="1">
      <alignment vertical="center" wrapText="1"/>
    </xf>
    <xf numFmtId="0" fontId="95" fillId="81" borderId="74" xfId="20" applyFont="1" applyFill="1" applyBorder="1" applyAlignment="1">
      <alignment vertical="center" wrapText="1"/>
    </xf>
    <xf numFmtId="0" fontId="91" fillId="104" borderId="62" xfId="20" applyFont="1" applyFill="1" applyBorder="1" applyAlignment="1">
      <alignment horizontal="left" vertical="center" wrapText="1"/>
    </xf>
    <xf numFmtId="0" fontId="91" fillId="105" borderId="62" xfId="20" applyFont="1" applyFill="1" applyBorder="1" applyAlignment="1">
      <alignment horizontal="left" vertical="center" wrapText="1"/>
    </xf>
    <xf numFmtId="0" fontId="87" fillId="57" borderId="53" xfId="20" applyFont="1" applyFill="1" applyAlignment="1">
      <alignment horizontal="center" vertical="center"/>
    </xf>
    <xf numFmtId="0" fontId="74" fillId="57" borderId="53" xfId="20" applyFont="1" applyFill="1" applyAlignment="1">
      <alignment horizontal="center" vertical="center"/>
    </xf>
    <xf numFmtId="0" fontId="83" fillId="58" borderId="54" xfId="20" applyFont="1" applyFill="1" applyBorder="1" applyAlignment="1">
      <alignment horizontal="left" vertical="center" wrapText="1"/>
    </xf>
    <xf numFmtId="0" fontId="83" fillId="58" borderId="75" xfId="20" applyFont="1" applyFill="1" applyBorder="1" applyAlignment="1">
      <alignment horizontal="left" vertical="center" wrapText="1"/>
    </xf>
    <xf numFmtId="0" fontId="83" fillId="58" borderId="60" xfId="20" applyFont="1" applyFill="1" applyBorder="1" applyAlignment="1">
      <alignment horizontal="left" vertical="center" wrapText="1"/>
    </xf>
    <xf numFmtId="0" fontId="73" fillId="58" borderId="54" xfId="20" applyFont="1" applyFill="1" applyBorder="1" applyAlignment="1">
      <alignment horizontal="left" vertical="center" wrapText="1"/>
    </xf>
    <xf numFmtId="0" fontId="73" fillId="58" borderId="75" xfId="20" applyFont="1" applyFill="1" applyBorder="1" applyAlignment="1">
      <alignment horizontal="left" vertical="center" wrapText="1"/>
    </xf>
    <xf numFmtId="0" fontId="73" fillId="58" borderId="59" xfId="20" applyFont="1" applyFill="1" applyBorder="1" applyAlignment="1">
      <alignment horizontal="left" vertical="center" wrapText="1"/>
    </xf>
    <xf numFmtId="0" fontId="71" fillId="58" borderId="55" xfId="20" applyFont="1" applyFill="1" applyBorder="1" applyAlignment="1">
      <alignment horizontal="right" vertical="center" wrapText="1"/>
    </xf>
    <xf numFmtId="0" fontId="71" fillId="58" borderId="56" xfId="20" applyFont="1" applyFill="1" applyBorder="1" applyAlignment="1">
      <alignment horizontal="right" vertical="center" wrapText="1"/>
    </xf>
    <xf numFmtId="0" fontId="71" fillId="58" borderId="57" xfId="20" applyFont="1" applyFill="1" applyBorder="1" applyAlignment="1">
      <alignment horizontal="right" vertical="center" wrapText="1"/>
    </xf>
    <xf numFmtId="0" fontId="71" fillId="58" borderId="58" xfId="20" applyFont="1" applyFill="1" applyBorder="1" applyAlignment="1">
      <alignment horizontal="right" vertical="center" wrapText="1"/>
    </xf>
    <xf numFmtId="0" fontId="90" fillId="58" borderId="55" xfId="20" applyFont="1" applyFill="1" applyBorder="1" applyAlignment="1">
      <alignment horizontal="center" vertical="center" wrapText="1"/>
    </xf>
    <xf numFmtId="0" fontId="90" fillId="58" borderId="56" xfId="20" applyFont="1" applyFill="1" applyBorder="1" applyAlignment="1">
      <alignment horizontal="center" vertical="center" wrapText="1"/>
    </xf>
    <xf numFmtId="0" fontId="90" fillId="98" borderId="55" xfId="20" applyFont="1" applyFill="1" applyBorder="1" applyAlignment="1">
      <alignment horizontal="center" vertical="center" wrapText="1"/>
    </xf>
    <xf numFmtId="0" fontId="90" fillId="98" borderId="56" xfId="20" applyFont="1" applyFill="1" applyBorder="1" applyAlignment="1">
      <alignment horizontal="center" vertical="center" wrapText="1"/>
    </xf>
    <xf numFmtId="0" fontId="90" fillId="70" borderId="55" xfId="20" applyFont="1" applyFill="1" applyBorder="1" applyAlignment="1">
      <alignment horizontal="center" vertical="center" wrapText="1"/>
    </xf>
    <xf numFmtId="0" fontId="90" fillId="70" borderId="56" xfId="20" applyFont="1" applyFill="1" applyBorder="1" applyAlignment="1">
      <alignment horizontal="center" vertical="center" wrapText="1"/>
    </xf>
    <xf numFmtId="0" fontId="59" fillId="58" borderId="99" xfId="20" applyFont="1" applyFill="1" applyBorder="1" applyAlignment="1">
      <alignment horizontal="center" vertical="center" wrapText="1"/>
    </xf>
    <xf numFmtId="0" fontId="59" fillId="58" borderId="53" xfId="20" applyFont="1" applyFill="1" applyAlignment="1">
      <alignment horizontal="center" vertical="center" wrapText="1"/>
    </xf>
    <xf numFmtId="0" fontId="73" fillId="69" borderId="103" xfId="20" applyFont="1" applyFill="1" applyBorder="1" applyAlignment="1">
      <alignment horizontal="center" vertical="center" wrapText="1"/>
    </xf>
    <xf numFmtId="0" fontId="73" fillId="69" borderId="84" xfId="20" applyFont="1" applyFill="1" applyBorder="1" applyAlignment="1">
      <alignment horizontal="center" vertical="center" wrapText="1"/>
    </xf>
    <xf numFmtId="0" fontId="73" fillId="58" borderId="53" xfId="20" applyFont="1" applyFill="1" applyAlignment="1">
      <alignment horizontal="left" vertical="center" wrapText="1"/>
    </xf>
    <xf numFmtId="0" fontId="73" fillId="58" borderId="96" xfId="20" applyFont="1" applyFill="1" applyBorder="1" applyAlignment="1">
      <alignment horizontal="left" vertical="center" wrapText="1"/>
    </xf>
    <xf numFmtId="0" fontId="59" fillId="58" borderId="79" xfId="20" applyFont="1" applyFill="1" applyBorder="1" applyAlignment="1">
      <alignment horizontal="center" vertical="center" wrapText="1"/>
    </xf>
    <xf numFmtId="0" fontId="59" fillId="58" borderId="80" xfId="20" applyFont="1" applyFill="1" applyBorder="1" applyAlignment="1">
      <alignment horizontal="center" vertical="center" wrapText="1"/>
    </xf>
    <xf numFmtId="0" fontId="59" fillId="58" borderId="86" xfId="20" applyFont="1" applyFill="1" applyBorder="1" applyAlignment="1">
      <alignment horizontal="center" vertical="center" wrapText="1"/>
    </xf>
    <xf numFmtId="0" fontId="59" fillId="58" borderId="10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73" fillId="58" borderId="83" xfId="20" applyFont="1" applyFill="1" applyBorder="1" applyAlignment="1">
      <alignment horizontal="left" vertical="center" wrapText="1"/>
    </xf>
    <xf numFmtId="0" fontId="73" fillId="58" borderId="84" xfId="20" applyFont="1" applyFill="1" applyBorder="1" applyAlignment="1">
      <alignment horizontal="left" vertical="center" wrapText="1"/>
    </xf>
    <xf numFmtId="0" fontId="73" fillId="58" borderId="89" xfId="20" applyFont="1" applyFill="1" applyBorder="1" applyAlignment="1">
      <alignment horizontal="left" vertical="center" wrapText="1"/>
    </xf>
    <xf numFmtId="0" fontId="59" fillId="58" borderId="81" xfId="20" applyFont="1" applyFill="1" applyBorder="1" applyAlignment="1">
      <alignment horizontal="center" vertical="center" wrapText="1"/>
    </xf>
    <xf numFmtId="0" fontId="67" fillId="57" borderId="53" xfId="20" applyFont="1" applyFill="1" applyAlignment="1">
      <alignment horizontal="center"/>
    </xf>
    <xf numFmtId="0" fontId="66" fillId="57" borderId="53" xfId="20" applyFont="1" applyFill="1" applyAlignment="1">
      <alignment horizontal="center" vertical="center"/>
    </xf>
    <xf numFmtId="0" fontId="66" fillId="57" borderId="59" xfId="20" applyFont="1" applyFill="1" applyBorder="1" applyAlignment="1">
      <alignment horizontal="center"/>
    </xf>
    <xf numFmtId="0" fontId="77" fillId="58" borderId="79" xfId="20" applyFont="1" applyFill="1" applyBorder="1" applyAlignment="1">
      <alignment horizontal="left" vertical="center" wrapText="1"/>
    </xf>
    <xf numFmtId="0" fontId="77" fillId="58" borderId="80" xfId="20" applyFont="1" applyFill="1" applyBorder="1" applyAlignment="1">
      <alignment horizontal="left" vertical="center" wrapText="1"/>
    </xf>
    <xf numFmtId="0" fontId="77" fillId="58" borderId="104" xfId="20" applyFont="1" applyFill="1" applyBorder="1" applyAlignment="1">
      <alignment horizontal="left" vertical="center" wrapText="1"/>
    </xf>
    <xf numFmtId="0" fontId="64" fillId="84" borderId="61" xfId="20" applyFont="1" applyFill="1" applyBorder="1" applyAlignment="1">
      <alignment horizontal="center" vertical="center" wrapText="1"/>
    </xf>
    <xf numFmtId="0" fontId="64" fillId="84" borderId="64" xfId="20" applyFont="1" applyFill="1" applyBorder="1" applyAlignment="1">
      <alignment horizontal="center" vertical="center" wrapText="1"/>
    </xf>
    <xf numFmtId="0" fontId="82" fillId="58" borderId="93" xfId="20" applyFont="1" applyFill="1" applyBorder="1" applyAlignment="1">
      <alignment horizontal="center" vertical="center" wrapText="1"/>
    </xf>
    <xf numFmtId="0" fontId="78" fillId="58" borderId="94" xfId="20" applyFont="1" applyFill="1" applyBorder="1" applyAlignment="1">
      <alignment horizontal="center" vertical="center" wrapText="1"/>
    </xf>
    <xf numFmtId="0" fontId="78" fillId="58" borderId="95" xfId="20" applyFont="1" applyFill="1" applyBorder="1" applyAlignment="1">
      <alignment horizontal="center" vertical="center" wrapText="1"/>
    </xf>
    <xf numFmtId="0" fontId="78" fillId="58" borderId="96" xfId="20" applyFont="1" applyFill="1" applyBorder="1" applyAlignment="1">
      <alignment horizontal="center" vertical="center" wrapText="1"/>
    </xf>
    <xf numFmtId="0" fontId="59" fillId="58" borderId="55" xfId="20" applyFont="1" applyFill="1" applyBorder="1" applyAlignment="1">
      <alignment horizontal="center" vertical="center" wrapText="1"/>
    </xf>
    <xf numFmtId="0" fontId="59" fillId="58" borderId="56" xfId="20" applyFont="1" applyFill="1" applyBorder="1" applyAlignment="1">
      <alignment horizontal="center" vertical="center" wrapText="1"/>
    </xf>
    <xf numFmtId="0" fontId="59" fillId="98" borderId="55" xfId="20" applyFont="1" applyFill="1" applyBorder="1" applyAlignment="1">
      <alignment horizontal="center" vertical="center" wrapText="1"/>
    </xf>
    <xf numFmtId="0" fontId="59" fillId="98" borderId="56" xfId="20" applyFont="1" applyFill="1" applyBorder="1" applyAlignment="1">
      <alignment horizontal="center" vertical="center" wrapText="1"/>
    </xf>
    <xf numFmtId="0" fontId="59" fillId="70" borderId="55" xfId="20" applyFont="1" applyFill="1" applyBorder="1" applyAlignment="1">
      <alignment horizontal="center" vertical="center" wrapText="1"/>
    </xf>
    <xf numFmtId="0" fontId="59" fillId="70" borderId="56" xfId="20" applyFont="1" applyFill="1" applyBorder="1" applyAlignment="1">
      <alignment horizontal="center" vertical="center" wrapText="1"/>
    </xf>
    <xf numFmtId="0" fontId="64" fillId="69" borderId="55" xfId="20" applyFont="1" applyFill="1" applyBorder="1" applyAlignment="1">
      <alignment horizontal="center" vertical="center" wrapText="1"/>
    </xf>
    <xf numFmtId="0" fontId="64" fillId="69" borderId="63" xfId="20" applyFont="1" applyFill="1" applyBorder="1" applyAlignment="1">
      <alignment horizontal="center" vertical="center" wrapText="1"/>
    </xf>
    <xf numFmtId="0" fontId="64" fillId="69" borderId="90" xfId="20" applyFont="1" applyFill="1" applyBorder="1" applyAlignment="1">
      <alignment horizontal="center" vertical="center" wrapText="1"/>
    </xf>
    <xf numFmtId="0" fontId="77" fillId="58" borderId="81" xfId="20" applyFont="1" applyFill="1" applyBorder="1" applyAlignment="1">
      <alignment horizontal="left" vertical="center" wrapText="1"/>
    </xf>
    <xf numFmtId="0" fontId="77" fillId="58" borderId="62" xfId="20" applyFont="1" applyFill="1" applyBorder="1" applyAlignment="1">
      <alignment horizontal="left" vertical="center" wrapText="1"/>
    </xf>
    <xf numFmtId="0" fontId="77" fillId="58" borderId="54" xfId="20" applyFont="1" applyFill="1" applyBorder="1" applyAlignment="1">
      <alignment horizontal="left" vertical="center" wrapText="1"/>
    </xf>
    <xf numFmtId="0" fontId="77" fillId="58" borderId="75" xfId="20" applyFont="1" applyFill="1" applyBorder="1" applyAlignment="1">
      <alignment horizontal="left" vertical="center" wrapText="1"/>
    </xf>
    <xf numFmtId="0" fontId="77" fillId="58" borderId="60" xfId="20" applyFont="1" applyFill="1" applyBorder="1" applyAlignment="1">
      <alignment horizontal="left" vertical="center" wrapText="1"/>
    </xf>
    <xf numFmtId="0" fontId="110" fillId="57" borderId="53" xfId="20" applyFont="1" applyFill="1" applyAlignment="1">
      <alignment horizontal="center" vertical="center"/>
    </xf>
    <xf numFmtId="0" fontId="82" fillId="58" borderId="93" xfId="20" applyFont="1" applyFill="1" applyBorder="1" applyAlignment="1">
      <alignment horizontal="center" vertical="center" wrapText="1"/>
    </xf>
    <xf numFmtId="0" fontId="82" fillId="58" borderId="101" xfId="20" applyFont="1" applyFill="1" applyBorder="1" applyAlignment="1">
      <alignment horizontal="center" vertical="center" wrapText="1"/>
    </xf>
    <xf numFmtId="0" fontId="64" fillId="58" borderId="61" xfId="20" applyFont="1" applyFill="1" applyBorder="1" applyAlignment="1">
      <alignment horizontal="center" vertical="center"/>
    </xf>
    <xf numFmtId="0" fontId="64" fillId="58" borderId="62" xfId="20" applyFont="1" applyFill="1" applyBorder="1" applyAlignment="1">
      <alignment horizontal="center" vertical="center"/>
    </xf>
    <xf numFmtId="0" fontId="86" fillId="88" borderId="53" xfId="20" applyFont="1" applyFill="1" applyAlignment="1">
      <alignment horizontal="left" vertical="center"/>
    </xf>
    <xf numFmtId="0" fontId="86" fillId="89" borderId="53" xfId="20" applyFont="1" applyFill="1" applyAlignment="1">
      <alignment horizontal="left" vertical="center"/>
    </xf>
    <xf numFmtId="0" fontId="86" fillId="86" borderId="53" xfId="20" applyFont="1" applyFill="1" applyAlignment="1">
      <alignment horizontal="left" vertical="center"/>
    </xf>
    <xf numFmtId="0" fontId="86" fillId="87" borderId="53" xfId="20" applyFont="1" applyFill="1" applyAlignment="1">
      <alignment horizontal="left" vertical="center"/>
    </xf>
    <xf numFmtId="0" fontId="86" fillId="62" borderId="53" xfId="20" applyFont="1" applyFill="1" applyAlignment="1">
      <alignment horizontal="left" vertical="center"/>
    </xf>
    <xf numFmtId="0" fontId="114" fillId="53" borderId="53" xfId="20" applyNumberFormat="1" applyFont="1" applyFill="1" applyBorder="1"/>
    <xf numFmtId="0" fontId="115" fillId="53" borderId="53" xfId="20" applyNumberFormat="1" applyFont="1" applyFill="1" applyBorder="1"/>
    <xf numFmtId="0" fontId="116" fillId="53" borderId="53" xfId="20" applyNumberFormat="1" applyFont="1" applyFill="1" applyBorder="1"/>
    <xf numFmtId="0" fontId="114" fillId="106" borderId="53" xfId="20" applyNumberFormat="1" applyFont="1" applyFill="1" applyBorder="1"/>
    <xf numFmtId="0" fontId="117" fillId="106" borderId="53" xfId="20" applyNumberFormat="1" applyFont="1" applyFill="1" applyBorder="1"/>
    <xf numFmtId="0" fontId="117" fillId="106" borderId="53" xfId="20" applyNumberFormat="1" applyFont="1" applyFill="1" applyBorder="1" applyAlignment="1">
      <alignment wrapText="1"/>
    </xf>
    <xf numFmtId="0" fontId="117" fillId="106" borderId="53" xfId="20" applyNumberFormat="1" applyFont="1" applyFill="1" applyBorder="1" applyAlignment="1">
      <alignment vertical="center" wrapText="1"/>
    </xf>
    <xf numFmtId="165" fontId="114" fillId="53" borderId="53" xfId="20" applyNumberFormat="1" applyFont="1" applyFill="1" applyBorder="1"/>
    <xf numFmtId="0" fontId="114" fillId="53" borderId="53" xfId="20" applyNumberFormat="1" applyFont="1" applyFill="1" applyBorder="1" applyAlignment="1">
      <alignment horizontal="right"/>
    </xf>
    <xf numFmtId="165" fontId="114" fillId="53" borderId="53" xfId="20" applyNumberFormat="1" applyFont="1" applyFill="1" applyBorder="1" applyAlignment="1">
      <alignment horizontal="right"/>
    </xf>
    <xf numFmtId="0" fontId="114" fillId="107" borderId="53" xfId="20" applyNumberFormat="1" applyFont="1" applyFill="1" applyBorder="1"/>
    <xf numFmtId="0" fontId="114" fillId="107" borderId="53" xfId="20" applyNumberFormat="1" applyFont="1" applyFill="1" applyBorder="1" applyAlignment="1">
      <alignment horizontal="right"/>
    </xf>
    <xf numFmtId="165" fontId="114" fillId="107" borderId="53" xfId="20" applyNumberFormat="1" applyFont="1" applyFill="1" applyBorder="1" applyAlignment="1">
      <alignment horizontal="right"/>
    </xf>
    <xf numFmtId="0" fontId="118" fillId="107" borderId="53" xfId="20" applyNumberFormat="1" applyFont="1" applyFill="1" applyBorder="1"/>
    <xf numFmtId="0" fontId="118" fillId="107" borderId="53" xfId="20" applyNumberFormat="1" applyFont="1" applyFill="1" applyBorder="1" applyAlignment="1">
      <alignment horizontal="right"/>
    </xf>
    <xf numFmtId="165" fontId="118" fillId="107" borderId="53" xfId="20" applyNumberFormat="1" applyFont="1" applyFill="1" applyBorder="1" applyAlignment="1">
      <alignment horizontal="right"/>
    </xf>
    <xf numFmtId="0" fontId="114" fillId="108" borderId="53" xfId="20" applyNumberFormat="1" applyFont="1" applyFill="1" applyBorder="1"/>
    <xf numFmtId="0" fontId="114" fillId="108" borderId="53" xfId="20" applyNumberFormat="1" applyFont="1" applyFill="1" applyBorder="1" applyAlignment="1">
      <alignment horizontal="right"/>
    </xf>
    <xf numFmtId="165" fontId="114" fillId="108" borderId="53" xfId="20" applyNumberFormat="1" applyFont="1" applyFill="1" applyBorder="1" applyAlignment="1">
      <alignment horizontal="right"/>
    </xf>
    <xf numFmtId="0" fontId="114" fillId="108" borderId="53" xfId="20" applyNumberFormat="1" applyFont="1" applyFill="1" applyBorder="1" applyAlignment="1">
      <alignment wrapText="1"/>
    </xf>
    <xf numFmtId="0" fontId="114" fillId="53" borderId="53" xfId="20" applyNumberFormat="1" applyFont="1" applyFill="1" applyBorder="1" applyAlignment="1">
      <alignment wrapText="1"/>
    </xf>
    <xf numFmtId="165" fontId="114" fillId="108" borderId="53" xfId="20" applyNumberFormat="1" applyFont="1" applyFill="1" applyBorder="1"/>
    <xf numFmtId="166" fontId="114" fillId="53" borderId="53" xfId="20" applyNumberFormat="1" applyFont="1" applyFill="1" applyBorder="1"/>
    <xf numFmtId="166" fontId="114" fillId="108" borderId="53" xfId="20" applyNumberFormat="1" applyFont="1" applyFill="1" applyBorder="1"/>
    <xf numFmtId="0" fontId="119" fillId="53" borderId="53" xfId="20" applyNumberFormat="1" applyFont="1" applyFill="1" applyBorder="1"/>
    <xf numFmtId="0" fontId="120" fillId="109" borderId="106" xfId="40"/>
    <xf numFmtId="0" fontId="120" fillId="113" borderId="106" xfId="40" applyFill="1"/>
    <xf numFmtId="0" fontId="129" fillId="113" borderId="106" xfId="40" applyFont="1" applyFill="1"/>
    <xf numFmtId="0" fontId="129" fillId="109" borderId="122" xfId="40" applyFont="1" applyBorder="1" applyAlignment="1">
      <alignment horizontal="center" vertical="center"/>
    </xf>
    <xf numFmtId="0" fontId="120" fillId="116" borderId="108" xfId="40" applyFill="1" applyBorder="1"/>
    <xf numFmtId="0" fontId="120" fillId="117" borderId="116" xfId="40" applyFill="1" applyBorder="1"/>
    <xf numFmtId="0" fontId="131" fillId="118" borderId="109" xfId="40" applyFont="1" applyFill="1" applyBorder="1" applyAlignment="1">
      <alignment horizontal="center" vertical="center" wrapText="1"/>
    </xf>
    <xf numFmtId="0" fontId="120" fillId="113" borderId="106" xfId="40" applyFill="1" applyAlignment="1">
      <alignment horizontal="left" vertical="center"/>
    </xf>
    <xf numFmtId="0" fontId="131" fillId="116" borderId="115" xfId="40" applyFont="1" applyFill="1" applyBorder="1" applyAlignment="1">
      <alignment horizontal="center" vertical="center" wrapText="1"/>
    </xf>
    <xf numFmtId="0" fontId="131" fillId="118" borderId="115" xfId="40" applyFont="1" applyFill="1" applyBorder="1" applyAlignment="1">
      <alignment horizontal="center" vertical="center" wrapText="1"/>
    </xf>
    <xf numFmtId="0" fontId="129" fillId="109" borderId="123" xfId="40" applyFont="1" applyBorder="1" applyAlignment="1">
      <alignment horizontal="center" vertical="center"/>
    </xf>
    <xf numFmtId="0" fontId="120" fillId="117" borderId="115" xfId="40" applyFill="1" applyBorder="1"/>
    <xf numFmtId="0" fontId="120" fillId="119" borderId="115" xfId="40" applyFill="1" applyBorder="1"/>
    <xf numFmtId="0" fontId="120" fillId="120" borderId="117" xfId="40" applyFill="1" applyBorder="1"/>
    <xf numFmtId="0" fontId="131" fillId="117" borderId="115" xfId="40" applyFont="1" applyFill="1" applyBorder="1" applyAlignment="1">
      <alignment horizontal="center" vertical="center" wrapText="1"/>
    </xf>
    <xf numFmtId="0" fontId="131" fillId="120" borderId="115" xfId="40" applyFont="1" applyFill="1" applyBorder="1" applyAlignment="1">
      <alignment horizontal="center" vertical="center" wrapText="1"/>
    </xf>
    <xf numFmtId="0" fontId="120" fillId="120" borderId="115" xfId="40" applyFill="1" applyBorder="1"/>
    <xf numFmtId="0" fontId="131" fillId="119" borderId="115" xfId="40" applyFont="1" applyFill="1" applyBorder="1" applyAlignment="1">
      <alignment horizontal="center" vertical="center" wrapText="1"/>
    </xf>
    <xf numFmtId="0" fontId="131" fillId="121" borderId="115" xfId="40" applyFont="1" applyFill="1" applyBorder="1" applyAlignment="1">
      <alignment horizontal="center" vertical="center" wrapText="1"/>
    </xf>
    <xf numFmtId="0" fontId="129" fillId="109" borderId="124" xfId="40" applyFont="1" applyBorder="1" applyAlignment="1">
      <alignment horizontal="center" vertical="center"/>
    </xf>
    <xf numFmtId="0" fontId="131" fillId="121" borderId="110" xfId="40" applyFont="1" applyFill="1" applyBorder="1" applyAlignment="1">
      <alignment horizontal="center" vertical="center" wrapText="1"/>
    </xf>
    <xf numFmtId="0" fontId="131" fillId="121" borderId="118" xfId="40" applyFont="1" applyFill="1" applyBorder="1" applyAlignment="1">
      <alignment horizontal="center" vertical="center" wrapText="1"/>
    </xf>
    <xf numFmtId="0" fontId="131" fillId="121" borderId="111" xfId="40" applyFont="1" applyFill="1" applyBorder="1" applyAlignment="1">
      <alignment horizontal="center" vertical="center" wrapText="1"/>
    </xf>
    <xf numFmtId="0" fontId="129" fillId="109" borderId="106" xfId="40" applyFont="1"/>
    <xf numFmtId="0" fontId="129" fillId="109" borderId="125" xfId="40" applyFont="1" applyBorder="1" applyAlignment="1">
      <alignment horizontal="center" vertical="center"/>
    </xf>
    <xf numFmtId="0" fontId="129" fillId="109" borderId="126" xfId="40" applyFont="1" applyBorder="1" applyAlignment="1">
      <alignment horizontal="center" vertical="center"/>
    </xf>
    <xf numFmtId="0" fontId="120" fillId="122" borderId="116" xfId="40" applyFill="1" applyBorder="1"/>
    <xf numFmtId="0" fontId="132" fillId="122" borderId="115" xfId="40" applyFont="1" applyFill="1" applyBorder="1" applyAlignment="1">
      <alignment horizontal="center" vertical="center" wrapText="1"/>
    </xf>
    <xf numFmtId="0" fontId="120" fillId="122" borderId="114" xfId="40" applyFill="1" applyBorder="1"/>
    <xf numFmtId="0" fontId="120" fillId="119" borderId="114" xfId="40" applyFill="1" applyBorder="1"/>
    <xf numFmtId="0" fontId="120" fillId="118" borderId="115" xfId="40" applyFill="1" applyBorder="1"/>
    <xf numFmtId="0" fontId="122" fillId="113" borderId="106" xfId="40" applyFont="1" applyFill="1" applyAlignment="1">
      <alignment horizontal="left" vertical="center"/>
    </xf>
    <xf numFmtId="0" fontId="122" fillId="113" borderId="106" xfId="40" applyFont="1" applyFill="1" applyAlignment="1">
      <alignment horizontal="left" vertical="center" wrapText="1"/>
    </xf>
    <xf numFmtId="0" fontId="122" fillId="113" borderId="108" xfId="40" applyFont="1" applyFill="1" applyBorder="1" applyAlignment="1">
      <alignment horizontal="left" vertical="center" wrapText="1"/>
    </xf>
    <xf numFmtId="0" fontId="134" fillId="113" borderId="109" xfId="40" applyFont="1" applyFill="1" applyBorder="1" applyAlignment="1">
      <alignment horizontal="left" vertical="center" wrapText="1"/>
    </xf>
    <xf numFmtId="0" fontId="122" fillId="113" borderId="119" xfId="40" applyFont="1" applyFill="1" applyBorder="1" applyAlignment="1">
      <alignment horizontal="left" vertical="center" wrapText="1"/>
    </xf>
    <xf numFmtId="0" fontId="134" fillId="113" borderId="121" xfId="40" applyFont="1" applyFill="1" applyBorder="1" applyAlignment="1">
      <alignment horizontal="left" vertical="center" wrapText="1"/>
    </xf>
    <xf numFmtId="0" fontId="122" fillId="113" borderId="114" xfId="40" applyFont="1" applyFill="1" applyBorder="1" applyAlignment="1">
      <alignment horizontal="left" vertical="center" wrapText="1"/>
    </xf>
    <xf numFmtId="0" fontId="134" fillId="113" borderId="117" xfId="40" applyFont="1" applyFill="1" applyBorder="1" applyAlignment="1">
      <alignment horizontal="left" vertical="center" wrapText="1"/>
    </xf>
    <xf numFmtId="0" fontId="122" fillId="113" borderId="140" xfId="40" applyFont="1" applyFill="1" applyBorder="1" applyAlignment="1">
      <alignment horizontal="left" vertical="center" wrapText="1"/>
    </xf>
    <xf numFmtId="0" fontId="134" fillId="113" borderId="141" xfId="40" applyFont="1" applyFill="1" applyBorder="1" applyAlignment="1">
      <alignment horizontal="left" vertical="center" wrapText="1"/>
    </xf>
    <xf numFmtId="0" fontId="122" fillId="113" borderId="110" xfId="40" applyFont="1" applyFill="1" applyBorder="1" applyAlignment="1">
      <alignment horizontal="left" vertical="center" wrapText="1"/>
    </xf>
    <xf numFmtId="0" fontId="134" fillId="113" borderId="111" xfId="40" applyFont="1" applyFill="1" applyBorder="1" applyAlignment="1">
      <alignment horizontal="left" vertical="center" wrapText="1"/>
    </xf>
    <xf numFmtId="164" fontId="134" fillId="113" borderId="111" xfId="40" applyNumberFormat="1" applyFont="1" applyFill="1" applyBorder="1" applyAlignment="1">
      <alignment horizontal="left" vertical="center" wrapText="1"/>
    </xf>
    <xf numFmtId="0" fontId="142" fillId="109" borderId="115" xfId="40" applyFont="1" applyBorder="1" applyAlignment="1">
      <alignment horizontal="center" vertical="center"/>
    </xf>
    <xf numFmtId="0" fontId="143" fillId="121" borderId="115" xfId="40" applyFont="1" applyFill="1" applyBorder="1" applyAlignment="1">
      <alignment horizontal="center" vertical="center" wrapText="1"/>
    </xf>
    <xf numFmtId="0" fontId="125" fillId="113" borderId="106" xfId="40" applyFont="1" applyFill="1"/>
    <xf numFmtId="0" fontId="125" fillId="113" borderId="106" xfId="40" applyFont="1" applyFill="1" applyAlignment="1">
      <alignment horizontal="center" vertical="center" wrapText="1"/>
    </xf>
    <xf numFmtId="0" fontId="125" fillId="113" borderId="106" xfId="40" applyFont="1" applyFill="1" applyAlignment="1">
      <alignment horizontal="left" vertical="top" wrapText="1"/>
    </xf>
    <xf numFmtId="0" fontId="125" fillId="113" borderId="106" xfId="40" applyFont="1" applyFill="1" applyAlignment="1">
      <alignment horizontal="justify"/>
    </xf>
    <xf numFmtId="0" fontId="125" fillId="113" borderId="106" xfId="40" applyFont="1" applyFill="1" applyAlignment="1">
      <alignment horizontal="center" vertical="center"/>
    </xf>
    <xf numFmtId="0" fontId="125" fillId="109" borderId="106" xfId="40" applyFont="1"/>
    <xf numFmtId="0" fontId="126" fillId="113" borderId="106" xfId="40" applyFont="1" applyFill="1" applyAlignment="1">
      <alignment vertical="center"/>
    </xf>
    <xf numFmtId="0" fontId="126" fillId="109" borderId="106" xfId="40" applyFont="1" applyAlignment="1">
      <alignment vertical="center"/>
    </xf>
    <xf numFmtId="0" fontId="125" fillId="109" borderId="106" xfId="40" applyFont="1" applyAlignment="1">
      <alignment horizontal="center" vertical="center" wrapText="1"/>
    </xf>
    <xf numFmtId="0" fontId="125" fillId="109" borderId="106" xfId="40" applyFont="1" applyAlignment="1">
      <alignment horizontal="left" vertical="top" wrapText="1"/>
    </xf>
    <xf numFmtId="0" fontId="125" fillId="109" borderId="106" xfId="40" applyFont="1" applyAlignment="1">
      <alignment horizontal="justify"/>
    </xf>
    <xf numFmtId="0" fontId="125" fillId="109" borderId="106" xfId="40" applyFont="1" applyAlignment="1">
      <alignment horizontal="center" vertical="center"/>
    </xf>
    <xf numFmtId="0" fontId="134" fillId="113" borderId="106" xfId="40" applyFont="1" applyFill="1" applyAlignment="1">
      <alignment horizontal="left" vertical="center" wrapText="1"/>
    </xf>
    <xf numFmtId="0" fontId="128" fillId="113" borderId="106" xfId="40" applyFont="1" applyFill="1" applyAlignment="1">
      <alignment horizontal="left" vertical="center"/>
    </xf>
    <xf numFmtId="0" fontId="128" fillId="109" borderId="106" xfId="40" applyFont="1"/>
    <xf numFmtId="0" fontId="147" fillId="109" borderId="106" xfId="40" applyFont="1"/>
    <xf numFmtId="0" fontId="147" fillId="113" borderId="106" xfId="40" applyFont="1" applyFill="1"/>
    <xf numFmtId="0" fontId="143" fillId="121" borderId="129" xfId="40" applyFont="1" applyFill="1" applyBorder="1" applyAlignment="1">
      <alignment horizontal="center" vertical="center" wrapText="1"/>
    </xf>
    <xf numFmtId="0" fontId="142" fillId="109" borderId="129" xfId="40" applyFont="1" applyBorder="1" applyAlignment="1">
      <alignment horizontal="center" vertical="center"/>
    </xf>
    <xf numFmtId="0" fontId="143" fillId="121" borderId="151" xfId="40" applyFont="1" applyFill="1" applyBorder="1" applyAlignment="1">
      <alignment horizontal="center" vertical="center" wrapText="1"/>
    </xf>
    <xf numFmtId="0" fontId="142" fillId="109" borderId="151" xfId="40" applyFont="1" applyBorder="1" applyAlignment="1">
      <alignment horizontal="center" vertical="center"/>
    </xf>
    <xf numFmtId="0" fontId="131" fillId="121" borderId="116" xfId="40" applyFont="1" applyFill="1" applyBorder="1" applyAlignment="1">
      <alignment horizontal="center" vertical="center" wrapText="1"/>
    </xf>
    <xf numFmtId="0" fontId="131" fillId="121" borderId="153" xfId="40" applyFont="1" applyFill="1" applyBorder="1" applyAlignment="1">
      <alignment horizontal="center" vertical="center" wrapText="1"/>
    </xf>
    <xf numFmtId="0" fontId="131" fillId="121" borderId="135" xfId="40" applyFont="1" applyFill="1" applyBorder="1" applyAlignment="1">
      <alignment horizontal="center" vertical="center" wrapText="1"/>
    </xf>
    <xf numFmtId="0" fontId="133" fillId="109" borderId="114" xfId="40" applyFont="1" applyBorder="1" applyAlignment="1">
      <alignment vertical="top" wrapText="1"/>
    </xf>
    <xf numFmtId="0" fontId="142" fillId="109" borderId="117" xfId="40" applyFont="1" applyBorder="1" applyAlignment="1">
      <alignment horizontal="center" vertical="center"/>
    </xf>
    <xf numFmtId="0" fontId="133" fillId="109" borderId="130" xfId="40" applyFont="1" applyBorder="1" applyAlignment="1">
      <alignment vertical="top" wrapText="1"/>
    </xf>
    <xf numFmtId="0" fontId="120" fillId="142" borderId="152" xfId="40" applyFill="1" applyBorder="1" applyAlignment="1">
      <alignment horizontal="center"/>
    </xf>
    <xf numFmtId="0" fontId="120" fillId="146" borderId="152" xfId="40" applyFill="1" applyBorder="1" applyAlignment="1">
      <alignment horizontal="center"/>
    </xf>
    <xf numFmtId="0" fontId="120" fillId="147" borderId="152" xfId="40" applyFill="1" applyBorder="1" applyAlignment="1">
      <alignment horizontal="center"/>
    </xf>
    <xf numFmtId="0" fontId="120" fillId="144" borderId="152" xfId="40" applyFill="1" applyBorder="1" applyAlignment="1">
      <alignment horizontal="center"/>
    </xf>
    <xf numFmtId="0" fontId="120" fillId="120" borderId="152" xfId="40" applyFill="1" applyBorder="1" applyAlignment="1">
      <alignment horizontal="center"/>
    </xf>
    <xf numFmtId="0" fontId="151" fillId="109" borderId="106" xfId="40" applyFont="1" applyAlignment="1"/>
    <xf numFmtId="0" fontId="153" fillId="115" borderId="108" xfId="40" applyFont="1" applyFill="1" applyBorder="1" applyAlignment="1">
      <alignment horizontal="center" vertical="center" wrapText="1"/>
    </xf>
    <xf numFmtId="0" fontId="153" fillId="115" borderId="150" xfId="40" applyFont="1" applyFill="1" applyBorder="1" applyAlignment="1">
      <alignment vertical="center" wrapText="1"/>
    </xf>
    <xf numFmtId="0" fontId="136" fillId="126" borderId="110" xfId="40" applyFont="1" applyFill="1" applyBorder="1" applyAlignment="1">
      <alignment horizontal="center" vertical="center" wrapText="1"/>
    </xf>
    <xf numFmtId="0" fontId="136" fillId="126" borderId="111" xfId="40" applyFont="1" applyFill="1" applyBorder="1" applyAlignment="1">
      <alignment horizontal="center" vertical="center" wrapText="1"/>
    </xf>
    <xf numFmtId="0" fontId="136" fillId="115" borderId="110" xfId="40" applyFont="1" applyFill="1" applyBorder="1" applyAlignment="1">
      <alignment horizontal="center" vertical="center" wrapText="1"/>
    </xf>
    <xf numFmtId="0" fontId="154" fillId="109" borderId="118" xfId="40" applyFont="1" applyBorder="1" applyAlignment="1"/>
    <xf numFmtId="0" fontId="154" fillId="113" borderId="118" xfId="40" applyFont="1" applyFill="1" applyBorder="1" applyAlignment="1"/>
    <xf numFmtId="0" fontId="136" fillId="125" borderId="118" xfId="40" applyFont="1" applyFill="1" applyBorder="1" applyAlignment="1">
      <alignment horizontal="center" vertical="center" wrapText="1"/>
    </xf>
    <xf numFmtId="0" fontId="136" fillId="125" borderId="111" xfId="40" applyFont="1" applyFill="1" applyBorder="1" applyAlignment="1">
      <alignment horizontal="center" vertical="center" wrapText="1"/>
    </xf>
    <xf numFmtId="0" fontId="154" fillId="109" borderId="115" xfId="40" applyFont="1" applyBorder="1"/>
    <xf numFmtId="0" fontId="154" fillId="109" borderId="115" xfId="40" applyFont="1" applyBorder="1" applyAlignment="1">
      <alignment wrapText="1"/>
    </xf>
    <xf numFmtId="0" fontId="154" fillId="109" borderId="115" xfId="40" applyFont="1" applyBorder="1" applyAlignment="1">
      <alignment wrapText="1"/>
    </xf>
    <xf numFmtId="0" fontId="154" fillId="113" borderId="115" xfId="40" applyFont="1" applyFill="1" applyBorder="1"/>
    <xf numFmtId="0" fontId="154" fillId="137" borderId="115" xfId="40" applyFont="1" applyFill="1" applyBorder="1"/>
    <xf numFmtId="0" fontId="154" fillId="137" borderId="115" xfId="40" applyFont="1" applyFill="1" applyBorder="1" applyAlignment="1">
      <alignment wrapText="1"/>
    </xf>
    <xf numFmtId="0" fontId="154" fillId="137" borderId="115" xfId="40" applyFont="1" applyFill="1" applyBorder="1" applyAlignment="1">
      <alignment wrapText="1"/>
    </xf>
    <xf numFmtId="0" fontId="154" fillId="133" borderId="115" xfId="40" applyFont="1" applyFill="1" applyBorder="1"/>
    <xf numFmtId="0" fontId="154" fillId="131" borderId="115" xfId="40" applyFont="1" applyFill="1" applyBorder="1"/>
    <xf numFmtId="0" fontId="154" fillId="131" borderId="115" xfId="40" applyFont="1" applyFill="1" applyBorder="1" applyAlignment="1">
      <alignment wrapText="1"/>
    </xf>
    <xf numFmtId="0" fontId="154" fillId="131" borderId="115" xfId="40" applyFont="1" applyFill="1" applyBorder="1" applyAlignment="1">
      <alignment wrapText="1"/>
    </xf>
    <xf numFmtId="0" fontId="154" fillId="130" borderId="115" xfId="40" applyFont="1" applyFill="1" applyBorder="1"/>
    <xf numFmtId="0" fontId="155" fillId="115" borderId="110" xfId="40" applyFont="1" applyFill="1" applyBorder="1" applyAlignment="1">
      <alignment horizontal="center" vertical="center" wrapText="1"/>
    </xf>
    <xf numFmtId="0" fontId="156" fillId="109" borderId="118" xfId="40" applyFont="1" applyBorder="1" applyAlignment="1"/>
    <xf numFmtId="0" fontId="156" fillId="113" borderId="118" xfId="40" applyFont="1" applyFill="1" applyBorder="1" applyAlignment="1"/>
    <xf numFmtId="0" fontId="155" fillId="125" borderId="118" xfId="40" applyFont="1" applyFill="1" applyBorder="1" applyAlignment="1">
      <alignment horizontal="center" vertical="center" wrapText="1"/>
    </xf>
    <xf numFmtId="0" fontId="154" fillId="150" borderId="115" xfId="40" applyFont="1" applyFill="1" applyBorder="1"/>
    <xf numFmtId="0" fontId="154" fillId="150" borderId="115" xfId="40" applyFont="1" applyFill="1" applyBorder="1" applyAlignment="1">
      <alignment wrapText="1"/>
    </xf>
    <xf numFmtId="0" fontId="154" fillId="150" borderId="115" xfId="40" applyFont="1" applyFill="1" applyBorder="1" applyAlignment="1">
      <alignment wrapText="1"/>
    </xf>
    <xf numFmtId="0" fontId="154" fillId="151" borderId="115" xfId="40" applyFont="1" applyFill="1" applyBorder="1"/>
    <xf numFmtId="0" fontId="154" fillId="151" borderId="115" xfId="40" applyFont="1" applyFill="1" applyBorder="1" applyAlignment="1">
      <alignment wrapText="1"/>
    </xf>
    <xf numFmtId="0" fontId="154" fillId="151" borderId="115" xfId="40" applyFont="1" applyFill="1" applyBorder="1" applyAlignment="1">
      <alignment wrapText="1"/>
    </xf>
    <xf numFmtId="0" fontId="154" fillId="113" borderId="115" xfId="40" applyFont="1" applyFill="1" applyBorder="1" applyAlignment="1">
      <alignment horizontal="center" vertical="center" wrapText="1"/>
    </xf>
    <xf numFmtId="0" fontId="122" fillId="115" borderId="122" xfId="40" applyFont="1" applyFill="1" applyBorder="1" applyAlignment="1">
      <alignment horizontal="center" vertical="center" wrapText="1"/>
    </xf>
    <xf numFmtId="0" fontId="122" fillId="115" borderId="150" xfId="40" applyFont="1" applyFill="1" applyBorder="1" applyAlignment="1">
      <alignment horizontal="center" vertical="center" wrapText="1"/>
    </xf>
    <xf numFmtId="0" fontId="126" fillId="113" borderId="106" xfId="40" applyFont="1" applyFill="1" applyAlignment="1">
      <alignment horizontal="center" vertical="center"/>
    </xf>
    <xf numFmtId="0" fontId="126" fillId="109" borderId="106" xfId="40" applyFont="1" applyAlignment="1">
      <alignment horizontal="center" vertical="center"/>
    </xf>
    <xf numFmtId="0" fontId="139" fillId="113" borderId="106" xfId="40" applyFont="1" applyFill="1" applyAlignment="1">
      <alignment horizontal="center" vertical="center"/>
    </xf>
    <xf numFmtId="0" fontId="139" fillId="109" borderId="106" xfId="40" applyFont="1" applyAlignment="1">
      <alignment horizontal="center" vertical="center"/>
    </xf>
    <xf numFmtId="0" fontId="139" fillId="109" borderId="115" xfId="40" applyFont="1" applyBorder="1" applyAlignment="1">
      <alignment horizontal="center" vertical="center"/>
    </xf>
    <xf numFmtId="0" fontId="156" fillId="109" borderId="118" xfId="40" applyFont="1" applyBorder="1" applyAlignment="1">
      <alignment horizontal="center" vertical="center"/>
    </xf>
    <xf numFmtId="0" fontId="156" fillId="113" borderId="118" xfId="40" applyFont="1" applyFill="1" applyBorder="1" applyAlignment="1">
      <alignment horizontal="center" vertical="center"/>
    </xf>
    <xf numFmtId="0" fontId="156" fillId="124" borderId="111" xfId="40" applyFont="1" applyFill="1" applyBorder="1" applyAlignment="1">
      <alignment horizontal="center" vertical="center" wrapText="1"/>
    </xf>
    <xf numFmtId="0" fontId="156" fillId="126" borderId="110" xfId="40" applyFont="1" applyFill="1" applyBorder="1" applyAlignment="1">
      <alignment horizontal="center" vertical="center" wrapText="1"/>
    </xf>
    <xf numFmtId="0" fontId="156" fillId="126" borderId="111" xfId="40" applyFont="1" applyFill="1" applyBorder="1" applyAlignment="1">
      <alignment horizontal="center" vertical="center" wrapText="1"/>
    </xf>
    <xf numFmtId="0" fontId="156" fillId="115" borderId="110" xfId="40" applyFont="1" applyFill="1" applyBorder="1" applyAlignment="1">
      <alignment horizontal="center" vertical="center" wrapText="1"/>
    </xf>
    <xf numFmtId="0" fontId="156" fillId="125" borderId="110" xfId="40" applyFont="1" applyFill="1" applyBorder="1" applyAlignment="1">
      <alignment horizontal="center" vertical="center" wrapText="1"/>
    </xf>
    <xf numFmtId="0" fontId="156" fillId="125" borderId="118" xfId="40" applyFont="1" applyFill="1" applyBorder="1" applyAlignment="1">
      <alignment horizontal="center" vertical="center" wrapText="1"/>
    </xf>
    <xf numFmtId="0" fontId="156" fillId="125" borderId="145" xfId="40" applyFont="1" applyFill="1" applyBorder="1" applyAlignment="1">
      <alignment horizontal="center" vertical="center" wrapText="1"/>
    </xf>
    <xf numFmtId="0" fontId="156" fillId="140" borderId="114" xfId="40" applyFont="1" applyFill="1" applyBorder="1" applyAlignment="1">
      <alignment horizontal="center" vertical="center" wrapText="1"/>
    </xf>
    <xf numFmtId="0" fontId="156" fillId="140" borderId="117" xfId="40" applyFont="1" applyFill="1" applyBorder="1" applyAlignment="1">
      <alignment horizontal="center" vertical="center" wrapText="1"/>
    </xf>
    <xf numFmtId="0" fontId="157" fillId="116" borderId="118" xfId="40" applyFont="1" applyFill="1" applyBorder="1" applyAlignment="1">
      <alignment horizontal="center" vertical="center" wrapText="1"/>
    </xf>
    <xf numFmtId="0" fontId="158" fillId="122" borderId="118" xfId="40" applyFont="1" applyFill="1" applyBorder="1" applyAlignment="1">
      <alignment horizontal="center" vertical="center" wrapText="1"/>
    </xf>
    <xf numFmtId="0" fontId="157" fillId="117" borderId="118" xfId="40" applyFont="1" applyFill="1" applyBorder="1" applyAlignment="1">
      <alignment horizontal="center" vertical="center" wrapText="1"/>
    </xf>
    <xf numFmtId="0" fontId="157" fillId="119" borderId="118" xfId="40" applyFont="1" applyFill="1" applyBorder="1" applyAlignment="1">
      <alignment horizontal="center" vertical="center" wrapText="1"/>
    </xf>
    <xf numFmtId="0" fontId="157" fillId="118" borderId="118" xfId="40" applyFont="1" applyFill="1" applyBorder="1" applyAlignment="1">
      <alignment horizontal="center" vertical="center" wrapText="1"/>
    </xf>
    <xf numFmtId="0" fontId="157" fillId="120" borderId="118" xfId="40" applyFont="1" applyFill="1" applyBorder="1" applyAlignment="1">
      <alignment horizontal="center" vertical="center" wrapText="1"/>
    </xf>
    <xf numFmtId="0" fontId="157" fillId="121" borderId="118" xfId="40" applyFont="1" applyFill="1" applyBorder="1" applyAlignment="1">
      <alignment horizontal="center" vertical="center" wrapText="1"/>
    </xf>
    <xf numFmtId="0" fontId="138" fillId="113" borderId="106" xfId="40" applyFont="1" applyFill="1" applyAlignment="1">
      <alignment horizontal="left" vertical="center"/>
    </xf>
    <xf numFmtId="0" fontId="138" fillId="109" borderId="106" xfId="40" applyFont="1"/>
    <xf numFmtId="0" fontId="138" fillId="148" borderId="106" xfId="40" applyFont="1" applyFill="1"/>
    <xf numFmtId="0" fontId="154" fillId="123" borderId="115" xfId="40" applyFont="1" applyFill="1" applyBorder="1" applyAlignment="1">
      <alignment horizontal="left" vertical="center" wrapText="1"/>
    </xf>
    <xf numFmtId="0" fontId="154" fillId="126" borderId="115" xfId="40" applyFont="1" applyFill="1" applyBorder="1" applyAlignment="1">
      <alignment horizontal="center" vertical="center" wrapText="1"/>
    </xf>
    <xf numFmtId="0" fontId="154" fillId="126" borderId="115" xfId="40" applyFont="1" applyFill="1" applyBorder="1" applyAlignment="1">
      <alignment horizontal="left" vertical="center" wrapText="1"/>
    </xf>
    <xf numFmtId="0" fontId="154" fillId="125" borderId="115" xfId="40" applyFont="1" applyFill="1" applyBorder="1" applyAlignment="1">
      <alignment horizontal="center" vertical="center" wrapText="1"/>
    </xf>
    <xf numFmtId="0" fontId="154" fillId="125" borderId="115" xfId="40" applyFont="1" applyFill="1" applyBorder="1" applyAlignment="1">
      <alignment vertical="center" wrapText="1"/>
    </xf>
    <xf numFmtId="0" fontId="154" fillId="133" borderId="115" xfId="40" applyFont="1" applyFill="1" applyBorder="1" applyAlignment="1">
      <alignment horizontal="center" vertical="center" wrapText="1"/>
    </xf>
    <xf numFmtId="0" fontId="154" fillId="138" borderId="115" xfId="40" applyFont="1" applyFill="1" applyBorder="1" applyAlignment="1">
      <alignment horizontal="center" vertical="center" wrapText="1"/>
    </xf>
    <xf numFmtId="0" fontId="154" fillId="138" borderId="115" xfId="40" applyFont="1" applyFill="1" applyBorder="1" applyAlignment="1">
      <alignment horizontal="left" vertical="center" wrapText="1"/>
    </xf>
    <xf numFmtId="0" fontId="154" fillId="130" borderId="115" xfId="40" applyFont="1" applyFill="1" applyBorder="1" applyAlignment="1">
      <alignment horizontal="center" vertical="center" wrapText="1"/>
    </xf>
    <xf numFmtId="0" fontId="154" fillId="132" borderId="115" xfId="40" applyFont="1" applyFill="1" applyBorder="1" applyAlignment="1">
      <alignment horizontal="center" vertical="center" wrapText="1"/>
    </xf>
    <xf numFmtId="0" fontId="154" fillId="132"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50" borderId="115" xfId="40" applyFont="1" applyFill="1" applyBorder="1" applyAlignment="1">
      <alignment horizontal="center" vertical="center" wrapText="1"/>
    </xf>
    <xf numFmtId="0" fontId="154" fillId="113" borderId="130" xfId="40" applyFont="1" applyFill="1" applyBorder="1" applyAlignment="1">
      <alignment horizontal="center" vertical="center" wrapText="1"/>
    </xf>
    <xf numFmtId="0" fontId="154" fillId="113" borderId="114" xfId="40" applyFont="1" applyFill="1" applyBorder="1" applyAlignment="1">
      <alignment horizontal="center" vertical="center" wrapText="1"/>
    </xf>
    <xf numFmtId="0" fontId="154" fillId="133" borderId="114" xfId="40" applyFont="1" applyFill="1" applyBorder="1" applyAlignment="1">
      <alignment horizontal="center" vertical="center" wrapText="1"/>
    </xf>
    <xf numFmtId="0" fontId="154" fillId="113" borderId="119" xfId="40" applyFont="1" applyFill="1" applyBorder="1" applyAlignment="1">
      <alignment horizontal="center" vertical="center" wrapText="1"/>
    </xf>
    <xf numFmtId="0" fontId="163" fillId="152" borderId="138" xfId="40" applyFont="1" applyFill="1" applyBorder="1" applyAlignment="1">
      <alignment horizontal="center" vertical="center" wrapText="1"/>
    </xf>
    <xf numFmtId="0" fontId="163" fillId="152" borderId="155" xfId="40" applyFont="1" applyFill="1" applyBorder="1" applyAlignment="1">
      <alignment horizontal="center" vertical="center" wrapText="1"/>
    </xf>
    <xf numFmtId="0" fontId="163" fillId="153" borderId="110" xfId="40" applyFont="1" applyFill="1" applyBorder="1" applyAlignment="1">
      <alignment horizontal="center" vertical="center" wrapText="1"/>
    </xf>
    <xf numFmtId="0" fontId="163" fillId="153" borderId="155" xfId="40" applyFont="1" applyFill="1" applyBorder="1" applyAlignment="1">
      <alignment horizontal="center" vertical="center" wrapText="1"/>
    </xf>
    <xf numFmtId="0" fontId="136" fillId="114" borderId="110" xfId="40" applyFont="1" applyFill="1" applyBorder="1" applyAlignment="1">
      <alignment horizontal="center" vertical="center" wrapText="1"/>
    </xf>
    <xf numFmtId="0" fontId="136" fillId="114" borderId="111" xfId="40" applyFont="1" applyFill="1" applyBorder="1" applyAlignment="1">
      <alignment horizontal="center" vertical="center" wrapText="1"/>
    </xf>
    <xf numFmtId="0" fontId="136" fillId="154" borderId="110" xfId="40" applyFont="1" applyFill="1" applyBorder="1" applyAlignment="1">
      <alignment horizontal="center" vertical="center" wrapText="1"/>
    </xf>
    <xf numFmtId="0" fontId="136" fillId="154" borderId="111" xfId="40" applyFont="1" applyFill="1" applyBorder="1" applyAlignment="1">
      <alignment horizontal="center" vertical="center" wrapText="1"/>
    </xf>
    <xf numFmtId="0" fontId="163" fillId="155" borderId="138" xfId="40" applyFont="1" applyFill="1" applyBorder="1" applyAlignment="1">
      <alignment horizontal="center" vertical="center" wrapText="1"/>
    </xf>
    <xf numFmtId="0" fontId="163" fillId="155" borderId="155"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26" borderId="115" xfId="40" applyFont="1" applyFill="1" applyBorder="1" applyAlignment="1">
      <alignment vertical="center" wrapText="1"/>
    </xf>
    <xf numFmtId="0" fontId="165" fillId="116" borderId="118" xfId="40" applyFont="1" applyFill="1" applyBorder="1" applyAlignment="1">
      <alignment horizontal="center" vertical="center" wrapText="1"/>
    </xf>
    <xf numFmtId="0" fontId="153" fillId="122" borderId="118" xfId="40" applyFont="1" applyFill="1" applyBorder="1" applyAlignment="1">
      <alignment horizontal="center" vertical="center" wrapText="1"/>
    </xf>
    <xf numFmtId="0" fontId="165" fillId="117" borderId="118" xfId="40" applyFont="1" applyFill="1" applyBorder="1" applyAlignment="1">
      <alignment horizontal="center" vertical="center" wrapText="1"/>
    </xf>
    <xf numFmtId="0" fontId="165" fillId="119" borderId="118" xfId="40" applyFont="1" applyFill="1" applyBorder="1" applyAlignment="1">
      <alignment horizontal="center" vertical="center" wrapText="1"/>
    </xf>
    <xf numFmtId="0" fontId="165" fillId="118" borderId="118" xfId="40" applyFont="1" applyFill="1" applyBorder="1" applyAlignment="1">
      <alignment horizontal="center" vertical="center" wrapText="1"/>
    </xf>
    <xf numFmtId="0" fontId="165" fillId="120" borderId="118" xfId="40" applyFont="1" applyFill="1" applyBorder="1" applyAlignment="1">
      <alignment horizontal="center" vertical="center" wrapText="1"/>
    </xf>
    <xf numFmtId="0" fontId="165" fillId="121" borderId="118" xfId="40" applyFont="1" applyFill="1" applyBorder="1" applyAlignment="1">
      <alignment horizontal="center" vertical="center" wrapText="1"/>
    </xf>
    <xf numFmtId="0" fontId="138" fillId="113" borderId="114" xfId="40" applyFont="1" applyFill="1" applyBorder="1" applyAlignment="1">
      <alignment horizontal="center" vertical="center" wrapText="1"/>
    </xf>
    <xf numFmtId="0" fontId="156" fillId="113" borderId="114" xfId="40" applyFont="1" applyFill="1" applyBorder="1" applyAlignment="1">
      <alignment horizontal="center" vertical="center" wrapText="1"/>
    </xf>
    <xf numFmtId="0" fontId="138" fillId="109" borderId="106" xfId="40" applyFont="1" applyAlignment="1">
      <alignment wrapText="1"/>
    </xf>
    <xf numFmtId="0" fontId="154" fillId="125" borderId="115" xfId="40" applyFont="1" applyFill="1" applyBorder="1" applyAlignment="1">
      <alignment horizontal="center" vertical="center" wrapText="1"/>
    </xf>
    <xf numFmtId="0" fontId="154" fillId="123" borderId="115" xfId="40" applyFont="1" applyFill="1" applyBorder="1" applyAlignment="1">
      <alignment vertical="center" wrapText="1"/>
    </xf>
    <xf numFmtId="0" fontId="166" fillId="116" borderId="118" xfId="40" applyFont="1" applyFill="1" applyBorder="1" applyAlignment="1">
      <alignment horizontal="center" vertical="center" wrapText="1"/>
    </xf>
    <xf numFmtId="0" fontId="167" fillId="122" borderId="118" xfId="40" applyFont="1" applyFill="1" applyBorder="1" applyAlignment="1">
      <alignment horizontal="center" vertical="center" wrapText="1"/>
    </xf>
    <xf numFmtId="0" fontId="166" fillId="117" borderId="118" xfId="40" applyFont="1" applyFill="1" applyBorder="1" applyAlignment="1">
      <alignment horizontal="center" vertical="center" wrapText="1"/>
    </xf>
    <xf numFmtId="0" fontId="166" fillId="119" borderId="118" xfId="40" applyFont="1" applyFill="1" applyBorder="1" applyAlignment="1">
      <alignment horizontal="center" vertical="center" wrapText="1"/>
    </xf>
    <xf numFmtId="0" fontId="166" fillId="118" borderId="118" xfId="40" applyFont="1" applyFill="1" applyBorder="1" applyAlignment="1">
      <alignment horizontal="center" vertical="center" wrapText="1"/>
    </xf>
    <xf numFmtId="0" fontId="166" fillId="120" borderId="118" xfId="40" applyFont="1" applyFill="1" applyBorder="1" applyAlignment="1">
      <alignment horizontal="center" vertical="center" wrapText="1"/>
    </xf>
    <xf numFmtId="0" fontId="166" fillId="121" borderId="118" xfId="40" applyFont="1" applyFill="1" applyBorder="1" applyAlignment="1">
      <alignment horizontal="center" vertical="center" wrapText="1"/>
    </xf>
    <xf numFmtId="0" fontId="168" fillId="121" borderId="115" xfId="40" applyFont="1" applyFill="1" applyBorder="1" applyAlignment="1">
      <alignment horizontal="center" vertical="center" wrapText="1"/>
    </xf>
    <xf numFmtId="0" fontId="168" fillId="116" borderId="115" xfId="40" applyFont="1" applyFill="1" applyBorder="1" applyAlignment="1">
      <alignment horizontal="center" vertical="center" wrapText="1"/>
    </xf>
    <xf numFmtId="0" fontId="122" fillId="122" borderId="115" xfId="40" applyFont="1" applyFill="1" applyBorder="1" applyAlignment="1">
      <alignment horizontal="center" vertical="center" wrapText="1"/>
    </xf>
    <xf numFmtId="0" fontId="168" fillId="117" borderId="115" xfId="40" applyFont="1" applyFill="1" applyBorder="1" applyAlignment="1">
      <alignment horizontal="center" vertical="center" wrapText="1"/>
    </xf>
    <xf numFmtId="0" fontId="168" fillId="119" borderId="115" xfId="40" applyFont="1" applyFill="1" applyBorder="1" applyAlignment="1">
      <alignment horizontal="center" vertical="center" wrapText="1"/>
    </xf>
    <xf numFmtId="0" fontId="168" fillId="118" borderId="115" xfId="40" applyFont="1" applyFill="1" applyBorder="1" applyAlignment="1">
      <alignment horizontal="center" vertical="center" wrapText="1"/>
    </xf>
    <xf numFmtId="0" fontId="168" fillId="120" borderId="115" xfId="40" applyFont="1" applyFill="1" applyBorder="1" applyAlignment="1">
      <alignment horizontal="center" vertical="center" wrapText="1"/>
    </xf>
    <xf numFmtId="0" fontId="138" fillId="113" borderId="106" xfId="40" applyFont="1" applyFill="1" applyAlignment="1">
      <alignment horizontal="center" vertical="center"/>
    </xf>
    <xf numFmtId="0" fontId="154" fillId="124" borderId="131" xfId="40" applyFont="1" applyFill="1" applyBorder="1" applyAlignment="1">
      <alignment horizontal="center" vertical="center" wrapText="1"/>
    </xf>
    <xf numFmtId="0" fontId="154" fillId="126" borderId="115" xfId="40" applyFont="1" applyFill="1" applyBorder="1" applyAlignment="1">
      <alignment horizontal="center" vertical="center" wrapText="1"/>
    </xf>
    <xf numFmtId="0" fontId="154" fillId="126"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38" fillId="109" borderId="106" xfId="40" applyFont="1" applyAlignment="1">
      <alignment horizontal="center" vertical="center"/>
    </xf>
    <xf numFmtId="0" fontId="138" fillId="109" borderId="115" xfId="40" applyFont="1" applyBorder="1" applyAlignment="1">
      <alignment horizontal="center" vertical="center"/>
    </xf>
    <xf numFmtId="0" fontId="154" fillId="124" borderId="115" xfId="40" applyFont="1" applyFill="1" applyBorder="1" applyAlignment="1">
      <alignment horizontal="center" vertical="center" wrapText="1"/>
    </xf>
    <xf numFmtId="0" fontId="154" fillId="135" borderId="115" xfId="40" applyFont="1" applyFill="1" applyBorder="1" applyAlignment="1">
      <alignment horizontal="center" vertical="center" wrapText="1"/>
    </xf>
    <xf numFmtId="0" fontId="154" fillId="136" borderId="115" xfId="40" applyFont="1" applyFill="1" applyBorder="1" applyAlignment="1">
      <alignment horizontal="center" vertical="center" wrapText="1"/>
    </xf>
    <xf numFmtId="0" fontId="154" fillId="139" borderId="115" xfId="40" applyFont="1" applyFill="1" applyBorder="1" applyAlignment="1">
      <alignment horizontal="center" vertical="center" wrapText="1"/>
    </xf>
    <xf numFmtId="0" fontId="154" fillId="128" borderId="115" xfId="40" applyFont="1" applyFill="1" applyBorder="1" applyAlignment="1">
      <alignment horizontal="center" vertical="center" wrapText="1"/>
    </xf>
    <xf numFmtId="0" fontId="154" fillId="129" borderId="115" xfId="40" applyFont="1" applyFill="1" applyBorder="1" applyAlignment="1">
      <alignment horizontal="center" vertical="center" wrapText="1"/>
    </xf>
    <xf numFmtId="0" fontId="154" fillId="128" borderId="120" xfId="40" applyFont="1" applyFill="1" applyBorder="1" applyAlignment="1">
      <alignment horizontal="center" vertical="center" wrapText="1"/>
    </xf>
    <xf numFmtId="0" fontId="154" fillId="129" borderId="120" xfId="40" applyFont="1" applyFill="1" applyBorder="1" applyAlignment="1">
      <alignment horizontal="center" vertical="center" wrapText="1"/>
    </xf>
    <xf numFmtId="0" fontId="154" fillId="132" borderId="120" xfId="40" applyFont="1" applyFill="1" applyBorder="1" applyAlignment="1">
      <alignment horizontal="center" vertical="center" wrapText="1"/>
    </xf>
    <xf numFmtId="0" fontId="154" fillId="126" borderId="120" xfId="40" applyFont="1" applyFill="1" applyBorder="1" applyAlignment="1">
      <alignment horizontal="center" vertical="center" wrapText="1"/>
    </xf>
    <xf numFmtId="0" fontId="125" fillId="113" borderId="106" xfId="40" applyFont="1" applyFill="1" applyAlignment="1">
      <alignment horizontal="left" vertical="center" wrapText="1"/>
    </xf>
    <xf numFmtId="0" fontId="154" fillId="113" borderId="131" xfId="40" applyFont="1" applyFill="1" applyBorder="1" applyAlignment="1">
      <alignment horizontal="left" vertical="center" wrapText="1"/>
    </xf>
    <xf numFmtId="0" fontId="154" fillId="113" borderId="115" xfId="40" applyFont="1" applyFill="1" applyBorder="1" applyAlignment="1">
      <alignment horizontal="left" vertical="center" wrapText="1"/>
    </xf>
    <xf numFmtId="0" fontId="154" fillId="113" borderId="120" xfId="40" applyFont="1" applyFill="1" applyBorder="1" applyAlignment="1">
      <alignment horizontal="left" vertical="center" wrapText="1"/>
    </xf>
    <xf numFmtId="0" fontId="161" fillId="148" borderId="131" xfId="40" applyFont="1" applyFill="1" applyBorder="1" applyAlignment="1">
      <alignment horizontal="left" vertical="center" wrapText="1"/>
    </xf>
    <xf numFmtId="0" fontId="125" fillId="109" borderId="106" xfId="40" applyFont="1" applyAlignment="1">
      <alignment horizontal="left" vertical="center" wrapText="1"/>
    </xf>
    <xf numFmtId="0" fontId="154" fillId="123" borderId="131" xfId="40" applyFont="1" applyFill="1" applyBorder="1" applyAlignment="1">
      <alignment horizontal="left" vertical="center" wrapText="1"/>
    </xf>
    <xf numFmtId="0" fontId="154" fillId="126" borderId="115" xfId="40" applyFont="1" applyFill="1" applyBorder="1" applyAlignment="1">
      <alignment horizontal="left" vertical="center" wrapText="1"/>
    </xf>
    <xf numFmtId="0" fontId="154" fillId="126" borderId="131" xfId="40" applyFont="1" applyFill="1" applyBorder="1" applyAlignment="1">
      <alignment horizontal="left" vertical="center" wrapText="1"/>
    </xf>
    <xf numFmtId="0" fontId="154" fillId="148" borderId="131" xfId="40" applyFont="1" applyFill="1" applyBorder="1" applyAlignment="1">
      <alignment horizontal="left" vertical="center" wrapText="1"/>
    </xf>
    <xf numFmtId="0" fontId="154" fillId="148" borderId="131" xfId="40" applyFont="1" applyFill="1" applyBorder="1" applyAlignment="1">
      <alignment horizontal="left" vertical="center"/>
    </xf>
    <xf numFmtId="0" fontId="154" fillId="148" borderId="131" xfId="40" applyFont="1" applyFill="1" applyBorder="1" applyAlignment="1">
      <alignment horizontal="left" vertical="center" wrapText="1"/>
    </xf>
    <xf numFmtId="0" fontId="154" fillId="125" borderId="131" xfId="40" applyFont="1" applyFill="1" applyBorder="1" applyAlignment="1">
      <alignment horizontal="left" vertical="center" wrapText="1"/>
    </xf>
    <xf numFmtId="0" fontId="154" fillId="140" borderId="131" xfId="40" applyFont="1" applyFill="1" applyBorder="1" applyAlignment="1">
      <alignment horizontal="left" vertical="center" wrapText="1"/>
    </xf>
    <xf numFmtId="0" fontId="154" fillId="123" borderId="115" xfId="40" applyFont="1" applyFill="1" applyBorder="1" applyAlignment="1">
      <alignment horizontal="left" vertical="center" wrapText="1"/>
    </xf>
    <xf numFmtId="0" fontId="154" fillId="148" borderId="115" xfId="40" applyFont="1" applyFill="1" applyBorder="1" applyAlignment="1">
      <alignment horizontal="left" vertical="center" wrapText="1"/>
    </xf>
    <xf numFmtId="0" fontId="154" fillId="148" borderId="115" xfId="40" applyFont="1" applyFill="1" applyBorder="1" applyAlignment="1">
      <alignment horizontal="left" vertical="center"/>
    </xf>
    <xf numFmtId="0" fontId="154" fillId="148"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40" borderId="115" xfId="40" applyFont="1" applyFill="1" applyBorder="1" applyAlignment="1">
      <alignment horizontal="left" vertical="center" wrapText="1"/>
    </xf>
    <xf numFmtId="0" fontId="154" fillId="134" borderId="115" xfId="40" applyFont="1" applyFill="1" applyBorder="1" applyAlignment="1">
      <alignment horizontal="left" vertical="center" wrapText="1"/>
    </xf>
    <xf numFmtId="0" fontId="154" fillId="133" borderId="115" xfId="40" applyFont="1" applyFill="1" applyBorder="1" applyAlignment="1">
      <alignment horizontal="left" vertical="center" wrapText="1"/>
    </xf>
    <xf numFmtId="0" fontId="154" fillId="139" borderId="115" xfId="40" applyFont="1" applyFill="1" applyBorder="1" applyAlignment="1">
      <alignment horizontal="left" vertical="center" wrapText="1"/>
    </xf>
    <xf numFmtId="0" fontId="154" fillId="127" borderId="115" xfId="40" applyFont="1" applyFill="1" applyBorder="1" applyAlignment="1">
      <alignment horizontal="left" vertical="center" wrapText="1"/>
    </xf>
    <xf numFmtId="0" fontId="154" fillId="132" borderId="115" xfId="40" applyFont="1" applyFill="1" applyBorder="1" applyAlignment="1">
      <alignment horizontal="left" vertical="center" wrapText="1"/>
    </xf>
    <xf numFmtId="0" fontId="154" fillId="113" borderId="131" xfId="40" applyFont="1" applyFill="1" applyBorder="1" applyAlignment="1">
      <alignment horizontal="left" vertical="center"/>
    </xf>
    <xf numFmtId="0" fontId="154" fillId="113" borderId="115" xfId="40" applyFont="1" applyFill="1" applyBorder="1" applyAlignment="1">
      <alignment horizontal="left" vertical="center"/>
    </xf>
    <xf numFmtId="0" fontId="154" fillId="127" borderId="120" xfId="40" applyFont="1" applyFill="1" applyBorder="1" applyAlignment="1">
      <alignment horizontal="left" vertical="center" wrapText="1"/>
    </xf>
    <xf numFmtId="0" fontId="154" fillId="129" borderId="120" xfId="40" applyFont="1" applyFill="1" applyBorder="1" applyAlignment="1">
      <alignment horizontal="left" vertical="center" wrapText="1"/>
    </xf>
    <xf numFmtId="0" fontId="154" fillId="130" borderId="120" xfId="40" applyFont="1" applyFill="1" applyBorder="1" applyAlignment="1">
      <alignment horizontal="left" vertical="center" wrapText="1"/>
    </xf>
    <xf numFmtId="0" fontId="154" fillId="131" borderId="120" xfId="40" applyFont="1" applyFill="1" applyBorder="1" applyAlignment="1">
      <alignment horizontal="left" vertical="center"/>
    </xf>
    <xf numFmtId="0" fontId="154" fillId="131" borderId="120" xfId="40" applyFont="1" applyFill="1" applyBorder="1" applyAlignment="1">
      <alignment horizontal="left" vertical="center" wrapText="1"/>
    </xf>
    <xf numFmtId="0" fontId="154" fillId="131" borderId="120" xfId="40" applyFont="1" applyFill="1" applyBorder="1" applyAlignment="1">
      <alignment horizontal="left" vertical="center" wrapText="1"/>
    </xf>
    <xf numFmtId="0" fontId="154" fillId="130" borderId="120" xfId="40" applyFont="1" applyFill="1" applyBorder="1" applyAlignment="1">
      <alignment horizontal="left" vertical="center"/>
    </xf>
    <xf numFmtId="0" fontId="154" fillId="141" borderId="120" xfId="40" applyFont="1" applyFill="1" applyBorder="1" applyAlignment="1">
      <alignment horizontal="left" vertical="center" wrapText="1"/>
    </xf>
    <xf numFmtId="0" fontId="154" fillId="138" borderId="115" xfId="40" applyFont="1" applyFill="1" applyBorder="1" applyAlignment="1">
      <alignment horizontal="left" vertical="center" wrapText="1"/>
    </xf>
    <xf numFmtId="0" fontId="154" fillId="149" borderId="115" xfId="40" applyFont="1" applyFill="1" applyBorder="1" applyAlignment="1">
      <alignment horizontal="left" vertical="center" wrapText="1"/>
    </xf>
    <xf numFmtId="0" fontId="154" fillId="141" borderId="115" xfId="40" applyFont="1" applyFill="1" applyBorder="1" applyAlignment="1">
      <alignment horizontal="left" vertical="center" wrapText="1"/>
    </xf>
    <xf numFmtId="0" fontId="154" fillId="132" borderId="120" xfId="40" applyFont="1" applyFill="1" applyBorder="1" applyAlignment="1">
      <alignment horizontal="left" vertical="center" wrapText="1"/>
    </xf>
    <xf numFmtId="0" fontId="154" fillId="140" borderId="120" xfId="40" applyFont="1" applyFill="1" applyBorder="1" applyAlignment="1">
      <alignment horizontal="left" vertical="center" wrapText="1"/>
    </xf>
    <xf numFmtId="0" fontId="154" fillId="140" borderId="156" xfId="40" applyFont="1" applyFill="1" applyBorder="1" applyAlignment="1">
      <alignment horizontal="left" vertical="center" wrapText="1"/>
    </xf>
    <xf numFmtId="0" fontId="154" fillId="140" borderId="127" xfId="40" applyFont="1" applyFill="1" applyBorder="1" applyAlignment="1">
      <alignment horizontal="left" vertical="center" wrapText="1"/>
    </xf>
    <xf numFmtId="0" fontId="131" fillId="109" borderId="116" xfId="40" applyFont="1" applyBorder="1" applyAlignment="1">
      <alignment horizontal="center" vertical="center" wrapText="1"/>
    </xf>
    <xf numFmtId="0" fontId="132" fillId="109" borderId="116" xfId="40" applyFont="1" applyBorder="1" applyAlignment="1">
      <alignment horizontal="center" vertical="center" wrapText="1"/>
    </xf>
    <xf numFmtId="0" fontId="131" fillId="109" borderId="109" xfId="40" applyFont="1" applyBorder="1" applyAlignment="1">
      <alignment horizontal="center" vertical="center" wrapText="1"/>
    </xf>
    <xf numFmtId="0" fontId="143" fillId="109" borderId="115" xfId="40" applyFont="1" applyBorder="1" applyAlignment="1">
      <alignment horizontal="center" vertical="center" wrapText="1"/>
    </xf>
    <xf numFmtId="0" fontId="144" fillId="109" borderId="115" xfId="40" applyFont="1" applyBorder="1" applyAlignment="1">
      <alignment horizontal="center" vertical="center" wrapText="1"/>
    </xf>
    <xf numFmtId="0" fontId="143" fillId="109" borderId="117" xfId="40" applyFont="1" applyBorder="1" applyAlignment="1">
      <alignment horizontal="center" vertical="center" wrapText="1"/>
    </xf>
    <xf numFmtId="0" fontId="127" fillId="114" borderId="110" xfId="40" applyFont="1" applyFill="1" applyBorder="1" applyAlignment="1">
      <alignment horizontal="center" vertical="center" wrapText="1"/>
    </xf>
    <xf numFmtId="0" fontId="156" fillId="114" borderId="111" xfId="40" applyFont="1" applyFill="1" applyBorder="1" applyAlignment="1">
      <alignment horizontal="center" vertical="center" wrapText="1"/>
    </xf>
    <xf numFmtId="0" fontId="154" fillId="114" borderId="131"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59" borderId="120" xfId="40" applyFont="1" applyFill="1" applyBorder="1" applyAlignment="1">
      <alignment horizontal="center" vertical="center" wrapText="1"/>
    </xf>
    <xf numFmtId="0" fontId="154" fillId="114" borderId="120" xfId="40" applyFont="1" applyFill="1" applyBorder="1" applyAlignment="1">
      <alignment horizontal="center" vertical="center" wrapText="1"/>
    </xf>
    <xf numFmtId="0" fontId="156" fillId="154" borderId="110" xfId="40" applyFont="1" applyFill="1" applyBorder="1" applyAlignment="1">
      <alignment horizontal="center" vertical="center" wrapText="1"/>
    </xf>
    <xf numFmtId="0" fontId="154" fillId="154" borderId="131"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6" borderId="120" xfId="40" applyFont="1" applyFill="1" applyBorder="1" applyAlignment="1">
      <alignment horizontal="center" vertical="center" wrapText="1"/>
    </xf>
    <xf numFmtId="0" fontId="154" fillId="154" borderId="120" xfId="40" applyFont="1" applyFill="1" applyBorder="1" applyAlignment="1">
      <alignment horizontal="center" vertical="center" wrapText="1"/>
    </xf>
    <xf numFmtId="0" fontId="169" fillId="113" borderId="115" xfId="40" applyFont="1" applyFill="1" applyBorder="1" applyAlignment="1">
      <alignment horizontal="center" vertical="center" wrapText="1"/>
    </xf>
    <xf numFmtId="0" fontId="136" fillId="126" borderId="110" xfId="40" applyFont="1" applyFill="1" applyBorder="1" applyAlignment="1">
      <alignment horizontal="center" vertical="center"/>
    </xf>
    <xf numFmtId="0" fontId="170" fillId="156" borderId="115" xfId="40" applyFont="1" applyFill="1" applyBorder="1" applyAlignment="1">
      <alignment horizontal="center" vertical="center" wrapText="1"/>
    </xf>
    <xf numFmtId="0" fontId="171" fillId="113" borderId="106" xfId="40" applyFont="1" applyFill="1" applyAlignment="1">
      <alignment horizontal="center" vertical="center" wrapText="1"/>
    </xf>
    <xf numFmtId="0" fontId="174" fillId="113" borderId="106" xfId="40" applyFont="1" applyFill="1" applyAlignment="1">
      <alignment horizontal="center" vertical="center" wrapText="1"/>
    </xf>
    <xf numFmtId="0" fontId="172" fillId="113" borderId="106" xfId="40" applyFont="1" applyFill="1" applyAlignment="1">
      <alignment vertical="top" wrapText="1"/>
    </xf>
    <xf numFmtId="0" fontId="175" fillId="113" borderId="106" xfId="40" applyFont="1" applyFill="1" applyAlignment="1">
      <alignment horizontal="center" vertical="center"/>
    </xf>
    <xf numFmtId="0" fontId="136" fillId="125" borderId="145" xfId="40" applyFont="1" applyFill="1" applyBorder="1" applyAlignment="1">
      <alignment horizontal="center" vertical="center" wrapText="1"/>
    </xf>
    <xf numFmtId="0" fontId="138" fillId="125" borderId="156" xfId="40" applyFont="1" applyFill="1" applyBorder="1" applyAlignment="1">
      <alignment horizontal="center" vertical="center" wrapText="1"/>
    </xf>
    <xf numFmtId="0" fontId="138" fillId="125" borderId="127" xfId="40" applyFont="1" applyFill="1" applyBorder="1" applyAlignment="1">
      <alignment horizontal="center" vertical="center" wrapText="1"/>
    </xf>
    <xf numFmtId="0" fontId="138" fillId="139" borderId="12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28" fillId="109" borderId="115" xfId="40" applyFont="1" applyBorder="1"/>
    <xf numFmtId="0" fontId="138" fillId="109" borderId="115" xfId="40" applyFont="1" applyBorder="1"/>
    <xf numFmtId="0" fontId="138" fillId="125" borderId="127" xfId="40" applyFont="1" applyFill="1" applyBorder="1" applyAlignment="1">
      <alignment horizontal="center" vertical="center" wrapText="1"/>
    </xf>
    <xf numFmtId="0" fontId="138" fillId="125" borderId="143" xfId="40" applyFont="1" applyFill="1" applyBorder="1" applyAlignment="1">
      <alignment horizontal="center" vertical="center" wrapText="1"/>
    </xf>
    <xf numFmtId="0" fontId="138" fillId="132" borderId="127" xfId="40" applyFont="1" applyFill="1" applyBorder="1" applyAlignment="1">
      <alignment horizontal="center" vertical="center" wrapText="1"/>
    </xf>
    <xf numFmtId="0" fontId="138" fillId="138" borderId="127" xfId="40" applyFont="1" applyFill="1" applyBorder="1" applyAlignment="1">
      <alignment horizontal="center" vertical="center" wrapText="1"/>
    </xf>
    <xf numFmtId="0" fontId="138" fillId="109" borderId="115" xfId="40" applyFont="1" applyBorder="1" applyAlignment="1">
      <alignment vertical="center" wrapText="1"/>
    </xf>
    <xf numFmtId="0" fontId="154" fillId="109" borderId="115" xfId="40" applyFont="1" applyBorder="1" applyAlignment="1">
      <alignment vertical="center" wrapText="1"/>
    </xf>
    <xf numFmtId="0" fontId="154" fillId="148" borderId="115" xfId="40" applyFont="1" applyFill="1" applyBorder="1" applyAlignment="1">
      <alignment vertical="center" wrapText="1"/>
    </xf>
    <xf numFmtId="0" fontId="154" fillId="109" borderId="115" xfId="40" applyFont="1" applyBorder="1" applyAlignment="1">
      <alignment horizontal="left" vertical="center" wrapText="1"/>
    </xf>
    <xf numFmtId="0" fontId="163" fillId="109" borderId="115" xfId="40" applyFont="1" applyBorder="1" applyAlignment="1">
      <alignment vertical="center" wrapText="1"/>
    </xf>
    <xf numFmtId="0" fontId="138" fillId="125" borderId="127" xfId="40" applyFont="1" applyFill="1" applyBorder="1" applyAlignment="1">
      <alignment horizontal="left" vertical="center" wrapText="1"/>
    </xf>
    <xf numFmtId="0" fontId="138" fillId="132" borderId="144" xfId="40" applyFont="1" applyFill="1" applyBorder="1" applyAlignment="1">
      <alignment horizontal="left" vertical="center" wrapText="1"/>
    </xf>
    <xf numFmtId="0" fontId="138" fillId="138" borderId="115" xfId="40" applyFont="1" applyFill="1" applyBorder="1" applyAlignment="1">
      <alignment horizontal="left" vertical="center" wrapText="1"/>
    </xf>
    <xf numFmtId="0" fontId="138" fillId="138" borderId="156" xfId="40" applyFont="1" applyFill="1" applyBorder="1" applyAlignment="1">
      <alignment horizontal="left" vertical="center" wrapText="1"/>
    </xf>
    <xf numFmtId="0" fontId="154" fillId="125" borderId="127" xfId="40" applyFont="1" applyFill="1" applyBorder="1" applyAlignment="1">
      <alignment horizontal="left" vertical="center" wrapText="1"/>
    </xf>
    <xf numFmtId="0" fontId="176" fillId="125" borderId="156" xfId="40" applyFont="1" applyFill="1" applyBorder="1" applyAlignment="1">
      <alignment horizontal="left" vertical="center" wrapText="1"/>
    </xf>
    <xf numFmtId="0" fontId="136" fillId="114" borderId="107" xfId="40" applyFont="1" applyFill="1" applyBorder="1" applyAlignment="1">
      <alignment vertical="center" wrapText="1"/>
    </xf>
    <xf numFmtId="0" fontId="136" fillId="114" borderId="128" xfId="40" applyFont="1" applyFill="1" applyBorder="1" applyAlignment="1">
      <alignment vertical="center" wrapText="1"/>
    </xf>
    <xf numFmtId="0" fontId="136" fillId="114" borderId="112" xfId="40" applyFont="1" applyFill="1" applyBorder="1" applyAlignment="1">
      <alignment vertical="center" wrapText="1"/>
    </xf>
    <xf numFmtId="0" fontId="136" fillId="114" borderId="106" xfId="40" applyFont="1" applyFill="1" applyAlignment="1">
      <alignment vertical="center" wrapText="1"/>
    </xf>
    <xf numFmtId="0" fontId="136" fillId="114" borderId="149" xfId="40" applyFont="1" applyFill="1" applyBorder="1" applyAlignment="1">
      <alignment vertical="center" wrapText="1"/>
    </xf>
    <xf numFmtId="0" fontId="128" fillId="109" borderId="131" xfId="40" applyFont="1" applyBorder="1"/>
    <xf numFmtId="0" fontId="154" fillId="125" borderId="143" xfId="40" applyFont="1" applyFill="1" applyBorder="1" applyAlignment="1">
      <alignment horizontal="left" vertical="center" wrapText="1"/>
    </xf>
    <xf numFmtId="0" fontId="154" fillId="132" borderId="127" xfId="40" applyFont="1" applyFill="1" applyBorder="1" applyAlignment="1">
      <alignment horizontal="left" vertical="center" wrapText="1"/>
    </xf>
    <xf numFmtId="0" fontId="138" fillId="132" borderId="127" xfId="40" applyFont="1" applyFill="1" applyBorder="1" applyAlignment="1">
      <alignment horizontal="left" vertical="center" wrapText="1"/>
    </xf>
    <xf numFmtId="0" fontId="158" fillId="109" borderId="127" xfId="40" applyFont="1" applyBorder="1" applyAlignment="1">
      <alignment vertical="center" wrapText="1"/>
    </xf>
    <xf numFmtId="0" fontId="157" fillId="109" borderId="158" xfId="40" applyFont="1" applyBorder="1" applyAlignment="1">
      <alignment vertical="center" wrapText="1"/>
    </xf>
    <xf numFmtId="0" fontId="158" fillId="109" borderId="156" xfId="40" applyFont="1" applyBorder="1" applyAlignment="1">
      <alignment vertical="center" wrapText="1"/>
    </xf>
    <xf numFmtId="0" fontId="158" fillId="133" borderId="127" xfId="40" applyFont="1" applyFill="1" applyBorder="1" applyAlignment="1">
      <alignment vertical="center" wrapText="1"/>
    </xf>
    <xf numFmtId="0" fontId="158" fillId="109" borderId="144" xfId="40" applyFont="1" applyBorder="1" applyAlignment="1">
      <alignment vertical="center" wrapText="1"/>
    </xf>
    <xf numFmtId="0" fontId="158" fillId="137" borderId="127" xfId="40" applyFont="1" applyFill="1" applyBorder="1" applyAlignment="1">
      <alignment vertical="center" wrapText="1"/>
    </xf>
    <xf numFmtId="0" fontId="154" fillId="160" borderId="115" xfId="40" applyFont="1" applyFill="1" applyBorder="1" applyAlignment="1">
      <alignment horizontal="left" vertical="center" wrapText="1"/>
    </xf>
    <xf numFmtId="0" fontId="154" fillId="161" borderId="115" xfId="40" applyFont="1" applyFill="1" applyBorder="1" applyAlignment="1">
      <alignment horizontal="left" vertical="center" wrapText="1"/>
    </xf>
    <xf numFmtId="0" fontId="150" fillId="113" borderId="106" xfId="40" applyFont="1" applyFill="1" applyAlignment="1">
      <alignment horizontal="center" vertical="center"/>
    </xf>
    <xf numFmtId="0" fontId="137" fillId="113" borderId="106" xfId="40" applyFont="1" applyFill="1" applyAlignment="1">
      <alignment horizontal="center" vertical="center"/>
    </xf>
    <xf numFmtId="0" fontId="146" fillId="114" borderId="107" xfId="40" applyFont="1" applyFill="1" applyBorder="1" applyAlignment="1">
      <alignment horizontal="left" vertical="center" wrapText="1"/>
    </xf>
    <xf numFmtId="0" fontId="146" fillId="114" borderId="128" xfId="40" applyFont="1" applyFill="1" applyBorder="1" applyAlignment="1">
      <alignment horizontal="left" vertical="center" wrapText="1"/>
    </xf>
    <xf numFmtId="0" fontId="146" fillId="114" borderId="113" xfId="40" applyFont="1" applyFill="1" applyBorder="1" applyAlignment="1">
      <alignment horizontal="left" vertical="center" wrapText="1"/>
    </xf>
    <xf numFmtId="0" fontId="136" fillId="114" borderId="107" xfId="40" applyFont="1" applyFill="1" applyBorder="1" applyAlignment="1">
      <alignment horizontal="left" vertical="center" wrapText="1"/>
    </xf>
    <xf numFmtId="0" fontId="136" fillId="114" borderId="128" xfId="40" applyFont="1" applyFill="1" applyBorder="1" applyAlignment="1">
      <alignment horizontal="left" vertical="center" wrapText="1"/>
    </xf>
    <xf numFmtId="0" fontId="136" fillId="114" borderId="112" xfId="40" applyFont="1" applyFill="1" applyBorder="1" applyAlignment="1">
      <alignment horizontal="left" vertical="center" wrapText="1"/>
    </xf>
    <xf numFmtId="0" fontId="134" fillId="114" borderId="108" xfId="40" applyFont="1" applyFill="1" applyBorder="1" applyAlignment="1">
      <alignment horizontal="right" vertical="center" wrapText="1"/>
    </xf>
    <xf numFmtId="0" fontId="134" fillId="114" borderId="109" xfId="40" applyFont="1" applyFill="1" applyBorder="1" applyAlignment="1">
      <alignment horizontal="right" vertical="center" wrapText="1"/>
    </xf>
    <xf numFmtId="0" fontId="134" fillId="114" borderId="110" xfId="40" applyFont="1" applyFill="1" applyBorder="1" applyAlignment="1">
      <alignment horizontal="right" vertical="center" wrapText="1"/>
    </xf>
    <xf numFmtId="0" fontId="134" fillId="114" borderId="111" xfId="40" applyFont="1" applyFill="1" applyBorder="1" applyAlignment="1">
      <alignment horizontal="right" vertical="center" wrapText="1"/>
    </xf>
    <xf numFmtId="0" fontId="153" fillId="114" borderId="108" xfId="40" applyFont="1" applyFill="1" applyBorder="1" applyAlignment="1">
      <alignment horizontal="center" vertical="center" wrapText="1"/>
    </xf>
    <xf numFmtId="0" fontId="153" fillId="114" borderId="109" xfId="40" applyFont="1" applyFill="1" applyBorder="1" applyAlignment="1">
      <alignment horizontal="center" vertical="center" wrapText="1"/>
    </xf>
    <xf numFmtId="0" fontId="153" fillId="154" borderId="108" xfId="40" applyFont="1" applyFill="1" applyBorder="1" applyAlignment="1">
      <alignment horizontal="center" vertical="center" wrapText="1"/>
    </xf>
    <xf numFmtId="0" fontId="153" fillId="154" borderId="109" xfId="40" applyFont="1" applyFill="1" applyBorder="1" applyAlignment="1">
      <alignment horizontal="center" vertical="center" wrapText="1"/>
    </xf>
    <xf numFmtId="0" fontId="153" fillId="126" borderId="108" xfId="40" applyFont="1" applyFill="1" applyBorder="1" applyAlignment="1">
      <alignment horizontal="center" vertical="center" wrapText="1"/>
    </xf>
    <xf numFmtId="0" fontId="153" fillId="126" borderId="109" xfId="40" applyFont="1" applyFill="1" applyBorder="1" applyAlignment="1">
      <alignment horizontal="center" vertical="center" wrapText="1"/>
    </xf>
    <xf numFmtId="0" fontId="122" fillId="114" borderId="152" xfId="40" applyFont="1" applyFill="1" applyBorder="1" applyAlignment="1">
      <alignment horizontal="center" vertical="center" wrapText="1"/>
    </xf>
    <xf numFmtId="0" fontId="122" fillId="114" borderId="106" xfId="40" applyFont="1" applyFill="1" applyAlignment="1">
      <alignment horizontal="center" vertical="center" wrapText="1"/>
    </xf>
    <xf numFmtId="0" fontId="136" fillId="125" borderId="156" xfId="40" applyFont="1" applyFill="1" applyBorder="1" applyAlignment="1">
      <alignment horizontal="center" vertical="center" wrapText="1"/>
    </xf>
    <xf numFmtId="0" fontId="136" fillId="125" borderId="137" xfId="40" applyFont="1" applyFill="1" applyBorder="1" applyAlignment="1">
      <alignment horizontal="center" vertical="center" wrapText="1"/>
    </xf>
    <xf numFmtId="0" fontId="136" fillId="114" borderId="106" xfId="40" applyFont="1" applyFill="1" applyAlignment="1">
      <alignment horizontal="left" vertical="center" wrapText="1"/>
    </xf>
    <xf numFmtId="0" fontId="136" fillId="114" borderId="149" xfId="40" applyFont="1" applyFill="1" applyBorder="1" applyAlignment="1">
      <alignment horizontal="left" vertical="center" wrapText="1"/>
    </xf>
    <xf numFmtId="0" fontId="122" fillId="114" borderId="132" xfId="40" applyFont="1" applyFill="1" applyBorder="1" applyAlignment="1">
      <alignment horizontal="center" vertical="center" wrapText="1"/>
    </xf>
    <xf numFmtId="0" fontId="122" fillId="114" borderId="133" xfId="40" applyFont="1" applyFill="1" applyBorder="1" applyAlignment="1">
      <alignment horizontal="center" vertical="center" wrapText="1"/>
    </xf>
    <xf numFmtId="0" fontId="122" fillId="114" borderId="139" xfId="40" applyFont="1" applyFill="1" applyBorder="1" applyAlignment="1">
      <alignment horizontal="center" vertical="center" wrapText="1"/>
    </xf>
    <xf numFmtId="0" fontId="122" fillId="114" borderId="15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36" fillId="114" borderId="136" xfId="40" applyFont="1" applyFill="1" applyBorder="1" applyAlignment="1">
      <alignment horizontal="left" vertical="center" wrapText="1"/>
    </xf>
    <xf numFmtId="0" fontId="136" fillId="114" borderId="137" xfId="40" applyFont="1" applyFill="1" applyBorder="1" applyAlignment="1">
      <alignment horizontal="left" vertical="center" wrapText="1"/>
    </xf>
    <xf numFmtId="0" fontId="136" fillId="114" borderId="142" xfId="40" applyFont="1" applyFill="1" applyBorder="1" applyAlignment="1">
      <alignment horizontal="left" vertical="center" wrapText="1"/>
    </xf>
    <xf numFmtId="0" fontId="122" fillId="114" borderId="134" xfId="40" applyFont="1" applyFill="1" applyBorder="1" applyAlignment="1">
      <alignment horizontal="center" vertical="center" wrapText="1"/>
    </xf>
    <xf numFmtId="0" fontId="130" fillId="113" borderId="106" xfId="40" applyFont="1" applyFill="1" applyAlignment="1">
      <alignment horizontal="center"/>
    </xf>
    <xf numFmtId="0" fontId="129" fillId="113" borderId="106" xfId="40" applyFont="1" applyFill="1" applyAlignment="1">
      <alignment horizontal="center" vertical="center"/>
    </xf>
    <xf numFmtId="0" fontId="129" fillId="113" borderId="112" xfId="40" applyFont="1" applyFill="1" applyBorder="1" applyAlignment="1">
      <alignment horizontal="center"/>
    </xf>
    <xf numFmtId="0" fontId="140" fillId="114" borderId="132" xfId="40" applyFont="1" applyFill="1" applyBorder="1" applyAlignment="1">
      <alignment horizontal="left" vertical="center" wrapText="1"/>
    </xf>
    <xf numFmtId="0" fontId="140" fillId="114" borderId="133" xfId="40" applyFont="1" applyFill="1" applyBorder="1" applyAlignment="1">
      <alignment horizontal="left" vertical="center" wrapText="1"/>
    </xf>
    <xf numFmtId="0" fontId="140" fillId="114" borderId="157" xfId="40" applyFont="1" applyFill="1" applyBorder="1" applyAlignment="1">
      <alignment horizontal="left" vertical="center" wrapText="1"/>
    </xf>
    <xf numFmtId="0" fontId="127" fillId="140" borderId="114" xfId="40" applyFont="1" applyFill="1" applyBorder="1" applyAlignment="1">
      <alignment horizontal="center" vertical="center" wrapText="1"/>
    </xf>
    <xf numFmtId="0" fontId="127" fillId="140" borderId="117" xfId="40" applyFont="1" applyFill="1" applyBorder="1" applyAlignment="1">
      <alignment horizontal="center" vertical="center" wrapText="1"/>
    </xf>
    <xf numFmtId="0" fontId="145" fillId="114" borderId="146" xfId="40" applyFont="1" applyFill="1" applyBorder="1" applyAlignment="1">
      <alignment horizontal="center" vertical="center" wrapText="1"/>
    </xf>
    <xf numFmtId="0" fontId="141" fillId="114" borderId="147" xfId="40" applyFont="1" applyFill="1" applyBorder="1" applyAlignment="1">
      <alignment horizontal="center" vertical="center" wrapText="1"/>
    </xf>
    <xf numFmtId="0" fontId="141" fillId="114" borderId="148" xfId="40" applyFont="1" applyFill="1" applyBorder="1" applyAlignment="1">
      <alignment horizontal="center" vertical="center" wrapText="1"/>
    </xf>
    <xf numFmtId="0" fontId="141" fillId="114" borderId="149" xfId="40" applyFont="1" applyFill="1" applyBorder="1" applyAlignment="1">
      <alignment horizontal="center" vertical="center" wrapText="1"/>
    </xf>
    <xf numFmtId="0" fontId="122" fillId="114" borderId="108" xfId="40" applyFont="1" applyFill="1" applyBorder="1" applyAlignment="1">
      <alignment horizontal="center" vertical="center" wrapText="1"/>
    </xf>
    <xf numFmtId="0" fontId="122" fillId="114" borderId="109" xfId="40" applyFont="1" applyFill="1" applyBorder="1" applyAlignment="1">
      <alignment horizontal="center" vertical="center" wrapText="1"/>
    </xf>
    <xf numFmtId="0" fontId="122" fillId="154" borderId="108" xfId="40" applyFont="1" applyFill="1" applyBorder="1" applyAlignment="1">
      <alignment horizontal="center" vertical="center" wrapText="1"/>
    </xf>
    <xf numFmtId="0" fontId="122" fillId="154" borderId="109" xfId="40" applyFont="1" applyFill="1" applyBorder="1" applyAlignment="1">
      <alignment horizontal="center" vertical="center" wrapText="1"/>
    </xf>
    <xf numFmtId="0" fontId="122" fillId="126" borderId="108" xfId="40" applyFont="1" applyFill="1" applyBorder="1" applyAlignment="1">
      <alignment horizontal="center" vertical="center" wrapText="1"/>
    </xf>
    <xf numFmtId="0" fontId="122" fillId="126" borderId="109" xfId="40" applyFont="1" applyFill="1" applyBorder="1" applyAlignment="1">
      <alignment horizontal="center" vertical="center" wrapText="1"/>
    </xf>
    <xf numFmtId="0" fontId="127" fillId="125" borderId="108" xfId="40" applyFont="1" applyFill="1" applyBorder="1" applyAlignment="1">
      <alignment horizontal="center" vertical="center" wrapText="1"/>
    </xf>
    <xf numFmtId="0" fontId="127" fillId="125" borderId="116" xfId="40" applyFont="1" applyFill="1" applyBorder="1" applyAlignment="1">
      <alignment horizontal="center" vertical="center" wrapText="1"/>
    </xf>
    <xf numFmtId="0" fontId="127" fillId="125" borderId="143" xfId="40" applyFont="1" applyFill="1" applyBorder="1" applyAlignment="1">
      <alignment horizontal="center" vertical="center" wrapText="1"/>
    </xf>
    <xf numFmtId="0" fontId="140" fillId="114" borderId="134" xfId="40" applyFont="1" applyFill="1" applyBorder="1" applyAlignment="1">
      <alignment horizontal="left" vertical="center" wrapText="1"/>
    </xf>
    <xf numFmtId="0" fontId="140" fillId="114" borderId="115" xfId="40" applyFont="1" applyFill="1" applyBorder="1" applyAlignment="1">
      <alignment horizontal="left" vertical="center" wrapText="1"/>
    </xf>
    <xf numFmtId="0" fontId="140" fillId="114" borderId="107" xfId="40" applyFont="1" applyFill="1" applyBorder="1" applyAlignment="1">
      <alignment horizontal="left" vertical="center" wrapText="1"/>
    </xf>
    <xf numFmtId="0" fontId="140" fillId="114" borderId="128" xfId="40" applyFont="1" applyFill="1" applyBorder="1" applyAlignment="1">
      <alignment horizontal="left" vertical="center" wrapText="1"/>
    </xf>
    <xf numFmtId="0" fontId="140" fillId="114" borderId="113" xfId="40" applyFont="1" applyFill="1" applyBorder="1" applyAlignment="1">
      <alignment horizontal="left" vertical="center" wrapText="1"/>
    </xf>
    <xf numFmtId="0" fontId="173" fillId="113" borderId="106" xfId="40" applyFont="1" applyFill="1" applyAlignment="1">
      <alignment horizontal="center" vertical="center"/>
    </xf>
    <xf numFmtId="0" fontId="145" fillId="114" borderId="146" xfId="40" applyFont="1" applyFill="1" applyBorder="1" applyAlignment="1">
      <alignment horizontal="center" vertical="center" wrapText="1"/>
    </xf>
    <xf numFmtId="0" fontId="145" fillId="114" borderId="154" xfId="40" applyFont="1" applyFill="1" applyBorder="1" applyAlignment="1">
      <alignment horizontal="center" vertical="center" wrapText="1"/>
    </xf>
    <xf numFmtId="0" fontId="127" fillId="114" borderId="114" xfId="40" applyFont="1" applyFill="1" applyBorder="1" applyAlignment="1">
      <alignment horizontal="center" vertical="center"/>
    </xf>
    <xf numFmtId="0" fontId="127" fillId="114" borderId="115" xfId="40" applyFont="1" applyFill="1" applyBorder="1" applyAlignment="1">
      <alignment horizontal="center" vertical="center"/>
    </xf>
    <xf numFmtId="0" fontId="149" fillId="144" borderId="106" xfId="40" applyFont="1" applyFill="1" applyAlignment="1">
      <alignment horizontal="left" vertical="center"/>
    </xf>
    <xf numFmtId="0" fontId="149" fillId="145" borderId="106" xfId="40" applyFont="1" applyFill="1" applyAlignment="1">
      <alignment horizontal="left" vertical="center"/>
    </xf>
    <xf numFmtId="0" fontId="149" fillId="142" borderId="106" xfId="40" applyFont="1" applyFill="1" applyAlignment="1">
      <alignment horizontal="left" vertical="center"/>
    </xf>
    <xf numFmtId="0" fontId="149" fillId="143" borderId="106" xfId="40" applyFont="1" applyFill="1" applyAlignment="1">
      <alignment horizontal="left" vertical="center"/>
    </xf>
    <xf numFmtId="0" fontId="149" fillId="118" borderId="106" xfId="40" applyFont="1" applyFill="1" applyAlignment="1">
      <alignment horizontal="left" vertical="center"/>
    </xf>
    <xf numFmtId="0" fontId="177" fillId="162" borderId="159" xfId="60"/>
    <xf numFmtId="0" fontId="177" fillId="166" borderId="159" xfId="60" applyFill="1"/>
    <xf numFmtId="0" fontId="186" fillId="166" borderId="159" xfId="60" applyFont="1" applyFill="1"/>
    <xf numFmtId="0" fontId="186" fillId="162" borderId="175" xfId="60" applyFont="1" applyBorder="1" applyAlignment="1">
      <alignment horizontal="center" vertical="center"/>
    </xf>
    <xf numFmtId="0" fontId="177" fillId="169" borderId="161" xfId="60" applyFill="1" applyBorder="1"/>
    <xf numFmtId="0" fontId="177" fillId="170" borderId="169" xfId="60" applyFill="1" applyBorder="1"/>
    <xf numFmtId="0" fontId="188" fillId="171" borderId="162" xfId="60" applyFont="1" applyFill="1" applyBorder="1" applyAlignment="1">
      <alignment horizontal="center" vertical="center" wrapText="1"/>
    </xf>
    <xf numFmtId="0" fontId="177" fillId="166" borderId="159" xfId="60" applyFill="1" applyAlignment="1">
      <alignment horizontal="left" vertical="center"/>
    </xf>
    <xf numFmtId="0" fontId="188" fillId="169" borderId="168" xfId="60" applyFont="1" applyFill="1" applyBorder="1" applyAlignment="1">
      <alignment horizontal="center" vertical="center" wrapText="1"/>
    </xf>
    <xf numFmtId="0" fontId="188" fillId="171" borderId="168" xfId="60" applyFont="1" applyFill="1" applyBorder="1" applyAlignment="1">
      <alignment horizontal="center" vertical="center" wrapText="1"/>
    </xf>
    <xf numFmtId="0" fontId="186" fillId="162" borderId="176" xfId="60" applyFont="1" applyBorder="1" applyAlignment="1">
      <alignment horizontal="center" vertical="center"/>
    </xf>
    <xf numFmtId="0" fontId="177" fillId="170" borderId="168" xfId="60" applyFill="1" applyBorder="1"/>
    <xf numFmtId="0" fontId="177" fillId="172" borderId="168" xfId="60" applyFill="1" applyBorder="1"/>
    <xf numFmtId="0" fontId="177" fillId="173" borderId="170" xfId="60" applyFill="1" applyBorder="1"/>
    <xf numFmtId="0" fontId="188" fillId="170" borderId="168" xfId="60" applyFont="1" applyFill="1" applyBorder="1" applyAlignment="1">
      <alignment horizontal="center" vertical="center" wrapText="1"/>
    </xf>
    <xf numFmtId="0" fontId="188" fillId="173" borderId="168" xfId="60" applyFont="1" applyFill="1" applyBorder="1" applyAlignment="1">
      <alignment horizontal="center" vertical="center" wrapText="1"/>
    </xf>
    <xf numFmtId="0" fontId="177" fillId="173" borderId="168" xfId="60" applyFill="1" applyBorder="1"/>
    <xf numFmtId="0" fontId="188" fillId="172" borderId="168" xfId="60" applyFont="1" applyFill="1" applyBorder="1" applyAlignment="1">
      <alignment horizontal="center" vertical="center" wrapText="1"/>
    </xf>
    <xf numFmtId="0" fontId="188" fillId="174" borderId="168" xfId="60" applyFont="1" applyFill="1" applyBorder="1" applyAlignment="1">
      <alignment horizontal="center" vertical="center" wrapText="1"/>
    </xf>
    <xf numFmtId="0" fontId="186" fillId="162" borderId="177" xfId="60" applyFont="1" applyBorder="1" applyAlignment="1">
      <alignment horizontal="center" vertical="center"/>
    </xf>
    <xf numFmtId="0" fontId="188" fillId="174" borderId="163" xfId="60" applyFont="1" applyFill="1" applyBorder="1" applyAlignment="1">
      <alignment horizontal="center" vertical="center" wrapText="1"/>
    </xf>
    <xf numFmtId="0" fontId="188" fillId="174" borderId="171" xfId="60" applyFont="1" applyFill="1" applyBorder="1" applyAlignment="1">
      <alignment horizontal="center" vertical="center" wrapText="1"/>
    </xf>
    <xf numFmtId="0" fontId="188" fillId="174" borderId="164" xfId="60" applyFont="1" applyFill="1" applyBorder="1" applyAlignment="1">
      <alignment horizontal="center" vertical="center" wrapText="1"/>
    </xf>
    <xf numFmtId="0" fontId="186" fillId="162" borderId="159" xfId="60" applyFont="1"/>
    <xf numFmtId="0" fontId="186" fillId="162" borderId="178" xfId="60" applyFont="1" applyBorder="1" applyAlignment="1">
      <alignment horizontal="center" vertical="center"/>
    </xf>
    <xf numFmtId="0" fontId="186" fillId="162" borderId="179" xfId="60" applyFont="1" applyBorder="1" applyAlignment="1">
      <alignment horizontal="center" vertical="center"/>
    </xf>
    <xf numFmtId="0" fontId="177" fillId="175" borderId="169" xfId="60" applyFill="1" applyBorder="1"/>
    <xf numFmtId="0" fontId="189" fillId="175" borderId="168" xfId="60" applyFont="1" applyFill="1" applyBorder="1" applyAlignment="1">
      <alignment horizontal="center" vertical="center" wrapText="1"/>
    </xf>
    <xf numFmtId="0" fontId="177" fillId="175" borderId="167" xfId="60" applyFill="1" applyBorder="1"/>
    <xf numFmtId="0" fontId="177" fillId="172" borderId="167" xfId="60" applyFill="1" applyBorder="1"/>
    <xf numFmtId="0" fontId="177" fillId="171" borderId="168" xfId="60" applyFill="1" applyBorder="1"/>
    <xf numFmtId="0" fontId="179" fillId="166" borderId="159" xfId="60" applyFont="1" applyFill="1" applyAlignment="1">
      <alignment horizontal="left" vertical="center"/>
    </xf>
    <xf numFmtId="0" fontId="179" fillId="166" borderId="159" xfId="60" applyFont="1" applyFill="1" applyAlignment="1">
      <alignment horizontal="left" vertical="center" wrapText="1"/>
    </xf>
    <xf numFmtId="0" fontId="179" fillId="166" borderId="161" xfId="60" applyFont="1" applyFill="1" applyBorder="1" applyAlignment="1">
      <alignment horizontal="left" vertical="center" wrapText="1"/>
    </xf>
    <xf numFmtId="0" fontId="191" fillId="166" borderId="162" xfId="60" applyFont="1" applyFill="1" applyBorder="1" applyAlignment="1">
      <alignment horizontal="left" vertical="center" wrapText="1"/>
    </xf>
    <xf numFmtId="0" fontId="179" fillId="166" borderId="172" xfId="60" applyFont="1" applyFill="1" applyBorder="1" applyAlignment="1">
      <alignment horizontal="left" vertical="center" wrapText="1"/>
    </xf>
    <xf numFmtId="0" fontId="191" fillId="166" borderId="174" xfId="60" applyFont="1" applyFill="1" applyBorder="1" applyAlignment="1">
      <alignment horizontal="left" vertical="center" wrapText="1"/>
    </xf>
    <xf numFmtId="0" fontId="179" fillId="166" borderId="167" xfId="60" applyFont="1" applyFill="1" applyBorder="1" applyAlignment="1">
      <alignment horizontal="left" vertical="center" wrapText="1"/>
    </xf>
    <xf numFmtId="0" fontId="191" fillId="166" borderId="170" xfId="60" applyFont="1" applyFill="1" applyBorder="1" applyAlignment="1">
      <alignment horizontal="left" vertical="center" wrapText="1"/>
    </xf>
    <xf numFmtId="0" fontId="179" fillId="166" borderId="193" xfId="60" applyFont="1" applyFill="1" applyBorder="1" applyAlignment="1">
      <alignment horizontal="left" vertical="center" wrapText="1"/>
    </xf>
    <xf numFmtId="0" fontId="191" fillId="166" borderId="194" xfId="60" applyFont="1" applyFill="1" applyBorder="1" applyAlignment="1">
      <alignment horizontal="left" vertical="center" wrapText="1"/>
    </xf>
    <xf numFmtId="0" fontId="179" fillId="166" borderId="163" xfId="60" applyFont="1" applyFill="1" applyBorder="1" applyAlignment="1">
      <alignment horizontal="left" vertical="center" wrapText="1"/>
    </xf>
    <xf numFmtId="0" fontId="191" fillId="166" borderId="164" xfId="60" applyFont="1" applyFill="1" applyBorder="1" applyAlignment="1">
      <alignment horizontal="left" vertical="center" wrapText="1"/>
    </xf>
    <xf numFmtId="164" fontId="191" fillId="166" borderId="164" xfId="60" applyNumberFormat="1" applyFont="1" applyFill="1" applyBorder="1" applyAlignment="1">
      <alignment horizontal="left" vertical="center" wrapText="1"/>
    </xf>
    <xf numFmtId="0" fontId="199" fillId="162" borderId="168" xfId="60" applyFont="1" applyBorder="1" applyAlignment="1">
      <alignment horizontal="center" vertical="center"/>
    </xf>
    <xf numFmtId="0" fontId="200" fillId="174" borderId="168" xfId="60" applyFont="1" applyFill="1" applyBorder="1" applyAlignment="1">
      <alignment horizontal="center" vertical="center" wrapText="1"/>
    </xf>
    <xf numFmtId="0" fontId="182" fillId="166" borderId="159" xfId="60" applyFont="1" applyFill="1"/>
    <xf numFmtId="0" fontId="182" fillId="166" borderId="159" xfId="60" applyFont="1" applyFill="1" applyAlignment="1">
      <alignment horizontal="center" vertical="center" wrapText="1"/>
    </xf>
    <xf numFmtId="0" fontId="182" fillId="166" borderId="159" xfId="60" applyFont="1" applyFill="1" applyAlignment="1">
      <alignment horizontal="left" vertical="top" wrapText="1"/>
    </xf>
    <xf numFmtId="0" fontId="182" fillId="166" borderId="159" xfId="60" applyFont="1" applyFill="1" applyAlignment="1">
      <alignment horizontal="justify"/>
    </xf>
    <xf numFmtId="0" fontId="182" fillId="166" borderId="159" xfId="60" applyFont="1" applyFill="1" applyAlignment="1">
      <alignment horizontal="center" vertical="center"/>
    </xf>
    <xf numFmtId="0" fontId="182" fillId="162" borderId="159" xfId="60" applyFont="1"/>
    <xf numFmtId="0" fontId="183" fillId="166" borderId="159" xfId="60" applyFont="1" applyFill="1" applyAlignment="1">
      <alignment vertical="center"/>
    </xf>
    <xf numFmtId="0" fontId="183" fillId="162" borderId="159" xfId="60" applyFont="1" applyAlignment="1">
      <alignment vertical="center"/>
    </xf>
    <xf numFmtId="0" fontId="182" fillId="162" borderId="159" xfId="60" applyFont="1" applyAlignment="1">
      <alignment horizontal="center" vertical="center" wrapText="1"/>
    </xf>
    <xf numFmtId="0" fontId="182" fillId="162" borderId="159" xfId="60" applyFont="1" applyAlignment="1">
      <alignment horizontal="left" vertical="top" wrapText="1"/>
    </xf>
    <xf numFmtId="0" fontId="182" fillId="162" borderId="159" xfId="60" applyFont="1" applyAlignment="1">
      <alignment horizontal="justify"/>
    </xf>
    <xf numFmtId="0" fontId="182" fillId="162" borderId="159" xfId="60" applyFont="1" applyAlignment="1">
      <alignment horizontal="center" vertical="center"/>
    </xf>
    <xf numFmtId="0" fontId="191" fillId="166" borderId="159" xfId="60" applyFont="1" applyFill="1" applyAlignment="1">
      <alignment horizontal="left" vertical="center" wrapText="1"/>
    </xf>
    <xf numFmtId="0" fontId="185" fillId="166" borderId="159" xfId="60" applyFont="1" applyFill="1" applyAlignment="1">
      <alignment horizontal="left" vertical="center"/>
    </xf>
    <xf numFmtId="0" fontId="185" fillId="162" borderId="159" xfId="60" applyFont="1"/>
    <xf numFmtId="0" fontId="204" fillId="162" borderId="159" xfId="60" applyFont="1"/>
    <xf numFmtId="0" fontId="204" fillId="166" borderId="159" xfId="60" applyFont="1" applyFill="1"/>
    <xf numFmtId="0" fontId="200" fillId="174" borderId="182" xfId="60" applyFont="1" applyFill="1" applyBorder="1" applyAlignment="1">
      <alignment horizontal="center" vertical="center" wrapText="1"/>
    </xf>
    <xf numFmtId="0" fontId="199" fillId="162" borderId="182" xfId="60" applyFont="1" applyBorder="1" applyAlignment="1">
      <alignment horizontal="center" vertical="center"/>
    </xf>
    <xf numFmtId="0" fontId="200" fillId="174" borderId="204" xfId="60" applyFont="1" applyFill="1" applyBorder="1" applyAlignment="1">
      <alignment horizontal="center" vertical="center" wrapText="1"/>
    </xf>
    <xf numFmtId="0" fontId="199" fillId="162" borderId="204" xfId="60" applyFont="1" applyBorder="1" applyAlignment="1">
      <alignment horizontal="center" vertical="center"/>
    </xf>
    <xf numFmtId="0" fontId="188" fillId="174" borderId="169" xfId="60" applyFont="1" applyFill="1" applyBorder="1" applyAlignment="1">
      <alignment horizontal="center" vertical="center" wrapText="1"/>
    </xf>
    <xf numFmtId="0" fontId="188" fillId="174" borderId="206" xfId="60" applyFont="1" applyFill="1" applyBorder="1" applyAlignment="1">
      <alignment horizontal="center" vertical="center" wrapText="1"/>
    </xf>
    <xf numFmtId="0" fontId="188" fillId="174" borderId="188" xfId="60" applyFont="1" applyFill="1" applyBorder="1" applyAlignment="1">
      <alignment horizontal="center" vertical="center" wrapText="1"/>
    </xf>
    <xf numFmtId="0" fontId="190" fillId="162" borderId="167" xfId="60" applyFont="1" applyBorder="1" applyAlignment="1">
      <alignment vertical="top" wrapText="1"/>
    </xf>
    <xf numFmtId="0" fontId="199" fillId="162" borderId="170" xfId="60" applyFont="1" applyBorder="1" applyAlignment="1">
      <alignment horizontal="center" vertical="center"/>
    </xf>
    <xf numFmtId="0" fontId="190" fillId="162" borderId="183" xfId="60" applyFont="1" applyBorder="1" applyAlignment="1">
      <alignment vertical="top" wrapText="1"/>
    </xf>
    <xf numFmtId="0" fontId="177" fillId="195" borderId="205" xfId="60" applyFill="1" applyBorder="1" applyAlignment="1">
      <alignment horizontal="center"/>
    </xf>
    <xf numFmtId="0" fontId="177" fillId="199" borderId="205" xfId="60" applyFill="1" applyBorder="1" applyAlignment="1">
      <alignment horizontal="center"/>
    </xf>
    <xf numFmtId="0" fontId="177" fillId="200" borderId="205" xfId="60" applyFill="1" applyBorder="1" applyAlignment="1">
      <alignment horizontal="center"/>
    </xf>
    <xf numFmtId="0" fontId="177" fillId="197" borderId="205" xfId="60" applyFill="1" applyBorder="1" applyAlignment="1">
      <alignment horizontal="center"/>
    </xf>
    <xf numFmtId="0" fontId="177" fillId="173" borderId="205" xfId="60" applyFill="1" applyBorder="1" applyAlignment="1">
      <alignment horizontal="center"/>
    </xf>
    <xf numFmtId="0" fontId="208" fillId="162" borderId="159" xfId="60" applyFont="1" applyAlignment="1"/>
    <xf numFmtId="0" fontId="210" fillId="168" borderId="161" xfId="60" applyFont="1" applyFill="1" applyBorder="1" applyAlignment="1">
      <alignment horizontal="center" vertical="center" wrapText="1"/>
    </xf>
    <xf numFmtId="0" fontId="210" fillId="168" borderId="203" xfId="60" applyFont="1" applyFill="1" applyBorder="1" applyAlignment="1">
      <alignment vertical="center" wrapText="1"/>
    </xf>
    <xf numFmtId="0" fontId="193" fillId="179" borderId="163" xfId="60" applyFont="1" applyFill="1" applyBorder="1" applyAlignment="1">
      <alignment horizontal="center" vertical="center" wrapText="1"/>
    </xf>
    <xf numFmtId="0" fontId="193" fillId="179" borderId="164" xfId="60" applyFont="1" applyFill="1" applyBorder="1" applyAlignment="1">
      <alignment horizontal="center" vertical="center" wrapText="1"/>
    </xf>
    <xf numFmtId="0" fontId="193" fillId="168" borderId="163" xfId="60" applyFont="1" applyFill="1" applyBorder="1" applyAlignment="1">
      <alignment horizontal="center" vertical="center" wrapText="1"/>
    </xf>
    <xf numFmtId="0" fontId="211" fillId="162" borderId="171" xfId="60" applyFont="1" applyBorder="1" applyAlignment="1"/>
    <xf numFmtId="0" fontId="211" fillId="166" borderId="171" xfId="60" applyFont="1" applyFill="1" applyBorder="1" applyAlignment="1"/>
    <xf numFmtId="0" fontId="193" fillId="178" borderId="171" xfId="60" applyFont="1" applyFill="1" applyBorder="1" applyAlignment="1">
      <alignment horizontal="center" vertical="center" wrapText="1"/>
    </xf>
    <xf numFmtId="0" fontId="193" fillId="178" borderId="164" xfId="60" applyFont="1" applyFill="1" applyBorder="1" applyAlignment="1">
      <alignment horizontal="center" vertical="center" wrapText="1"/>
    </xf>
    <xf numFmtId="0" fontId="211" fillId="162" borderId="168" xfId="60" applyFont="1" applyBorder="1"/>
    <xf numFmtId="0" fontId="211" fillId="162" borderId="168" xfId="60" applyFont="1" applyBorder="1" applyAlignment="1">
      <alignment wrapText="1"/>
    </xf>
    <xf numFmtId="0" fontId="211" fillId="162" borderId="168" xfId="60" applyFont="1" applyBorder="1" applyAlignment="1">
      <alignment wrapText="1"/>
    </xf>
    <xf numFmtId="0" fontId="211" fillId="166" borderId="168" xfId="60" applyFont="1" applyFill="1" applyBorder="1"/>
    <xf numFmtId="0" fontId="211" fillId="190" borderId="168" xfId="60" applyFont="1" applyFill="1" applyBorder="1"/>
    <xf numFmtId="0" fontId="211" fillId="190" borderId="168" xfId="60" applyFont="1" applyFill="1" applyBorder="1" applyAlignment="1">
      <alignment wrapText="1"/>
    </xf>
    <xf numFmtId="0" fontId="211" fillId="190" borderId="168" xfId="60" applyFont="1" applyFill="1" applyBorder="1" applyAlignment="1">
      <alignment wrapText="1"/>
    </xf>
    <xf numFmtId="0" fontId="211" fillId="186" borderId="168" xfId="60" applyFont="1" applyFill="1" applyBorder="1"/>
    <xf numFmtId="0" fontId="211" fillId="184" borderId="168" xfId="60" applyFont="1" applyFill="1" applyBorder="1"/>
    <xf numFmtId="0" fontId="211" fillId="184" borderId="168" xfId="60" applyFont="1" applyFill="1" applyBorder="1" applyAlignment="1">
      <alignment wrapText="1"/>
    </xf>
    <xf numFmtId="0" fontId="211" fillId="184" borderId="168" xfId="60" applyFont="1" applyFill="1" applyBorder="1" applyAlignment="1">
      <alignment wrapText="1"/>
    </xf>
    <xf numFmtId="0" fontId="211" fillId="183" borderId="168" xfId="60" applyFont="1" applyFill="1" applyBorder="1"/>
    <xf numFmtId="0" fontId="212" fillId="168" borderId="163" xfId="60" applyFont="1" applyFill="1" applyBorder="1" applyAlignment="1">
      <alignment horizontal="center" vertical="center" wrapText="1"/>
    </xf>
    <xf numFmtId="0" fontId="213" fillId="162" borderId="171" xfId="60" applyFont="1" applyBorder="1" applyAlignment="1"/>
    <xf numFmtId="0" fontId="213" fillId="166" borderId="171" xfId="60" applyFont="1" applyFill="1" applyBorder="1" applyAlignment="1"/>
    <xf numFmtId="0" fontId="212" fillId="178" borderId="171" xfId="60" applyFont="1" applyFill="1" applyBorder="1" applyAlignment="1">
      <alignment horizontal="center" vertical="center" wrapText="1"/>
    </xf>
    <xf numFmtId="0" fontId="211" fillId="203" borderId="168" xfId="60" applyFont="1" applyFill="1" applyBorder="1"/>
    <xf numFmtId="0" fontId="211" fillId="203" borderId="168" xfId="60" applyFont="1" applyFill="1" applyBorder="1" applyAlignment="1">
      <alignment wrapText="1"/>
    </xf>
    <xf numFmtId="0" fontId="211" fillId="203" borderId="168" xfId="60" applyFont="1" applyFill="1" applyBorder="1" applyAlignment="1">
      <alignment wrapText="1"/>
    </xf>
    <xf numFmtId="0" fontId="211" fillId="204" borderId="168" xfId="60" applyFont="1" applyFill="1" applyBorder="1"/>
    <xf numFmtId="0" fontId="211" fillId="204" borderId="168" xfId="60" applyFont="1" applyFill="1" applyBorder="1" applyAlignment="1">
      <alignment wrapText="1"/>
    </xf>
    <xf numFmtId="0" fontId="211" fillId="204" borderId="168" xfId="60" applyFont="1" applyFill="1" applyBorder="1" applyAlignment="1">
      <alignment wrapText="1"/>
    </xf>
    <xf numFmtId="0" fontId="211" fillId="166" borderId="168" xfId="60" applyFont="1" applyFill="1" applyBorder="1" applyAlignment="1">
      <alignment horizontal="center" vertical="center" wrapText="1"/>
    </xf>
    <xf numFmtId="0" fontId="179" fillId="168" borderId="175" xfId="60" applyFont="1" applyFill="1" applyBorder="1" applyAlignment="1">
      <alignment horizontal="center" vertical="center" wrapText="1"/>
    </xf>
    <xf numFmtId="0" fontId="179" fillId="168" borderId="203" xfId="60" applyFont="1" applyFill="1" applyBorder="1" applyAlignment="1">
      <alignment horizontal="center" vertical="center" wrapText="1"/>
    </xf>
    <xf numFmtId="0" fontId="183" fillId="166" borderId="159" xfId="60" applyFont="1" applyFill="1" applyAlignment="1">
      <alignment horizontal="center" vertical="center"/>
    </xf>
    <xf numFmtId="0" fontId="183" fillId="162" borderId="159" xfId="60" applyFont="1" applyAlignment="1">
      <alignment horizontal="center" vertical="center"/>
    </xf>
    <xf numFmtId="0" fontId="196" fillId="166" borderId="159" xfId="60" applyFont="1" applyFill="1" applyAlignment="1">
      <alignment horizontal="center" vertical="center"/>
    </xf>
    <xf numFmtId="0" fontId="196" fillId="162" borderId="159" xfId="60" applyFont="1" applyAlignment="1">
      <alignment horizontal="center" vertical="center"/>
    </xf>
    <xf numFmtId="0" fontId="196" fillId="162" borderId="168" xfId="60" applyFont="1" applyBorder="1" applyAlignment="1">
      <alignment horizontal="center" vertical="center"/>
    </xf>
    <xf numFmtId="0" fontId="213" fillId="162" borderId="171" xfId="60" applyFont="1" applyBorder="1" applyAlignment="1">
      <alignment horizontal="center" vertical="center"/>
    </xf>
    <xf numFmtId="0" fontId="213" fillId="166" borderId="171" xfId="60" applyFont="1" applyFill="1" applyBorder="1" applyAlignment="1">
      <alignment horizontal="center" vertical="center"/>
    </xf>
    <xf numFmtId="0" fontId="213" fillId="177" borderId="164" xfId="60" applyFont="1" applyFill="1" applyBorder="1" applyAlignment="1">
      <alignment horizontal="center" vertical="center" wrapText="1"/>
    </xf>
    <xf numFmtId="0" fontId="213" fillId="179" borderId="163" xfId="60" applyFont="1" applyFill="1" applyBorder="1" applyAlignment="1">
      <alignment horizontal="center" vertical="center" wrapText="1"/>
    </xf>
    <xf numFmtId="0" fontId="213" fillId="179" borderId="164" xfId="60" applyFont="1" applyFill="1" applyBorder="1" applyAlignment="1">
      <alignment horizontal="center" vertical="center" wrapText="1"/>
    </xf>
    <xf numFmtId="0" fontId="213" fillId="168" borderId="163" xfId="60" applyFont="1" applyFill="1" applyBorder="1" applyAlignment="1">
      <alignment horizontal="center" vertical="center" wrapText="1"/>
    </xf>
    <xf numFmtId="0" fontId="213" fillId="178" borderId="163" xfId="60" applyFont="1" applyFill="1" applyBorder="1" applyAlignment="1">
      <alignment horizontal="center" vertical="center" wrapText="1"/>
    </xf>
    <xf numFmtId="0" fontId="213" fillId="178" borderId="171" xfId="60" applyFont="1" applyFill="1" applyBorder="1" applyAlignment="1">
      <alignment horizontal="center" vertical="center" wrapText="1"/>
    </xf>
    <xf numFmtId="0" fontId="213" fillId="178" borderId="198" xfId="60" applyFont="1" applyFill="1" applyBorder="1" applyAlignment="1">
      <alignment horizontal="center" vertical="center" wrapText="1"/>
    </xf>
    <xf numFmtId="0" fontId="213" fillId="193" borderId="167" xfId="60" applyFont="1" applyFill="1" applyBorder="1" applyAlignment="1">
      <alignment horizontal="center" vertical="center" wrapText="1"/>
    </xf>
    <xf numFmtId="0" fontId="213" fillId="193" borderId="170" xfId="60" applyFont="1" applyFill="1" applyBorder="1" applyAlignment="1">
      <alignment horizontal="center" vertical="center" wrapText="1"/>
    </xf>
    <xf numFmtId="0" fontId="214" fillId="169" borderId="171" xfId="60" applyFont="1" applyFill="1" applyBorder="1" applyAlignment="1">
      <alignment horizontal="center" vertical="center" wrapText="1"/>
    </xf>
    <xf numFmtId="0" fontId="215" fillId="175" borderId="171" xfId="60" applyFont="1" applyFill="1" applyBorder="1" applyAlignment="1">
      <alignment horizontal="center" vertical="center" wrapText="1"/>
    </xf>
    <xf numFmtId="0" fontId="214" fillId="170" borderId="171" xfId="60" applyFont="1" applyFill="1" applyBorder="1" applyAlignment="1">
      <alignment horizontal="center" vertical="center" wrapText="1"/>
    </xf>
    <xf numFmtId="0" fontId="214" fillId="172" borderId="171" xfId="60" applyFont="1" applyFill="1" applyBorder="1" applyAlignment="1">
      <alignment horizontal="center" vertical="center" wrapText="1"/>
    </xf>
    <xf numFmtId="0" fontId="214" fillId="171" borderId="171" xfId="60" applyFont="1" applyFill="1" applyBorder="1" applyAlignment="1">
      <alignment horizontal="center" vertical="center" wrapText="1"/>
    </xf>
    <xf numFmtId="0" fontId="214" fillId="173" borderId="171" xfId="60" applyFont="1" applyFill="1" applyBorder="1" applyAlignment="1">
      <alignment horizontal="center" vertical="center" wrapText="1"/>
    </xf>
    <xf numFmtId="0" fontId="214" fillId="174" borderId="171" xfId="60" applyFont="1" applyFill="1" applyBorder="1" applyAlignment="1">
      <alignment horizontal="center" vertical="center" wrapText="1"/>
    </xf>
    <xf numFmtId="0" fontId="195" fillId="166" borderId="159" xfId="60" applyFont="1" applyFill="1" applyAlignment="1">
      <alignment horizontal="left" vertical="center"/>
    </xf>
    <xf numFmtId="0" fontId="195" fillId="162" borderId="159" xfId="60" applyFont="1"/>
    <xf numFmtId="0" fontId="195" fillId="201" borderId="159" xfId="60" applyFont="1" applyFill="1"/>
    <xf numFmtId="0" fontId="211" fillId="176" borderId="168" xfId="60" applyFont="1" applyFill="1" applyBorder="1" applyAlignment="1">
      <alignment horizontal="left" vertical="center" wrapText="1"/>
    </xf>
    <xf numFmtId="0" fontId="211" fillId="179" borderId="168" xfId="60" applyFont="1" applyFill="1" applyBorder="1" applyAlignment="1">
      <alignment horizontal="center" vertical="center" wrapText="1"/>
    </xf>
    <xf numFmtId="0" fontId="211" fillId="179" borderId="168" xfId="60" applyFont="1" applyFill="1" applyBorder="1" applyAlignment="1">
      <alignment horizontal="left" vertical="center" wrapText="1"/>
    </xf>
    <xf numFmtId="0" fontId="211" fillId="178" borderId="168" xfId="60" applyFont="1" applyFill="1" applyBorder="1" applyAlignment="1">
      <alignment horizontal="center" vertical="center" wrapText="1"/>
    </xf>
    <xf numFmtId="0" fontId="211" fillId="178" borderId="168" xfId="60" applyFont="1" applyFill="1" applyBorder="1" applyAlignment="1">
      <alignment vertical="center" wrapText="1"/>
    </xf>
    <xf numFmtId="0" fontId="211" fillId="186" borderId="168" xfId="60" applyFont="1" applyFill="1" applyBorder="1" applyAlignment="1">
      <alignment horizontal="center" vertical="center" wrapText="1"/>
    </xf>
    <xf numFmtId="0" fontId="211" fillId="191" borderId="168" xfId="60" applyFont="1" applyFill="1" applyBorder="1" applyAlignment="1">
      <alignment horizontal="center" vertical="center" wrapText="1"/>
    </xf>
    <xf numFmtId="0" fontId="211" fillId="191" borderId="168" xfId="60" applyFont="1" applyFill="1" applyBorder="1" applyAlignment="1">
      <alignment horizontal="left" vertical="center" wrapText="1"/>
    </xf>
    <xf numFmtId="0" fontId="211" fillId="183" borderId="168" xfId="60" applyFont="1" applyFill="1" applyBorder="1" applyAlignment="1">
      <alignment horizontal="center" vertical="center" wrapText="1"/>
    </xf>
    <xf numFmtId="0" fontId="211" fillId="185" borderId="168" xfId="60" applyFont="1" applyFill="1" applyBorder="1" applyAlignment="1">
      <alignment horizontal="center" vertical="center" wrapText="1"/>
    </xf>
    <xf numFmtId="0" fontId="211" fillId="185"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203" borderId="168" xfId="60" applyFont="1" applyFill="1" applyBorder="1" applyAlignment="1">
      <alignment horizontal="center" vertical="center" wrapText="1"/>
    </xf>
    <xf numFmtId="0" fontId="211" fillId="166" borderId="183" xfId="60" applyFont="1" applyFill="1" applyBorder="1" applyAlignment="1">
      <alignment horizontal="center" vertical="center" wrapText="1"/>
    </xf>
    <xf numFmtId="0" fontId="211" fillId="166" borderId="167" xfId="60" applyFont="1" applyFill="1" applyBorder="1" applyAlignment="1">
      <alignment horizontal="center" vertical="center" wrapText="1"/>
    </xf>
    <xf numFmtId="0" fontId="211" fillId="186" borderId="167" xfId="60" applyFont="1" applyFill="1" applyBorder="1" applyAlignment="1">
      <alignment horizontal="center" vertical="center" wrapText="1"/>
    </xf>
    <xf numFmtId="0" fontId="211" fillId="166" borderId="172" xfId="60" applyFont="1" applyFill="1" applyBorder="1" applyAlignment="1">
      <alignment horizontal="center" vertical="center" wrapText="1"/>
    </xf>
    <xf numFmtId="0" fontId="220" fillId="205" borderId="191" xfId="60" applyFont="1" applyFill="1" applyBorder="1" applyAlignment="1">
      <alignment horizontal="center" vertical="center" wrapText="1"/>
    </xf>
    <xf numFmtId="0" fontId="220" fillId="205" borderId="208" xfId="60" applyFont="1" applyFill="1" applyBorder="1" applyAlignment="1">
      <alignment horizontal="center" vertical="center" wrapText="1"/>
    </xf>
    <xf numFmtId="0" fontId="220" fillId="206" borderId="163" xfId="60" applyFont="1" applyFill="1" applyBorder="1" applyAlignment="1">
      <alignment horizontal="center" vertical="center" wrapText="1"/>
    </xf>
    <xf numFmtId="0" fontId="220" fillId="206" borderId="208" xfId="60" applyFont="1" applyFill="1" applyBorder="1" applyAlignment="1">
      <alignment horizontal="center" vertical="center" wrapText="1"/>
    </xf>
    <xf numFmtId="0" fontId="193" fillId="167" borderId="163" xfId="60" applyFont="1" applyFill="1" applyBorder="1" applyAlignment="1">
      <alignment horizontal="center" vertical="center" wrapText="1"/>
    </xf>
    <xf numFmtId="0" fontId="193" fillId="167" borderId="164" xfId="60" applyFont="1" applyFill="1" applyBorder="1" applyAlignment="1">
      <alignment horizontal="center" vertical="center" wrapText="1"/>
    </xf>
    <xf numFmtId="0" fontId="193" fillId="207" borderId="163" xfId="60" applyFont="1" applyFill="1" applyBorder="1" applyAlignment="1">
      <alignment horizontal="center" vertical="center" wrapText="1"/>
    </xf>
    <xf numFmtId="0" fontId="193" fillId="207" borderId="164" xfId="60" applyFont="1" applyFill="1" applyBorder="1" applyAlignment="1">
      <alignment horizontal="center" vertical="center" wrapText="1"/>
    </xf>
    <xf numFmtId="0" fontId="220" fillId="208" borderId="191" xfId="60" applyFont="1" applyFill="1" applyBorder="1" applyAlignment="1">
      <alignment horizontal="center" vertical="center" wrapText="1"/>
    </xf>
    <xf numFmtId="0" fontId="220" fillId="208" borderId="208"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179" borderId="168" xfId="60" applyFont="1" applyFill="1" applyBorder="1" applyAlignment="1">
      <alignment vertical="center" wrapText="1"/>
    </xf>
    <xf numFmtId="0" fontId="222" fillId="169" borderId="171" xfId="60" applyFont="1" applyFill="1" applyBorder="1" applyAlignment="1">
      <alignment horizontal="center" vertical="center" wrapText="1"/>
    </xf>
    <xf numFmtId="0" fontId="210" fillId="175" borderId="171" xfId="60" applyFont="1" applyFill="1" applyBorder="1" applyAlignment="1">
      <alignment horizontal="center" vertical="center" wrapText="1"/>
    </xf>
    <xf numFmtId="0" fontId="222" fillId="170" borderId="171" xfId="60" applyFont="1" applyFill="1" applyBorder="1" applyAlignment="1">
      <alignment horizontal="center" vertical="center" wrapText="1"/>
    </xf>
    <xf numFmtId="0" fontId="222" fillId="172" borderId="171" xfId="60" applyFont="1" applyFill="1" applyBorder="1" applyAlignment="1">
      <alignment horizontal="center" vertical="center" wrapText="1"/>
    </xf>
    <xf numFmtId="0" fontId="222" fillId="171" borderId="171" xfId="60" applyFont="1" applyFill="1" applyBorder="1" applyAlignment="1">
      <alignment horizontal="center" vertical="center" wrapText="1"/>
    </xf>
    <xf numFmtId="0" fontId="222" fillId="173" borderId="171" xfId="60" applyFont="1" applyFill="1" applyBorder="1" applyAlignment="1">
      <alignment horizontal="center" vertical="center" wrapText="1"/>
    </xf>
    <xf numFmtId="0" fontId="222" fillId="174" borderId="171" xfId="60" applyFont="1" applyFill="1" applyBorder="1" applyAlignment="1">
      <alignment horizontal="center" vertical="center" wrapText="1"/>
    </xf>
    <xf numFmtId="0" fontId="195" fillId="166" borderId="167" xfId="60" applyFont="1" applyFill="1" applyBorder="1" applyAlignment="1">
      <alignment horizontal="center" vertical="center" wrapText="1"/>
    </xf>
    <xf numFmtId="0" fontId="213" fillId="166" borderId="167" xfId="60" applyFont="1" applyFill="1" applyBorder="1" applyAlignment="1">
      <alignment horizontal="center" vertical="center" wrapText="1"/>
    </xf>
    <xf numFmtId="0" fontId="195" fillId="162" borderId="159" xfId="60" applyFont="1" applyAlignment="1">
      <alignment wrapText="1"/>
    </xf>
    <xf numFmtId="0" fontId="211" fillId="178" borderId="168" xfId="60" applyFont="1" applyFill="1" applyBorder="1" applyAlignment="1">
      <alignment horizontal="center" vertical="center" wrapText="1"/>
    </xf>
    <xf numFmtId="0" fontId="211" fillId="176" borderId="168" xfId="60" applyFont="1" applyFill="1" applyBorder="1" applyAlignment="1">
      <alignment vertical="center" wrapText="1"/>
    </xf>
    <xf numFmtId="0" fontId="223" fillId="169" borderId="171" xfId="60" applyFont="1" applyFill="1" applyBorder="1" applyAlignment="1">
      <alignment horizontal="center" vertical="center" wrapText="1"/>
    </xf>
    <xf numFmtId="0" fontId="224" fillId="175" borderId="171" xfId="60" applyFont="1" applyFill="1" applyBorder="1" applyAlignment="1">
      <alignment horizontal="center" vertical="center" wrapText="1"/>
    </xf>
    <xf numFmtId="0" fontId="223" fillId="170" borderId="171" xfId="60" applyFont="1" applyFill="1" applyBorder="1" applyAlignment="1">
      <alignment horizontal="center" vertical="center" wrapText="1"/>
    </xf>
    <xf numFmtId="0" fontId="223" fillId="172" borderId="171" xfId="60" applyFont="1" applyFill="1" applyBorder="1" applyAlignment="1">
      <alignment horizontal="center" vertical="center" wrapText="1"/>
    </xf>
    <xf numFmtId="0" fontId="223" fillId="171" borderId="171" xfId="60" applyFont="1" applyFill="1" applyBorder="1" applyAlignment="1">
      <alignment horizontal="center" vertical="center" wrapText="1"/>
    </xf>
    <xf numFmtId="0" fontId="223" fillId="173" borderId="171" xfId="60" applyFont="1" applyFill="1" applyBorder="1" applyAlignment="1">
      <alignment horizontal="center" vertical="center" wrapText="1"/>
    </xf>
    <xf numFmtId="0" fontId="223" fillId="174" borderId="171" xfId="60" applyFont="1" applyFill="1" applyBorder="1" applyAlignment="1">
      <alignment horizontal="center" vertical="center" wrapText="1"/>
    </xf>
    <xf numFmtId="0" fontId="225" fillId="174" borderId="168" xfId="60" applyFont="1" applyFill="1" applyBorder="1" applyAlignment="1">
      <alignment horizontal="center" vertical="center" wrapText="1"/>
    </xf>
    <xf numFmtId="0" fontId="225" fillId="169" borderId="168" xfId="60" applyFont="1" applyFill="1" applyBorder="1" applyAlignment="1">
      <alignment horizontal="center" vertical="center" wrapText="1"/>
    </xf>
    <xf numFmtId="0" fontId="179" fillId="175" borderId="168" xfId="60" applyFont="1" applyFill="1" applyBorder="1" applyAlignment="1">
      <alignment horizontal="center" vertical="center" wrapText="1"/>
    </xf>
    <xf numFmtId="0" fontId="225" fillId="170" borderId="168" xfId="60" applyFont="1" applyFill="1" applyBorder="1" applyAlignment="1">
      <alignment horizontal="center" vertical="center" wrapText="1"/>
    </xf>
    <xf numFmtId="0" fontId="225" fillId="172" borderId="168" xfId="60" applyFont="1" applyFill="1" applyBorder="1" applyAlignment="1">
      <alignment horizontal="center" vertical="center" wrapText="1"/>
    </xf>
    <xf numFmtId="0" fontId="225" fillId="171" borderId="168" xfId="60" applyFont="1" applyFill="1" applyBorder="1" applyAlignment="1">
      <alignment horizontal="center" vertical="center" wrapText="1"/>
    </xf>
    <xf numFmtId="0" fontId="225" fillId="173" borderId="168" xfId="60" applyFont="1" applyFill="1" applyBorder="1" applyAlignment="1">
      <alignment horizontal="center" vertical="center" wrapText="1"/>
    </xf>
    <xf numFmtId="0" fontId="195" fillId="166" borderId="159" xfId="60" applyFont="1" applyFill="1" applyAlignment="1">
      <alignment horizontal="center" vertical="center"/>
    </xf>
    <xf numFmtId="0" fontId="211" fillId="177" borderId="184" xfId="60" applyFont="1" applyFill="1" applyBorder="1" applyAlignment="1">
      <alignment horizontal="center" vertical="center" wrapText="1"/>
    </xf>
    <xf numFmtId="0" fontId="211" fillId="179" borderId="168" xfId="60" applyFont="1" applyFill="1" applyBorder="1" applyAlignment="1">
      <alignment horizontal="center" vertical="center" wrapText="1"/>
    </xf>
    <xf numFmtId="0" fontId="211" fillId="179"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195" fillId="162" borderId="159" xfId="60" applyFont="1" applyAlignment="1">
      <alignment horizontal="center" vertical="center"/>
    </xf>
    <xf numFmtId="0" fontId="195" fillId="162" borderId="168" xfId="60" applyFont="1" applyBorder="1" applyAlignment="1">
      <alignment horizontal="center" vertical="center"/>
    </xf>
    <xf numFmtId="0" fontId="211" fillId="177" borderId="168" xfId="60" applyFont="1" applyFill="1" applyBorder="1" applyAlignment="1">
      <alignment horizontal="center" vertical="center" wrapText="1"/>
    </xf>
    <xf numFmtId="0" fontId="211" fillId="188" borderId="168" xfId="60" applyFont="1" applyFill="1" applyBorder="1" applyAlignment="1">
      <alignment horizontal="center" vertical="center" wrapText="1"/>
    </xf>
    <xf numFmtId="0" fontId="211" fillId="189" borderId="168" xfId="60" applyFont="1" applyFill="1" applyBorder="1" applyAlignment="1">
      <alignment horizontal="center" vertical="center" wrapText="1"/>
    </xf>
    <xf numFmtId="0" fontId="211" fillId="192" borderId="168" xfId="60" applyFont="1" applyFill="1" applyBorder="1" applyAlignment="1">
      <alignment horizontal="center" vertical="center" wrapText="1"/>
    </xf>
    <xf numFmtId="0" fontId="211" fillId="181" borderId="168" xfId="60" applyFont="1" applyFill="1" applyBorder="1" applyAlignment="1">
      <alignment horizontal="center" vertical="center" wrapText="1"/>
    </xf>
    <xf numFmtId="0" fontId="211" fillId="182" borderId="168" xfId="60" applyFont="1" applyFill="1" applyBorder="1" applyAlignment="1">
      <alignment horizontal="center" vertical="center" wrapText="1"/>
    </xf>
    <xf numFmtId="0" fontId="211" fillId="181" borderId="173" xfId="60" applyFont="1" applyFill="1" applyBorder="1" applyAlignment="1">
      <alignment horizontal="center" vertical="center" wrapText="1"/>
    </xf>
    <xf numFmtId="0" fontId="211" fillId="182" borderId="173" xfId="60" applyFont="1" applyFill="1" applyBorder="1" applyAlignment="1">
      <alignment horizontal="center" vertical="center" wrapText="1"/>
    </xf>
    <xf numFmtId="0" fontId="211" fillId="185" borderId="173" xfId="60" applyFont="1" applyFill="1" applyBorder="1" applyAlignment="1">
      <alignment horizontal="center" vertical="center" wrapText="1"/>
    </xf>
    <xf numFmtId="0" fontId="211" fillId="179" borderId="173" xfId="60" applyFont="1" applyFill="1" applyBorder="1" applyAlignment="1">
      <alignment horizontal="center" vertical="center" wrapText="1"/>
    </xf>
    <xf numFmtId="0" fontId="182" fillId="166" borderId="159" xfId="60" applyFont="1" applyFill="1" applyAlignment="1">
      <alignment horizontal="left" vertical="center" wrapText="1"/>
    </xf>
    <xf numFmtId="0" fontId="211" fillId="166" borderId="184" xfId="60" applyFont="1" applyFill="1" applyBorder="1" applyAlignment="1">
      <alignment horizontal="left" vertical="center" wrapText="1"/>
    </xf>
    <xf numFmtId="0" fontId="211" fillId="166" borderId="168" xfId="60" applyFont="1" applyFill="1" applyBorder="1" applyAlignment="1">
      <alignment horizontal="left" vertical="center" wrapText="1"/>
    </xf>
    <xf numFmtId="0" fontId="211" fillId="166" borderId="173" xfId="60" applyFont="1" applyFill="1" applyBorder="1" applyAlignment="1">
      <alignment horizontal="left" vertical="center" wrapText="1"/>
    </xf>
    <xf numFmtId="0" fontId="218" fillId="201" borderId="184" xfId="60" applyFont="1" applyFill="1" applyBorder="1" applyAlignment="1">
      <alignment horizontal="left" vertical="center" wrapText="1"/>
    </xf>
    <xf numFmtId="0" fontId="182" fillId="162" borderId="159" xfId="60" applyFont="1" applyAlignment="1">
      <alignment horizontal="left" vertical="center" wrapText="1"/>
    </xf>
    <xf numFmtId="0" fontId="211" fillId="176" borderId="184" xfId="60" applyFont="1" applyFill="1" applyBorder="1" applyAlignment="1">
      <alignment horizontal="left" vertical="center" wrapText="1"/>
    </xf>
    <xf numFmtId="0" fontId="211" fillId="179" borderId="168" xfId="60" applyFont="1" applyFill="1" applyBorder="1" applyAlignment="1">
      <alignment horizontal="left" vertical="center" wrapText="1"/>
    </xf>
    <xf numFmtId="0" fontId="211" fillId="179" borderId="184" xfId="60" applyFont="1" applyFill="1" applyBorder="1" applyAlignment="1">
      <alignment horizontal="left" vertical="center" wrapText="1"/>
    </xf>
    <xf numFmtId="0" fontId="211" fillId="201" borderId="184" xfId="60" applyFont="1" applyFill="1" applyBorder="1" applyAlignment="1">
      <alignment horizontal="left" vertical="center" wrapText="1"/>
    </xf>
    <xf numFmtId="0" fontId="211" fillId="201" borderId="184" xfId="60" applyFont="1" applyFill="1" applyBorder="1" applyAlignment="1">
      <alignment horizontal="left" vertical="center"/>
    </xf>
    <xf numFmtId="0" fontId="211" fillId="201" borderId="184" xfId="60" applyFont="1" applyFill="1" applyBorder="1" applyAlignment="1">
      <alignment horizontal="left" vertical="center" wrapText="1"/>
    </xf>
    <xf numFmtId="0" fontId="211" fillId="178" borderId="184" xfId="60" applyFont="1" applyFill="1" applyBorder="1" applyAlignment="1">
      <alignment horizontal="left" vertical="center" wrapText="1"/>
    </xf>
    <xf numFmtId="0" fontId="211" fillId="193" borderId="184" xfId="60" applyFont="1" applyFill="1" applyBorder="1" applyAlignment="1">
      <alignment horizontal="left" vertical="center" wrapText="1"/>
    </xf>
    <xf numFmtId="0" fontId="211" fillId="176" borderId="168" xfId="60" applyFont="1" applyFill="1" applyBorder="1" applyAlignment="1">
      <alignment horizontal="left" vertical="center" wrapText="1"/>
    </xf>
    <xf numFmtId="0" fontId="211" fillId="201" borderId="168" xfId="60" applyFont="1" applyFill="1" applyBorder="1" applyAlignment="1">
      <alignment horizontal="left" vertical="center" wrapText="1"/>
    </xf>
    <xf numFmtId="0" fontId="211" fillId="201" borderId="168" xfId="60" applyFont="1" applyFill="1" applyBorder="1" applyAlignment="1">
      <alignment horizontal="left" vertical="center"/>
    </xf>
    <xf numFmtId="0" fontId="211" fillId="201"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193" borderId="168" xfId="60" applyFont="1" applyFill="1" applyBorder="1" applyAlignment="1">
      <alignment horizontal="left" vertical="center" wrapText="1"/>
    </xf>
    <xf numFmtId="0" fontId="211" fillId="187" borderId="168" xfId="60" applyFont="1" applyFill="1" applyBorder="1" applyAlignment="1">
      <alignment horizontal="left" vertical="center" wrapText="1"/>
    </xf>
    <xf numFmtId="0" fontId="211" fillId="186" borderId="168" xfId="60" applyFont="1" applyFill="1" applyBorder="1" applyAlignment="1">
      <alignment horizontal="left" vertical="center" wrapText="1"/>
    </xf>
    <xf numFmtId="0" fontId="211" fillId="192" borderId="168" xfId="60" applyFont="1" applyFill="1" applyBorder="1" applyAlignment="1">
      <alignment horizontal="left" vertical="center" wrapText="1"/>
    </xf>
    <xf numFmtId="0" fontId="211" fillId="180" borderId="168" xfId="60" applyFont="1" applyFill="1" applyBorder="1" applyAlignment="1">
      <alignment horizontal="left" vertical="center" wrapText="1"/>
    </xf>
    <xf numFmtId="0" fontId="211" fillId="185" borderId="168" xfId="60" applyFont="1" applyFill="1" applyBorder="1" applyAlignment="1">
      <alignment horizontal="left" vertical="center" wrapText="1"/>
    </xf>
    <xf numFmtId="0" fontId="211" fillId="166" borderId="184" xfId="60" applyFont="1" applyFill="1" applyBorder="1" applyAlignment="1">
      <alignment horizontal="left" vertical="center"/>
    </xf>
    <xf numFmtId="0" fontId="211" fillId="166" borderId="168" xfId="60" applyFont="1" applyFill="1" applyBorder="1" applyAlignment="1">
      <alignment horizontal="left" vertical="center"/>
    </xf>
    <xf numFmtId="0" fontId="211" fillId="180" borderId="173" xfId="60" applyFont="1" applyFill="1" applyBorder="1" applyAlignment="1">
      <alignment horizontal="left" vertical="center" wrapText="1"/>
    </xf>
    <xf numFmtId="0" fontId="211" fillId="182" borderId="173" xfId="60" applyFont="1" applyFill="1" applyBorder="1" applyAlignment="1">
      <alignment horizontal="left" vertical="center" wrapText="1"/>
    </xf>
    <xf numFmtId="0" fontId="211" fillId="183" borderId="173" xfId="60" applyFont="1" applyFill="1" applyBorder="1" applyAlignment="1">
      <alignment horizontal="left" vertical="center" wrapText="1"/>
    </xf>
    <xf numFmtId="0" fontId="211" fillId="184" borderId="173" xfId="60" applyFont="1" applyFill="1" applyBorder="1" applyAlignment="1">
      <alignment horizontal="left" vertical="center"/>
    </xf>
    <xf numFmtId="0" fontId="211" fillId="184" borderId="173" xfId="60" applyFont="1" applyFill="1" applyBorder="1" applyAlignment="1">
      <alignment horizontal="left" vertical="center" wrapText="1"/>
    </xf>
    <xf numFmtId="0" fontId="211" fillId="184" borderId="173" xfId="60" applyFont="1" applyFill="1" applyBorder="1" applyAlignment="1">
      <alignment horizontal="left" vertical="center" wrapText="1"/>
    </xf>
    <xf numFmtId="0" fontId="211" fillId="183" borderId="173" xfId="60" applyFont="1" applyFill="1" applyBorder="1" applyAlignment="1">
      <alignment horizontal="left" vertical="center"/>
    </xf>
    <xf numFmtId="0" fontId="211" fillId="194" borderId="173" xfId="60" applyFont="1" applyFill="1" applyBorder="1" applyAlignment="1">
      <alignment horizontal="left" vertical="center" wrapText="1"/>
    </xf>
    <xf numFmtId="0" fontId="211" fillId="191" borderId="168" xfId="60" applyFont="1" applyFill="1" applyBorder="1" applyAlignment="1">
      <alignment horizontal="left" vertical="center" wrapText="1"/>
    </xf>
    <xf numFmtId="0" fontId="211" fillId="202" borderId="168" xfId="60" applyFont="1" applyFill="1" applyBorder="1" applyAlignment="1">
      <alignment horizontal="left" vertical="center" wrapText="1"/>
    </xf>
    <xf numFmtId="0" fontId="211" fillId="194" borderId="168" xfId="60" applyFont="1" applyFill="1" applyBorder="1" applyAlignment="1">
      <alignment horizontal="left" vertical="center" wrapText="1"/>
    </xf>
    <xf numFmtId="0" fontId="211" fillId="185" borderId="173" xfId="60" applyFont="1" applyFill="1" applyBorder="1" applyAlignment="1">
      <alignment horizontal="left" vertical="center" wrapText="1"/>
    </xf>
    <xf numFmtId="0" fontId="211" fillId="193" borderId="173" xfId="60" applyFont="1" applyFill="1" applyBorder="1" applyAlignment="1">
      <alignment horizontal="left" vertical="center" wrapText="1"/>
    </xf>
    <xf numFmtId="0" fontId="211" fillId="193" borderId="209" xfId="60" applyFont="1" applyFill="1" applyBorder="1" applyAlignment="1">
      <alignment horizontal="left" vertical="center" wrapText="1"/>
    </xf>
    <xf numFmtId="0" fontId="211" fillId="193" borderId="180" xfId="60" applyFont="1" applyFill="1" applyBorder="1" applyAlignment="1">
      <alignment horizontal="left" vertical="center" wrapText="1"/>
    </xf>
    <xf numFmtId="0" fontId="188" fillId="162" borderId="169" xfId="60" applyFont="1" applyBorder="1" applyAlignment="1">
      <alignment horizontal="center" vertical="center" wrapText="1"/>
    </xf>
    <xf numFmtId="0" fontId="189" fillId="162" borderId="169" xfId="60" applyFont="1" applyBorder="1" applyAlignment="1">
      <alignment horizontal="center" vertical="center" wrapText="1"/>
    </xf>
    <xf numFmtId="0" fontId="188" fillId="162" borderId="162" xfId="60" applyFont="1" applyBorder="1" applyAlignment="1">
      <alignment horizontal="center" vertical="center" wrapText="1"/>
    </xf>
    <xf numFmtId="0" fontId="200" fillId="162" borderId="168" xfId="60" applyFont="1" applyBorder="1" applyAlignment="1">
      <alignment horizontal="center" vertical="center" wrapText="1"/>
    </xf>
    <xf numFmtId="0" fontId="201" fillId="162" borderId="168" xfId="60" applyFont="1" applyBorder="1" applyAlignment="1">
      <alignment horizontal="center" vertical="center" wrapText="1"/>
    </xf>
    <xf numFmtId="0" fontId="200" fillId="162" borderId="170" xfId="60" applyFont="1" applyBorder="1" applyAlignment="1">
      <alignment horizontal="center" vertical="center" wrapText="1"/>
    </xf>
    <xf numFmtId="0" fontId="184" fillId="167" borderId="163" xfId="60" applyFont="1" applyFill="1" applyBorder="1" applyAlignment="1">
      <alignment horizontal="center" vertical="center" wrapText="1"/>
    </xf>
    <xf numFmtId="0" fontId="213" fillId="167" borderId="164" xfId="60" applyFont="1" applyFill="1" applyBorder="1" applyAlignment="1">
      <alignment horizontal="center" vertical="center" wrapText="1"/>
    </xf>
    <xf numFmtId="0" fontId="211" fillId="167" borderId="184"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212" borderId="173" xfId="60" applyFont="1" applyFill="1" applyBorder="1" applyAlignment="1">
      <alignment horizontal="center" vertical="center" wrapText="1"/>
    </xf>
    <xf numFmtId="0" fontId="211" fillId="167" borderId="173" xfId="60" applyFont="1" applyFill="1" applyBorder="1" applyAlignment="1">
      <alignment horizontal="center" vertical="center" wrapText="1"/>
    </xf>
    <xf numFmtId="0" fontId="213" fillId="207" borderId="163" xfId="60" applyFont="1" applyFill="1" applyBorder="1" applyAlignment="1">
      <alignment horizontal="center" vertical="center" wrapText="1"/>
    </xf>
    <xf numFmtId="0" fontId="211" fillId="207" borderId="184"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09" borderId="173" xfId="60" applyFont="1" applyFill="1" applyBorder="1" applyAlignment="1">
      <alignment horizontal="center" vertical="center" wrapText="1"/>
    </xf>
    <xf numFmtId="0" fontId="211" fillId="207" borderId="173" xfId="60" applyFont="1" applyFill="1" applyBorder="1" applyAlignment="1">
      <alignment horizontal="center" vertical="center" wrapText="1"/>
    </xf>
    <xf numFmtId="0" fontId="226" fillId="166" borderId="168" xfId="60" applyFont="1" applyFill="1" applyBorder="1" applyAlignment="1">
      <alignment horizontal="center" vertical="center" wrapText="1"/>
    </xf>
    <xf numFmtId="0" fontId="193" fillId="179" borderId="163" xfId="60" applyFont="1" applyFill="1" applyBorder="1" applyAlignment="1">
      <alignment horizontal="center" vertical="center"/>
    </xf>
    <xf numFmtId="0" fontId="227" fillId="209" borderId="168" xfId="60" applyFont="1" applyFill="1" applyBorder="1" applyAlignment="1">
      <alignment horizontal="center" vertical="center" wrapText="1"/>
    </xf>
    <xf numFmtId="0" fontId="228" fillId="166" borderId="159" xfId="60" applyFont="1" applyFill="1" applyAlignment="1">
      <alignment horizontal="center" vertical="center" wrapText="1"/>
    </xf>
    <xf numFmtId="0" fontId="231" fillId="166" borderId="159" xfId="60" applyFont="1" applyFill="1" applyAlignment="1">
      <alignment horizontal="center" vertical="center" wrapText="1"/>
    </xf>
    <xf numFmtId="0" fontId="229" fillId="166" borderId="159" xfId="60" applyFont="1" applyFill="1" applyAlignment="1">
      <alignment vertical="top" wrapText="1"/>
    </xf>
    <xf numFmtId="0" fontId="232" fillId="166" borderId="159" xfId="60" applyFont="1" applyFill="1" applyAlignment="1">
      <alignment horizontal="center" vertical="center"/>
    </xf>
    <xf numFmtId="0" fontId="193" fillId="178" borderId="198" xfId="60" applyFont="1" applyFill="1" applyBorder="1" applyAlignment="1">
      <alignment horizontal="center" vertical="center" wrapText="1"/>
    </xf>
    <xf numFmtId="0" fontId="195" fillId="178" borderId="209" xfId="60" applyFont="1" applyFill="1" applyBorder="1" applyAlignment="1">
      <alignment horizontal="center" vertical="center" wrapText="1"/>
    </xf>
    <xf numFmtId="0" fontId="195" fillId="178" borderId="180" xfId="60" applyFont="1" applyFill="1" applyBorder="1" applyAlignment="1">
      <alignment horizontal="center" vertical="center" wrapText="1"/>
    </xf>
    <xf numFmtId="0" fontId="195" fillId="192" borderId="18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85" fillId="162" borderId="168" xfId="60" applyFont="1" applyBorder="1"/>
    <xf numFmtId="0" fontId="195" fillId="162" borderId="168" xfId="60" applyFont="1" applyBorder="1"/>
    <xf numFmtId="0" fontId="195" fillId="178" borderId="180" xfId="60" applyFont="1" applyFill="1" applyBorder="1" applyAlignment="1">
      <alignment horizontal="center" vertical="center" wrapText="1"/>
    </xf>
    <xf numFmtId="0" fontId="195" fillId="178" borderId="196" xfId="60" applyFont="1" applyFill="1" applyBorder="1" applyAlignment="1">
      <alignment horizontal="center" vertical="center" wrapText="1"/>
    </xf>
    <xf numFmtId="0" fontId="195" fillId="185" borderId="180" xfId="60" applyFont="1" applyFill="1" applyBorder="1" applyAlignment="1">
      <alignment horizontal="center" vertical="center" wrapText="1"/>
    </xf>
    <xf numFmtId="0" fontId="195" fillId="191" borderId="180" xfId="60" applyFont="1" applyFill="1" applyBorder="1" applyAlignment="1">
      <alignment horizontal="center" vertical="center" wrapText="1"/>
    </xf>
    <xf numFmtId="0" fontId="195" fillId="162" borderId="168" xfId="60" applyFont="1" applyBorder="1" applyAlignment="1">
      <alignment vertical="center" wrapText="1"/>
    </xf>
    <xf numFmtId="0" fontId="211" fillId="162" borderId="168" xfId="60" applyFont="1" applyBorder="1" applyAlignment="1">
      <alignment vertical="center" wrapText="1"/>
    </xf>
    <xf numFmtId="0" fontId="211" fillId="201" borderId="168" xfId="60" applyFont="1" applyFill="1" applyBorder="1" applyAlignment="1">
      <alignment vertical="center" wrapText="1"/>
    </xf>
    <xf numFmtId="0" fontId="211" fillId="162" borderId="168" xfId="60" applyFont="1" applyBorder="1" applyAlignment="1">
      <alignment horizontal="left" vertical="center" wrapText="1"/>
    </xf>
    <xf numFmtId="0" fontId="220" fillId="162" borderId="168" xfId="60" applyFont="1" applyBorder="1" applyAlignment="1">
      <alignment vertical="center" wrapText="1"/>
    </xf>
    <xf numFmtId="0" fontId="195" fillId="178" borderId="180" xfId="60" applyFont="1" applyFill="1" applyBorder="1" applyAlignment="1">
      <alignment horizontal="left" vertical="center" wrapText="1"/>
    </xf>
    <xf numFmtId="0" fontId="195" fillId="185" borderId="197" xfId="60" applyFont="1" applyFill="1" applyBorder="1" applyAlignment="1">
      <alignment horizontal="left" vertical="center" wrapText="1"/>
    </xf>
    <xf numFmtId="0" fontId="195" fillId="191" borderId="168" xfId="60" applyFont="1" applyFill="1" applyBorder="1" applyAlignment="1">
      <alignment horizontal="left" vertical="center" wrapText="1"/>
    </xf>
    <xf numFmtId="0" fontId="195" fillId="191" borderId="209" xfId="60" applyFont="1" applyFill="1" applyBorder="1" applyAlignment="1">
      <alignment horizontal="left" vertical="center" wrapText="1"/>
    </xf>
    <xf numFmtId="0" fontId="211" fillId="178" borderId="180" xfId="60" applyFont="1" applyFill="1" applyBorder="1" applyAlignment="1">
      <alignment horizontal="left" vertical="center" wrapText="1"/>
    </xf>
    <xf numFmtId="0" fontId="233" fillId="178" borderId="209" xfId="60" applyFont="1" applyFill="1" applyBorder="1" applyAlignment="1">
      <alignment horizontal="left" vertical="center" wrapText="1"/>
    </xf>
    <xf numFmtId="0" fontId="193" fillId="167" borderId="160" xfId="60" applyFont="1" applyFill="1" applyBorder="1" applyAlignment="1">
      <alignment vertical="center" wrapText="1"/>
    </xf>
    <xf numFmtId="0" fontId="193" fillId="167" borderId="181" xfId="60" applyFont="1" applyFill="1" applyBorder="1" applyAlignment="1">
      <alignment vertical="center" wrapText="1"/>
    </xf>
    <xf numFmtId="0" fontId="193" fillId="167" borderId="165" xfId="60" applyFont="1" applyFill="1" applyBorder="1" applyAlignment="1">
      <alignment vertical="center" wrapText="1"/>
    </xf>
    <xf numFmtId="0" fontId="193" fillId="167" borderId="159" xfId="60" applyFont="1" applyFill="1" applyAlignment="1">
      <alignment vertical="center" wrapText="1"/>
    </xf>
    <xf numFmtId="0" fontId="193" fillId="167" borderId="202" xfId="60" applyFont="1" applyFill="1" applyBorder="1" applyAlignment="1">
      <alignment vertical="center" wrapText="1"/>
    </xf>
    <xf numFmtId="0" fontId="185" fillId="162" borderId="184" xfId="60" applyFont="1" applyBorder="1"/>
    <xf numFmtId="0" fontId="211" fillId="178" borderId="196" xfId="60" applyFont="1" applyFill="1" applyBorder="1" applyAlignment="1">
      <alignment horizontal="left" vertical="center" wrapText="1"/>
    </xf>
    <xf numFmtId="0" fontId="211" fillId="185" borderId="180" xfId="60" applyFont="1" applyFill="1" applyBorder="1" applyAlignment="1">
      <alignment horizontal="left" vertical="center" wrapText="1"/>
    </xf>
    <xf numFmtId="0" fontId="195" fillId="185" borderId="180" xfId="60" applyFont="1" applyFill="1" applyBorder="1" applyAlignment="1">
      <alignment horizontal="left" vertical="center" wrapText="1"/>
    </xf>
    <xf numFmtId="0" fontId="215" fillId="162" borderId="180" xfId="60" applyFont="1" applyBorder="1" applyAlignment="1">
      <alignment vertical="center" wrapText="1"/>
    </xf>
    <xf numFmtId="0" fontId="214" fillId="162" borderId="211" xfId="60" applyFont="1" applyBorder="1" applyAlignment="1">
      <alignment vertical="center" wrapText="1"/>
    </xf>
    <xf numFmtId="0" fontId="215" fillId="162" borderId="209" xfId="60" applyFont="1" applyBorder="1" applyAlignment="1">
      <alignment vertical="center" wrapText="1"/>
    </xf>
    <xf numFmtId="0" fontId="215" fillId="186" borderId="180" xfId="60" applyFont="1" applyFill="1" applyBorder="1" applyAlignment="1">
      <alignment vertical="center" wrapText="1"/>
    </xf>
    <xf numFmtId="0" fontId="215" fillId="162" borderId="197" xfId="60" applyFont="1" applyBorder="1" applyAlignment="1">
      <alignment vertical="center" wrapText="1"/>
    </xf>
    <xf numFmtId="0" fontId="215" fillId="190" borderId="180" xfId="60" applyFont="1" applyFill="1" applyBorder="1" applyAlignment="1">
      <alignment vertical="center" wrapText="1"/>
    </xf>
    <xf numFmtId="0" fontId="211" fillId="213" borderId="168" xfId="60" applyFont="1" applyFill="1" applyBorder="1" applyAlignment="1">
      <alignment horizontal="left" vertical="center" wrapText="1"/>
    </xf>
    <xf numFmtId="0" fontId="211" fillId="214" borderId="168" xfId="60" applyFont="1" applyFill="1" applyBorder="1" applyAlignment="1">
      <alignment horizontal="left" vertical="center" wrapText="1"/>
    </xf>
    <xf numFmtId="0" fontId="207" fillId="166" borderId="159" xfId="60" applyFont="1" applyFill="1" applyAlignment="1">
      <alignment horizontal="center" vertical="center"/>
    </xf>
    <xf numFmtId="0" fontId="194" fillId="166" borderId="159" xfId="60" applyFont="1" applyFill="1" applyAlignment="1">
      <alignment horizontal="center" vertical="center"/>
    </xf>
    <xf numFmtId="0" fontId="203" fillId="167" borderId="160" xfId="60" applyFont="1" applyFill="1" applyBorder="1" applyAlignment="1">
      <alignment horizontal="left" vertical="center" wrapText="1"/>
    </xf>
    <xf numFmtId="0" fontId="203" fillId="167" borderId="181" xfId="60" applyFont="1" applyFill="1" applyBorder="1" applyAlignment="1">
      <alignment horizontal="left" vertical="center" wrapText="1"/>
    </xf>
    <xf numFmtId="0" fontId="203" fillId="167" borderId="166" xfId="60" applyFont="1" applyFill="1" applyBorder="1" applyAlignment="1">
      <alignment horizontal="left" vertical="center" wrapText="1"/>
    </xf>
    <xf numFmtId="0" fontId="193" fillId="167" borderId="160" xfId="60" applyFont="1" applyFill="1" applyBorder="1" applyAlignment="1">
      <alignment horizontal="left" vertical="center" wrapText="1"/>
    </xf>
    <xf numFmtId="0" fontId="193" fillId="167" borderId="181" xfId="60" applyFont="1" applyFill="1" applyBorder="1" applyAlignment="1">
      <alignment horizontal="left" vertical="center" wrapText="1"/>
    </xf>
    <xf numFmtId="0" fontId="193" fillId="167" borderId="165" xfId="60" applyFont="1" applyFill="1" applyBorder="1" applyAlignment="1">
      <alignment horizontal="left" vertical="center" wrapText="1"/>
    </xf>
    <xf numFmtId="0" fontId="191" fillId="167" borderId="161" xfId="60" applyFont="1" applyFill="1" applyBorder="1" applyAlignment="1">
      <alignment horizontal="right" vertical="center" wrapText="1"/>
    </xf>
    <xf numFmtId="0" fontId="191" fillId="167" borderId="162" xfId="60" applyFont="1" applyFill="1" applyBorder="1" applyAlignment="1">
      <alignment horizontal="right" vertical="center" wrapText="1"/>
    </xf>
    <xf numFmtId="0" fontId="191" fillId="167" borderId="163" xfId="60" applyFont="1" applyFill="1" applyBorder="1" applyAlignment="1">
      <alignment horizontal="right" vertical="center" wrapText="1"/>
    </xf>
    <xf numFmtId="0" fontId="191" fillId="167" borderId="164" xfId="60" applyFont="1" applyFill="1" applyBorder="1" applyAlignment="1">
      <alignment horizontal="right" vertical="center" wrapText="1"/>
    </xf>
    <xf numFmtId="0" fontId="210" fillId="167" borderId="161" xfId="60" applyFont="1" applyFill="1" applyBorder="1" applyAlignment="1">
      <alignment horizontal="center" vertical="center" wrapText="1"/>
    </xf>
    <xf numFmtId="0" fontId="210" fillId="167" borderId="162" xfId="60" applyFont="1" applyFill="1" applyBorder="1" applyAlignment="1">
      <alignment horizontal="center" vertical="center" wrapText="1"/>
    </xf>
    <xf numFmtId="0" fontId="210" fillId="207" borderId="161" xfId="60" applyFont="1" applyFill="1" applyBorder="1" applyAlignment="1">
      <alignment horizontal="center" vertical="center" wrapText="1"/>
    </xf>
    <xf numFmtId="0" fontId="210" fillId="207" borderId="162" xfId="60" applyFont="1" applyFill="1" applyBorder="1" applyAlignment="1">
      <alignment horizontal="center" vertical="center" wrapText="1"/>
    </xf>
    <xf numFmtId="0" fontId="210" fillId="179" borderId="161" xfId="60" applyFont="1" applyFill="1" applyBorder="1" applyAlignment="1">
      <alignment horizontal="center" vertical="center" wrapText="1"/>
    </xf>
    <xf numFmtId="0" fontId="210" fillId="179" borderId="162" xfId="60" applyFont="1" applyFill="1" applyBorder="1" applyAlignment="1">
      <alignment horizontal="center" vertical="center" wrapText="1"/>
    </xf>
    <xf numFmtId="0" fontId="179" fillId="167" borderId="205" xfId="60" applyFont="1" applyFill="1" applyBorder="1" applyAlignment="1">
      <alignment horizontal="center" vertical="center" wrapText="1"/>
    </xf>
    <xf numFmtId="0" fontId="179" fillId="167" borderId="159" xfId="60" applyFont="1" applyFill="1" applyAlignment="1">
      <alignment horizontal="center" vertical="center" wrapText="1"/>
    </xf>
    <xf numFmtId="0" fontId="193" fillId="178" borderId="209" xfId="60" applyFont="1" applyFill="1" applyBorder="1" applyAlignment="1">
      <alignment horizontal="center" vertical="center" wrapText="1"/>
    </xf>
    <xf numFmtId="0" fontId="193" fillId="178" borderId="190" xfId="60" applyFont="1" applyFill="1" applyBorder="1" applyAlignment="1">
      <alignment horizontal="center" vertical="center" wrapText="1"/>
    </xf>
    <xf numFmtId="0" fontId="193" fillId="167" borderId="159" xfId="60" applyFont="1" applyFill="1" applyAlignment="1">
      <alignment horizontal="left" vertical="center" wrapText="1"/>
    </xf>
    <xf numFmtId="0" fontId="193" fillId="167" borderId="202" xfId="60" applyFont="1" applyFill="1" applyBorder="1" applyAlignment="1">
      <alignment horizontal="left" vertical="center" wrapText="1"/>
    </xf>
    <xf numFmtId="0" fontId="179" fillId="167" borderId="185" xfId="60" applyFont="1" applyFill="1" applyBorder="1" applyAlignment="1">
      <alignment horizontal="center" vertical="center" wrapText="1"/>
    </xf>
    <xf numFmtId="0" fontId="179" fillId="167" borderId="186" xfId="60" applyFont="1" applyFill="1" applyBorder="1" applyAlignment="1">
      <alignment horizontal="center" vertical="center" wrapText="1"/>
    </xf>
    <xf numFmtId="0" fontId="179" fillId="167" borderId="192" xfId="60" applyFont="1" applyFill="1" applyBorder="1" applyAlignment="1">
      <alignment horizontal="center" vertical="center" wrapText="1"/>
    </xf>
    <xf numFmtId="0" fontId="179" fillId="167" borderId="21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93" fillId="167" borderId="189" xfId="60" applyFont="1" applyFill="1" applyBorder="1" applyAlignment="1">
      <alignment horizontal="left" vertical="center" wrapText="1"/>
    </xf>
    <xf numFmtId="0" fontId="193" fillId="167" borderId="190" xfId="60" applyFont="1" applyFill="1" applyBorder="1" applyAlignment="1">
      <alignment horizontal="left" vertical="center" wrapText="1"/>
    </xf>
    <xf numFmtId="0" fontId="193" fillId="167" borderId="195" xfId="60" applyFont="1" applyFill="1" applyBorder="1" applyAlignment="1">
      <alignment horizontal="left" vertical="center" wrapText="1"/>
    </xf>
    <xf numFmtId="0" fontId="179" fillId="167" borderId="187" xfId="60" applyFont="1" applyFill="1" applyBorder="1" applyAlignment="1">
      <alignment horizontal="center" vertical="center" wrapText="1"/>
    </xf>
    <xf numFmtId="0" fontId="187" fillId="166" borderId="159" xfId="60" applyFont="1" applyFill="1" applyAlignment="1">
      <alignment horizontal="center"/>
    </xf>
    <xf numFmtId="0" fontId="186" fillId="166" borderId="159" xfId="60" applyFont="1" applyFill="1" applyAlignment="1">
      <alignment horizontal="center" vertical="center"/>
    </xf>
    <xf numFmtId="0" fontId="186" fillId="166" borderId="165" xfId="60" applyFont="1" applyFill="1" applyBorder="1" applyAlignment="1">
      <alignment horizontal="center"/>
    </xf>
    <xf numFmtId="0" fontId="197" fillId="167" borderId="185" xfId="60" applyFont="1" applyFill="1" applyBorder="1" applyAlignment="1">
      <alignment horizontal="left" vertical="center" wrapText="1"/>
    </xf>
    <xf numFmtId="0" fontId="197" fillId="167" borderId="186" xfId="60" applyFont="1" applyFill="1" applyBorder="1" applyAlignment="1">
      <alignment horizontal="left" vertical="center" wrapText="1"/>
    </xf>
    <xf numFmtId="0" fontId="197" fillId="167" borderId="210" xfId="60" applyFont="1" applyFill="1" applyBorder="1" applyAlignment="1">
      <alignment horizontal="left" vertical="center" wrapText="1"/>
    </xf>
    <xf numFmtId="0" fontId="184" fillId="193" borderId="167" xfId="60" applyFont="1" applyFill="1" applyBorder="1" applyAlignment="1">
      <alignment horizontal="center" vertical="center" wrapText="1"/>
    </xf>
    <xf numFmtId="0" fontId="184" fillId="193" borderId="170" xfId="60" applyFont="1" applyFill="1" applyBorder="1" applyAlignment="1">
      <alignment horizontal="center" vertical="center" wrapText="1"/>
    </xf>
    <xf numFmtId="0" fontId="202" fillId="167" borderId="199" xfId="60" applyFont="1" applyFill="1" applyBorder="1" applyAlignment="1">
      <alignment horizontal="center" vertical="center" wrapText="1"/>
    </xf>
    <xf numFmtId="0" fontId="198" fillId="167" borderId="200" xfId="60" applyFont="1" applyFill="1" applyBorder="1" applyAlignment="1">
      <alignment horizontal="center" vertical="center" wrapText="1"/>
    </xf>
    <xf numFmtId="0" fontId="198" fillId="167" borderId="201" xfId="60" applyFont="1" applyFill="1" applyBorder="1" applyAlignment="1">
      <alignment horizontal="center" vertical="center" wrapText="1"/>
    </xf>
    <xf numFmtId="0" fontId="198" fillId="167" borderId="202" xfId="60" applyFont="1" applyFill="1" applyBorder="1" applyAlignment="1">
      <alignment horizontal="center" vertical="center" wrapText="1"/>
    </xf>
    <xf numFmtId="0" fontId="179" fillId="167" borderId="161" xfId="60" applyFont="1" applyFill="1" applyBorder="1" applyAlignment="1">
      <alignment horizontal="center" vertical="center" wrapText="1"/>
    </xf>
    <xf numFmtId="0" fontId="179" fillId="167" borderId="162" xfId="60" applyFont="1" applyFill="1" applyBorder="1" applyAlignment="1">
      <alignment horizontal="center" vertical="center" wrapText="1"/>
    </xf>
    <xf numFmtId="0" fontId="179" fillId="207" borderId="161" xfId="60" applyFont="1" applyFill="1" applyBorder="1" applyAlignment="1">
      <alignment horizontal="center" vertical="center" wrapText="1"/>
    </xf>
    <xf numFmtId="0" fontId="179" fillId="207" borderId="162" xfId="60" applyFont="1" applyFill="1" applyBorder="1" applyAlignment="1">
      <alignment horizontal="center" vertical="center" wrapText="1"/>
    </xf>
    <xf numFmtId="0" fontId="179" fillId="179" borderId="161" xfId="60" applyFont="1" applyFill="1" applyBorder="1" applyAlignment="1">
      <alignment horizontal="center" vertical="center" wrapText="1"/>
    </xf>
    <xf numFmtId="0" fontId="179" fillId="179" borderId="162" xfId="60" applyFont="1" applyFill="1" applyBorder="1" applyAlignment="1">
      <alignment horizontal="center" vertical="center" wrapText="1"/>
    </xf>
    <xf numFmtId="0" fontId="184" fillId="178" borderId="161" xfId="60" applyFont="1" applyFill="1" applyBorder="1" applyAlignment="1">
      <alignment horizontal="center" vertical="center" wrapText="1"/>
    </xf>
    <xf numFmtId="0" fontId="184" fillId="178" borderId="169" xfId="60" applyFont="1" applyFill="1" applyBorder="1" applyAlignment="1">
      <alignment horizontal="center" vertical="center" wrapText="1"/>
    </xf>
    <xf numFmtId="0" fontId="184" fillId="178" borderId="196" xfId="60" applyFont="1" applyFill="1" applyBorder="1" applyAlignment="1">
      <alignment horizontal="center" vertical="center" wrapText="1"/>
    </xf>
    <xf numFmtId="0" fontId="197" fillId="167" borderId="187" xfId="60" applyFont="1" applyFill="1" applyBorder="1" applyAlignment="1">
      <alignment horizontal="left" vertical="center" wrapText="1"/>
    </xf>
    <xf numFmtId="0" fontId="197" fillId="167" borderId="168" xfId="60" applyFont="1" applyFill="1" applyBorder="1" applyAlignment="1">
      <alignment horizontal="left" vertical="center" wrapText="1"/>
    </xf>
    <xf numFmtId="0" fontId="197" fillId="167" borderId="160" xfId="60" applyFont="1" applyFill="1" applyBorder="1" applyAlignment="1">
      <alignment horizontal="left" vertical="center" wrapText="1"/>
    </xf>
    <xf numFmtId="0" fontId="197" fillId="167" borderId="181" xfId="60" applyFont="1" applyFill="1" applyBorder="1" applyAlignment="1">
      <alignment horizontal="left" vertical="center" wrapText="1"/>
    </xf>
    <xf numFmtId="0" fontId="197" fillId="167" borderId="166" xfId="60" applyFont="1" applyFill="1" applyBorder="1" applyAlignment="1">
      <alignment horizontal="left" vertical="center" wrapText="1"/>
    </xf>
    <xf numFmtId="0" fontId="230" fillId="166" borderId="159" xfId="60" applyFont="1" applyFill="1" applyAlignment="1">
      <alignment horizontal="center" vertical="center"/>
    </xf>
    <xf numFmtId="0" fontId="202" fillId="167" borderId="199" xfId="60" applyFont="1" applyFill="1" applyBorder="1" applyAlignment="1">
      <alignment horizontal="center" vertical="center" wrapText="1"/>
    </xf>
    <xf numFmtId="0" fontId="202" fillId="167" borderId="207" xfId="60" applyFont="1" applyFill="1" applyBorder="1" applyAlignment="1">
      <alignment horizontal="center" vertical="center" wrapText="1"/>
    </xf>
    <xf numFmtId="0" fontId="184" fillId="167" borderId="167" xfId="60" applyFont="1" applyFill="1" applyBorder="1" applyAlignment="1">
      <alignment horizontal="center" vertical="center"/>
    </xf>
    <xf numFmtId="0" fontId="184" fillId="167" borderId="168" xfId="60" applyFont="1" applyFill="1" applyBorder="1" applyAlignment="1">
      <alignment horizontal="center" vertical="center"/>
    </xf>
    <xf numFmtId="0" fontId="206" fillId="197" borderId="159" xfId="60" applyFont="1" applyFill="1" applyAlignment="1">
      <alignment horizontal="left" vertical="center"/>
    </xf>
    <xf numFmtId="0" fontId="206" fillId="198" borderId="159" xfId="60" applyFont="1" applyFill="1" applyAlignment="1">
      <alignment horizontal="left" vertical="center"/>
    </xf>
    <xf numFmtId="0" fontId="206" fillId="195" borderId="159" xfId="60" applyFont="1" applyFill="1" applyAlignment="1">
      <alignment horizontal="left" vertical="center"/>
    </xf>
    <xf numFmtId="0" fontId="206" fillId="196" borderId="159" xfId="60" applyFont="1" applyFill="1" applyAlignment="1">
      <alignment horizontal="left" vertical="center"/>
    </xf>
    <xf numFmtId="0" fontId="206" fillId="171" borderId="159" xfId="60" applyFont="1" applyFill="1" applyAlignment="1">
      <alignment horizontal="left" vertical="center"/>
    </xf>
    <xf numFmtId="0" fontId="234" fillId="162" borderId="159" xfId="60" applyNumberFormat="1" applyFont="1" applyFill="1" applyBorder="1"/>
    <xf numFmtId="0" fontId="235" fillId="162" borderId="159" xfId="60" applyNumberFormat="1" applyFont="1" applyFill="1" applyBorder="1"/>
    <xf numFmtId="0" fontId="236" fillId="162" borderId="159" xfId="60" applyNumberFormat="1" applyFont="1" applyFill="1" applyBorder="1"/>
    <xf numFmtId="0" fontId="234" fillId="215" borderId="159" xfId="60" applyNumberFormat="1" applyFont="1" applyFill="1" applyBorder="1"/>
    <xf numFmtId="0" fontId="237" fillId="215" borderId="159" xfId="60" applyNumberFormat="1" applyFont="1" applyFill="1" applyBorder="1"/>
    <xf numFmtId="0" fontId="237" fillId="215" borderId="159" xfId="60" applyNumberFormat="1" applyFont="1" applyFill="1" applyBorder="1" applyAlignment="1">
      <alignment wrapText="1"/>
    </xf>
    <xf numFmtId="0" fontId="237" fillId="215" borderId="159" xfId="60" applyNumberFormat="1" applyFont="1" applyFill="1" applyBorder="1" applyAlignment="1">
      <alignment vertical="center" wrapText="1"/>
    </xf>
    <xf numFmtId="165" fontId="234" fillId="162" borderId="159" xfId="60" applyNumberFormat="1" applyFont="1" applyFill="1" applyBorder="1"/>
    <xf numFmtId="0" fontId="234" fillId="162" borderId="159" xfId="60" applyNumberFormat="1" applyFont="1" applyFill="1" applyBorder="1" applyAlignment="1">
      <alignment horizontal="right"/>
    </xf>
    <xf numFmtId="165" fontId="234" fillId="162" borderId="159" xfId="60" applyNumberFormat="1" applyFont="1" applyFill="1" applyBorder="1" applyAlignment="1">
      <alignment horizontal="right"/>
    </xf>
    <xf numFmtId="0" fontId="234" fillId="216" borderId="159" xfId="60" applyNumberFormat="1" applyFont="1" applyFill="1" applyBorder="1"/>
    <xf numFmtId="0" fontId="234" fillId="216" borderId="159" xfId="60" applyNumberFormat="1" applyFont="1" applyFill="1" applyBorder="1" applyAlignment="1">
      <alignment horizontal="right"/>
    </xf>
    <xf numFmtId="165" fontId="234" fillId="216" borderId="159" xfId="60" applyNumberFormat="1" applyFont="1" applyFill="1" applyBorder="1" applyAlignment="1">
      <alignment horizontal="right"/>
    </xf>
    <xf numFmtId="0" fontId="238" fillId="216" borderId="159" xfId="60" applyNumberFormat="1" applyFont="1" applyFill="1" applyBorder="1"/>
    <xf numFmtId="0" fontId="238" fillId="216" borderId="159" xfId="60" applyNumberFormat="1" applyFont="1" applyFill="1" applyBorder="1" applyAlignment="1">
      <alignment horizontal="right"/>
    </xf>
    <xf numFmtId="165" fontId="238" fillId="216" borderId="159" xfId="60" applyNumberFormat="1" applyFont="1" applyFill="1" applyBorder="1" applyAlignment="1">
      <alignment horizontal="right"/>
    </xf>
    <xf numFmtId="0" fontId="234" fillId="217" borderId="159" xfId="60" applyNumberFormat="1" applyFont="1" applyFill="1" applyBorder="1"/>
    <xf numFmtId="0" fontId="234" fillId="217" borderId="159" xfId="60" applyNumberFormat="1" applyFont="1" applyFill="1" applyBorder="1" applyAlignment="1">
      <alignment horizontal="right"/>
    </xf>
    <xf numFmtId="165" fontId="234" fillId="217" borderId="159" xfId="60" applyNumberFormat="1" applyFont="1" applyFill="1" applyBorder="1" applyAlignment="1">
      <alignment horizontal="right"/>
    </xf>
    <xf numFmtId="0" fontId="234" fillId="217" borderId="159" xfId="60" applyNumberFormat="1" applyFont="1" applyFill="1" applyBorder="1" applyAlignment="1">
      <alignment wrapText="1"/>
    </xf>
    <xf numFmtId="0" fontId="234" fillId="162" borderId="159" xfId="60" applyNumberFormat="1" applyFont="1" applyFill="1" applyBorder="1" applyAlignment="1">
      <alignment wrapText="1"/>
    </xf>
    <xf numFmtId="165" fontId="234" fillId="217" borderId="159" xfId="60" applyNumberFormat="1" applyFont="1" applyFill="1" applyBorder="1"/>
    <xf numFmtId="166" fontId="234" fillId="162" borderId="159" xfId="60" applyNumberFormat="1" applyFont="1" applyFill="1" applyBorder="1"/>
    <xf numFmtId="166" fontId="234" fillId="217" borderId="159" xfId="60" applyNumberFormat="1" applyFont="1" applyFill="1" applyBorder="1"/>
    <xf numFmtId="0" fontId="239" fillId="162" borderId="159" xfId="60" applyNumberFormat="1" applyFont="1" applyFill="1" applyBorder="1"/>
    <xf numFmtId="0" fontId="240" fillId="114" borderId="108" xfId="40" applyNumberFormat="1" applyFont="1" applyFill="1" applyBorder="1" applyAlignment="1">
      <alignment horizontal="right" vertical="center" wrapText="1"/>
    </xf>
    <xf numFmtId="0" fontId="240" fillId="114" borderId="109" xfId="40" applyNumberFormat="1" applyFont="1" applyFill="1" applyBorder="1" applyAlignment="1">
      <alignment horizontal="right" vertical="center" wrapText="1"/>
    </xf>
    <xf numFmtId="0" fontId="241" fillId="114" borderId="108" xfId="40" applyNumberFormat="1" applyFont="1" applyFill="1" applyBorder="1" applyAlignment="1">
      <alignment horizontal="center" vertical="center" wrapText="1"/>
    </xf>
    <xf numFmtId="0" fontId="241" fillId="114" borderId="109" xfId="40" applyNumberFormat="1" applyFont="1" applyFill="1" applyBorder="1" applyAlignment="1">
      <alignment horizontal="center" vertical="center" wrapText="1"/>
    </xf>
    <xf numFmtId="0" fontId="241" fillId="154" borderId="108" xfId="40" applyNumberFormat="1" applyFont="1" applyFill="1" applyBorder="1" applyAlignment="1">
      <alignment horizontal="center" vertical="center" wrapText="1"/>
    </xf>
    <xf numFmtId="0" fontId="241" fillId="154" borderId="109" xfId="40" applyNumberFormat="1" applyFont="1" applyFill="1" applyBorder="1" applyAlignment="1">
      <alignment horizontal="center" vertical="center" wrapText="1"/>
    </xf>
    <xf numFmtId="0" fontId="241" fillId="126" borderId="108" xfId="40" applyNumberFormat="1" applyFont="1" applyFill="1" applyBorder="1" applyAlignment="1">
      <alignment horizontal="center" vertical="center" wrapText="1"/>
    </xf>
    <xf numFmtId="0" fontId="241" fillId="126" borderId="109" xfId="40" applyNumberFormat="1" applyFont="1" applyFill="1" applyBorder="1" applyAlignment="1">
      <alignment horizontal="center" vertical="center" wrapText="1"/>
    </xf>
    <xf numFmtId="0" fontId="241" fillId="115" borderId="108" xfId="40" applyNumberFormat="1" applyFont="1" applyFill="1" applyBorder="1" applyAlignment="1">
      <alignment horizontal="center" vertical="center" wrapText="1"/>
    </xf>
    <xf numFmtId="0" fontId="241" fillId="115" borderId="150" xfId="40" applyNumberFormat="1" applyFont="1" applyFill="1" applyBorder="1" applyAlignment="1">
      <alignment vertical="center" wrapText="1"/>
    </xf>
    <xf numFmtId="0" fontId="241" fillId="125" borderId="156" xfId="40" applyNumberFormat="1" applyFont="1" applyFill="1" applyBorder="1" applyAlignment="1">
      <alignment horizontal="center" vertical="center" wrapText="1"/>
    </xf>
    <xf numFmtId="0" fontId="240" fillId="114" borderId="110" xfId="40" applyNumberFormat="1" applyFont="1" applyFill="1" applyBorder="1" applyAlignment="1">
      <alignment horizontal="right" vertical="center" wrapText="1"/>
    </xf>
    <xf numFmtId="0" fontId="240" fillId="114" borderId="111" xfId="40" applyNumberFormat="1" applyFont="1" applyFill="1" applyBorder="1" applyAlignment="1">
      <alignment horizontal="right" vertical="center" wrapText="1"/>
    </xf>
    <xf numFmtId="0" fontId="241" fillId="114" borderId="110" xfId="40" applyNumberFormat="1" applyFont="1" applyFill="1" applyBorder="1" applyAlignment="1">
      <alignment horizontal="center" vertical="center" wrapText="1"/>
    </xf>
    <xf numFmtId="0" fontId="241" fillId="114" borderId="155" xfId="40" applyNumberFormat="1" applyFont="1" applyFill="1" applyBorder="1" applyAlignment="1">
      <alignment horizontal="center" vertical="center" wrapText="1"/>
    </xf>
    <xf numFmtId="0" fontId="241" fillId="154" borderId="138" xfId="40" applyNumberFormat="1" applyFont="1" applyFill="1" applyBorder="1" applyAlignment="1">
      <alignment horizontal="center" vertical="center" wrapText="1"/>
    </xf>
    <xf numFmtId="0" fontId="241" fillId="154" borderId="155" xfId="40" applyNumberFormat="1" applyFont="1" applyFill="1" applyBorder="1" applyAlignment="1">
      <alignment horizontal="center" vertical="center" wrapText="1"/>
    </xf>
    <xf numFmtId="0" fontId="241" fillId="152" borderId="138" xfId="40" applyNumberFormat="1" applyFont="1" applyFill="1" applyBorder="1" applyAlignment="1">
      <alignment horizontal="center" vertical="center" wrapText="1"/>
    </xf>
    <xf numFmtId="0" fontId="241" fillId="152" borderId="155" xfId="40" applyNumberFormat="1" applyFont="1" applyFill="1" applyBorder="1" applyAlignment="1">
      <alignment horizontal="center" vertical="center" wrapText="1"/>
    </xf>
    <xf numFmtId="0" fontId="241" fillId="115" borderId="110" xfId="40" applyNumberFormat="1" applyFont="1" applyFill="1" applyBorder="1" applyAlignment="1">
      <alignment horizontal="center" vertical="center" wrapText="1"/>
    </xf>
    <xf numFmtId="0" fontId="240" fillId="109" borderId="118" xfId="40" applyNumberFormat="1" applyFont="1" applyFill="1" applyBorder="1"/>
    <xf numFmtId="0" fontId="241" fillId="116" borderId="118" xfId="40" applyNumberFormat="1" applyFont="1" applyFill="1" applyBorder="1" applyAlignment="1">
      <alignment horizontal="center" vertical="center" wrapText="1"/>
    </xf>
    <xf numFmtId="0" fontId="241" fillId="122" borderId="118" xfId="40" applyNumberFormat="1" applyFont="1" applyFill="1" applyBorder="1" applyAlignment="1">
      <alignment horizontal="center" vertical="center" wrapText="1"/>
    </xf>
    <xf numFmtId="0" fontId="241" fillId="117" borderId="118" xfId="40" applyNumberFormat="1" applyFont="1" applyFill="1" applyBorder="1" applyAlignment="1">
      <alignment horizontal="center" vertical="center" wrapText="1"/>
    </xf>
    <xf numFmtId="0" fontId="241" fillId="119" borderId="118" xfId="40" applyNumberFormat="1" applyFont="1" applyFill="1" applyBorder="1" applyAlignment="1">
      <alignment horizontal="center" vertical="center" wrapText="1"/>
    </xf>
    <xf numFmtId="0" fontId="241" fillId="118" borderId="118" xfId="40" applyNumberFormat="1" applyFont="1" applyFill="1" applyBorder="1" applyAlignment="1">
      <alignment horizontal="center" vertical="center" wrapText="1"/>
    </xf>
    <xf numFmtId="0" fontId="241" fillId="120" borderId="118" xfId="40" applyNumberFormat="1" applyFont="1" applyFill="1" applyBorder="1" applyAlignment="1">
      <alignment horizontal="center" vertical="center" wrapText="1"/>
    </xf>
    <xf numFmtId="0" fontId="241" fillId="121" borderId="118" xfId="40" applyNumberFormat="1" applyFont="1" applyFill="1" applyBorder="1" applyAlignment="1">
      <alignment horizontal="center" vertical="center" wrapText="1"/>
    </xf>
    <xf numFmtId="0" fontId="240" fillId="113" borderId="118" xfId="40" applyNumberFormat="1" applyFont="1" applyFill="1" applyBorder="1"/>
    <xf numFmtId="0" fontId="241" fillId="125" borderId="118" xfId="40" applyNumberFormat="1" applyFont="1" applyFill="1" applyBorder="1" applyAlignment="1">
      <alignment horizontal="center" vertical="center" wrapText="1"/>
    </xf>
    <xf numFmtId="0" fontId="241" fillId="114" borderId="107" xfId="40" applyNumberFormat="1" applyFont="1" applyFill="1" applyBorder="1" applyAlignment="1">
      <alignment horizontal="left" vertical="center" wrapText="1"/>
    </xf>
    <xf numFmtId="0" fontId="241" fillId="114" borderId="128" xfId="40" applyNumberFormat="1" applyFont="1" applyFill="1" applyBorder="1" applyAlignment="1">
      <alignment horizontal="left" vertical="center" wrapText="1"/>
    </xf>
    <xf numFmtId="0" fontId="241" fillId="114" borderId="112" xfId="40" applyNumberFormat="1" applyFont="1" applyFill="1" applyBorder="1" applyAlignment="1">
      <alignment horizontal="left" vertical="center" wrapText="1"/>
    </xf>
    <xf numFmtId="0" fontId="240" fillId="113" borderId="130" xfId="40" applyNumberFormat="1" applyFont="1" applyFill="1" applyBorder="1" applyAlignment="1">
      <alignment horizontal="center" vertical="center" wrapText="1"/>
    </xf>
    <xf numFmtId="0" fontId="241" fillId="109" borderId="156" xfId="40" applyNumberFormat="1" applyFont="1" applyFill="1" applyBorder="1" applyAlignment="1">
      <alignment vertical="center" wrapText="1"/>
    </xf>
    <xf numFmtId="0" fontId="240" fillId="123" borderId="115" xfId="40" applyNumberFormat="1" applyFont="1" applyFill="1" applyBorder="1" applyAlignment="1">
      <alignment horizontal="left" vertical="center" wrapText="1"/>
    </xf>
    <xf numFmtId="0" fontId="240" fillId="114" borderId="115" xfId="40" applyNumberFormat="1" applyFont="1" applyFill="1" applyBorder="1" applyAlignment="1">
      <alignment horizontal="center" vertical="center" wrapText="1"/>
    </xf>
    <xf numFmtId="0" fontId="240" fillId="154" borderId="115" xfId="40" applyNumberFormat="1" applyFont="1" applyFill="1" applyBorder="1" applyAlignment="1">
      <alignment horizontal="center" vertical="center" wrapText="1"/>
    </xf>
    <xf numFmtId="0" fontId="240" fillId="160" borderId="115" xfId="40" applyNumberFormat="1" applyFont="1" applyFill="1" applyBorder="1" applyAlignment="1">
      <alignment horizontal="left" vertical="center" wrapText="1"/>
    </xf>
    <xf numFmtId="0" fontId="240" fillId="126" borderId="115" xfId="40" applyNumberFormat="1" applyFont="1" applyFill="1" applyBorder="1" applyAlignment="1">
      <alignment horizontal="center" vertical="center" wrapText="1"/>
    </xf>
    <xf numFmtId="0" fontId="240" fillId="126" borderId="115" xfId="40" applyNumberFormat="1" applyFont="1" applyFill="1" applyBorder="1" applyAlignment="1">
      <alignment vertical="center" wrapText="1"/>
    </xf>
    <xf numFmtId="0" fontId="240" fillId="113" borderId="115" xfId="40" applyNumberFormat="1" applyFont="1" applyFill="1" applyBorder="1" applyAlignment="1">
      <alignment horizontal="center" vertical="center" wrapText="1"/>
    </xf>
    <xf numFmtId="0" fontId="240" fillId="109" borderId="115" xfId="40" applyNumberFormat="1" applyFont="1" applyFill="1" applyBorder="1"/>
    <xf numFmtId="0" fontId="240" fillId="109" borderId="115" xfId="40" applyNumberFormat="1" applyFont="1" applyFill="1" applyBorder="1" applyAlignment="1">
      <alignment wrapText="1"/>
    </xf>
    <xf numFmtId="0" fontId="240" fillId="113" borderId="115" xfId="40" applyNumberFormat="1" applyFont="1" applyFill="1" applyBorder="1"/>
    <xf numFmtId="0" fontId="240" fillId="125" borderId="115" xfId="40" applyNumberFormat="1" applyFont="1" applyFill="1" applyBorder="1" applyAlignment="1">
      <alignment vertical="center" wrapText="1"/>
    </xf>
    <xf numFmtId="0" fontId="240" fillId="113" borderId="114" xfId="40" applyNumberFormat="1" applyFont="1" applyFill="1" applyBorder="1" applyAlignment="1">
      <alignment horizontal="center" vertical="center" wrapText="1"/>
    </xf>
    <xf numFmtId="0" fontId="241" fillId="109" borderId="127" xfId="40" applyNumberFormat="1" applyFont="1" applyFill="1" applyBorder="1" applyAlignment="1">
      <alignment vertical="center" wrapText="1"/>
    </xf>
    <xf numFmtId="0" fontId="240" fillId="150" borderId="115" xfId="40" applyNumberFormat="1" applyFont="1" applyFill="1" applyBorder="1"/>
    <xf numFmtId="0" fontId="240" fillId="150" borderId="115" xfId="40" applyNumberFormat="1" applyFont="1" applyFill="1" applyBorder="1" applyAlignment="1">
      <alignment wrapText="1"/>
    </xf>
    <xf numFmtId="0" fontId="241" fillId="113" borderId="127" xfId="40" applyNumberFormat="1" applyFont="1" applyFill="1" applyBorder="1" applyAlignment="1">
      <alignment vertical="center" wrapText="1"/>
    </xf>
    <xf numFmtId="0" fontId="240" fillId="131" borderId="115" xfId="40" applyNumberFormat="1" applyFont="1" applyFill="1" applyBorder="1"/>
    <xf numFmtId="0" fontId="240" fillId="131" borderId="115" xfId="40" applyNumberFormat="1" applyFont="1" applyFill="1" applyBorder="1" applyAlignment="1">
      <alignment wrapText="1"/>
    </xf>
    <xf numFmtId="0" fontId="240" fillId="125" borderId="115" xfId="40" applyNumberFormat="1" applyFont="1" applyFill="1" applyBorder="1" applyAlignment="1">
      <alignment horizontal="left" vertical="center" wrapText="1"/>
    </xf>
    <xf numFmtId="0" fontId="240" fillId="113" borderId="119" xfId="40" applyNumberFormat="1" applyFont="1" applyFill="1" applyBorder="1" applyAlignment="1">
      <alignment horizontal="center" vertical="center" wrapText="1"/>
    </xf>
    <xf numFmtId="0" fontId="241" fillId="109" borderId="144" xfId="40" applyNumberFormat="1" applyFont="1" applyFill="1" applyBorder="1" applyAlignment="1">
      <alignment vertical="center" wrapText="1"/>
    </xf>
    <xf numFmtId="0" fontId="242" fillId="113" borderId="130" xfId="40" applyNumberFormat="1" applyFont="1" applyFill="1" applyBorder="1" applyAlignment="1">
      <alignment horizontal="center" vertical="center" wrapText="1"/>
    </xf>
    <xf numFmtId="0" fontId="242" fillId="109" borderId="156" xfId="40" applyNumberFormat="1" applyFont="1" applyFill="1" applyBorder="1" applyAlignment="1">
      <alignment vertical="center" wrapText="1"/>
    </xf>
    <xf numFmtId="0" fontId="242" fillId="123" borderId="115" xfId="40" applyNumberFormat="1" applyFont="1" applyFill="1" applyBorder="1" applyAlignment="1">
      <alignment horizontal="left" vertical="center" wrapText="1"/>
    </xf>
    <xf numFmtId="0" fontId="242" fillId="114" borderId="115" xfId="40" applyNumberFormat="1" applyFont="1" applyFill="1" applyBorder="1" applyAlignment="1">
      <alignment horizontal="center" vertical="center" wrapText="1"/>
    </xf>
    <xf numFmtId="0" fontId="242" fillId="154" borderId="115" xfId="40" applyNumberFormat="1" applyFont="1" applyFill="1" applyBorder="1" applyAlignment="1">
      <alignment horizontal="center" vertical="center" wrapText="1"/>
    </xf>
    <xf numFmtId="0" fontId="242" fillId="160"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center" vertical="center" wrapText="1"/>
    </xf>
    <xf numFmtId="0" fontId="242" fillId="126" borderId="115" xfId="40" applyNumberFormat="1" applyFont="1" applyFill="1" applyBorder="1" applyAlignment="1">
      <alignment vertical="center" wrapText="1"/>
    </xf>
    <xf numFmtId="0" fontId="242" fillId="113" borderId="115" xfId="40" applyNumberFormat="1" applyFont="1" applyFill="1" applyBorder="1" applyAlignment="1">
      <alignment horizontal="center" vertical="center" wrapText="1"/>
    </xf>
    <xf numFmtId="0" fontId="242" fillId="109" borderId="115" xfId="40" applyNumberFormat="1" applyFont="1" applyFill="1" applyBorder="1"/>
    <xf numFmtId="0" fontId="242" fillId="109" borderId="115" xfId="40" applyNumberFormat="1" applyFont="1" applyFill="1" applyBorder="1" applyAlignment="1">
      <alignment wrapText="1"/>
    </xf>
    <xf numFmtId="0" fontId="242" fillId="113" borderId="115" xfId="40" applyNumberFormat="1" applyFont="1" applyFill="1" applyBorder="1"/>
    <xf numFmtId="0" fontId="242" fillId="125" borderId="115" xfId="40" applyNumberFormat="1" applyFont="1" applyFill="1" applyBorder="1" applyAlignment="1">
      <alignment vertical="center" wrapText="1"/>
    </xf>
    <xf numFmtId="0" fontId="242" fillId="113" borderId="114" xfId="40" applyNumberFormat="1" applyFont="1" applyFill="1" applyBorder="1" applyAlignment="1">
      <alignment horizontal="center" vertical="center" wrapText="1"/>
    </xf>
    <xf numFmtId="0" fontId="242" fillId="109" borderId="127" xfId="40" applyNumberFormat="1" applyFont="1" applyFill="1" applyBorder="1" applyAlignment="1">
      <alignment vertical="center" wrapText="1"/>
    </xf>
    <xf numFmtId="0" fontId="242" fillId="150" borderId="115" xfId="40" applyNumberFormat="1" applyFont="1" applyFill="1" applyBorder="1"/>
    <xf numFmtId="0" fontId="242" fillId="150" borderId="115" xfId="40" applyNumberFormat="1" applyFont="1" applyFill="1" applyBorder="1" applyAlignment="1">
      <alignment wrapText="1"/>
    </xf>
    <xf numFmtId="0" fontId="242" fillId="113" borderId="127" xfId="40" applyNumberFormat="1" applyFont="1" applyFill="1" applyBorder="1" applyAlignment="1">
      <alignment vertical="center" wrapText="1"/>
    </xf>
    <xf numFmtId="0" fontId="242" fillId="131" borderId="115" xfId="40" applyNumberFormat="1" applyFont="1" applyFill="1" applyBorder="1"/>
    <xf numFmtId="0" fontId="242" fillId="131" borderId="115" xfId="40" applyNumberFormat="1" applyFont="1" applyFill="1" applyBorder="1" applyAlignment="1">
      <alignment wrapText="1"/>
    </xf>
    <xf numFmtId="0" fontId="242" fillId="125" borderId="115" xfId="40" applyNumberFormat="1" applyFont="1" applyFill="1" applyBorder="1" applyAlignment="1">
      <alignment horizontal="left" vertical="center" wrapText="1"/>
    </xf>
    <xf numFmtId="0" fontId="242" fillId="113" borderId="119" xfId="40" applyNumberFormat="1" applyFont="1" applyFill="1" applyBorder="1" applyAlignment="1">
      <alignment horizontal="center" vertical="center" wrapText="1"/>
    </xf>
    <xf numFmtId="0" fontId="242" fillId="109" borderId="144" xfId="40" applyNumberFormat="1" applyFont="1" applyFill="1" applyBorder="1" applyAlignment="1">
      <alignment vertical="center" wrapText="1"/>
    </xf>
    <xf numFmtId="0" fontId="146" fillId="218" borderId="107" xfId="40" applyNumberFormat="1" applyFont="1" applyFill="1" applyBorder="1" applyAlignment="1">
      <alignment horizontal="left" vertical="center" wrapText="1"/>
    </xf>
    <xf numFmtId="0" fontId="146" fillId="218" borderId="128" xfId="40" applyNumberFormat="1" applyFont="1" applyFill="1" applyBorder="1" applyAlignment="1">
      <alignment horizontal="left" vertical="center" wrapText="1"/>
    </xf>
    <xf numFmtId="0" fontId="146" fillId="218" borderId="113" xfId="40" applyNumberFormat="1" applyFont="1" applyFill="1" applyBorder="1" applyAlignment="1">
      <alignment horizontal="left" vertical="center" wrapText="1"/>
    </xf>
    <xf numFmtId="0" fontId="125" fillId="218" borderId="106" xfId="40" applyNumberFormat="1" applyFont="1" applyFill="1" applyBorder="1" applyAlignment="1">
      <alignment horizontal="justify"/>
    </xf>
    <xf numFmtId="0" fontId="122" fillId="218" borderId="152" xfId="40" applyNumberFormat="1" applyFont="1" applyFill="1" applyBorder="1" applyAlignment="1">
      <alignment horizontal="center" vertical="center" wrapText="1"/>
    </xf>
    <xf numFmtId="0" fontId="122" fillId="218" borderId="106" xfId="40" applyNumberFormat="1" applyFont="1" applyFill="1" applyBorder="1" applyAlignment="1">
      <alignment horizontal="center" vertical="center" wrapText="1"/>
    </xf>
    <xf numFmtId="0" fontId="243" fillId="218" borderId="107" xfId="40" applyNumberFormat="1" applyFont="1" applyFill="1" applyBorder="1" applyAlignment="1">
      <alignment horizontal="left" vertical="center" wrapText="1"/>
    </xf>
    <xf numFmtId="0" fontId="243" fillId="218" borderId="128" xfId="40" applyNumberFormat="1" applyFont="1" applyFill="1" applyBorder="1" applyAlignment="1">
      <alignment horizontal="left" vertical="center" wrapText="1"/>
    </xf>
    <xf numFmtId="0" fontId="243" fillId="218" borderId="113" xfId="40" applyNumberFormat="1" applyFont="1" applyFill="1" applyBorder="1" applyAlignment="1">
      <alignment horizontal="left" vertical="center" wrapText="1"/>
    </xf>
    <xf numFmtId="0" fontId="243" fillId="218" borderId="106" xfId="40" applyNumberFormat="1" applyFont="1" applyFill="1" applyBorder="1" applyAlignment="1">
      <alignment horizontal="justify"/>
    </xf>
    <xf numFmtId="0" fontId="243" fillId="218" borderId="152" xfId="40" applyNumberFormat="1" applyFont="1" applyFill="1" applyBorder="1" applyAlignment="1">
      <alignment horizontal="center" vertical="center" wrapText="1"/>
    </xf>
    <xf numFmtId="0" fontId="243" fillId="218" borderId="106" xfId="40" applyNumberFormat="1" applyFont="1" applyFill="1" applyBorder="1" applyAlignment="1">
      <alignment horizontal="center" vertical="center" wrapText="1"/>
    </xf>
    <xf numFmtId="0" fontId="243" fillId="218" borderId="106" xfId="40" applyNumberFormat="1" applyFont="1" applyFill="1" applyBorder="1" applyAlignment="1">
      <alignment horizontal="justify" wrapText="1"/>
    </xf>
    <xf numFmtId="0" fontId="243" fillId="218" borderId="106" xfId="40" applyNumberFormat="1" applyFont="1" applyFill="1" applyBorder="1" applyAlignment="1">
      <alignment horizontal="justify" vertical="center" wrapText="1"/>
    </xf>
    <xf numFmtId="0" fontId="240" fillId="219" borderId="108" xfId="40" applyNumberFormat="1" applyFont="1" applyFill="1" applyBorder="1" applyAlignment="1">
      <alignment horizontal="right" vertical="center" wrapText="1"/>
    </xf>
    <xf numFmtId="0" fontId="240" fillId="219" borderId="109" xfId="40" applyNumberFormat="1" applyFont="1" applyFill="1" applyBorder="1" applyAlignment="1">
      <alignment horizontal="right" vertical="center" wrapText="1"/>
    </xf>
    <xf numFmtId="0" fontId="240" fillId="219" borderId="110" xfId="40" applyNumberFormat="1" applyFont="1" applyFill="1" applyBorder="1" applyAlignment="1">
      <alignment horizontal="right" vertical="center" wrapText="1"/>
    </xf>
    <xf numFmtId="0" fontId="240"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right" vertical="center" wrapText="1"/>
    </xf>
    <xf numFmtId="0" fontId="244" fillId="219" borderId="109" xfId="40" applyNumberFormat="1" applyFont="1" applyFill="1" applyBorder="1" applyAlignment="1">
      <alignment horizontal="right" vertical="center" wrapText="1"/>
    </xf>
    <xf numFmtId="0" fontId="244" fillId="219" borderId="110" xfId="40" applyNumberFormat="1" applyFont="1" applyFill="1" applyBorder="1" applyAlignment="1">
      <alignment horizontal="right" vertical="center" wrapText="1"/>
    </xf>
    <xf numFmtId="0" fontId="244"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center" vertical="center" wrapText="1"/>
    </xf>
    <xf numFmtId="0" fontId="244" fillId="219" borderId="109" xfId="40" applyNumberFormat="1" applyFont="1" applyFill="1" applyBorder="1" applyAlignment="1">
      <alignment horizontal="center" vertical="center" wrapText="1"/>
    </xf>
    <xf numFmtId="0" fontId="244" fillId="219" borderId="110" xfId="40" applyNumberFormat="1" applyFont="1" applyFill="1" applyBorder="1" applyAlignment="1">
      <alignment horizontal="center" vertical="center" wrapText="1"/>
    </xf>
    <xf numFmtId="0" fontId="244" fillId="219" borderId="111" xfId="40" applyNumberFormat="1" applyFont="1" applyFill="1" applyBorder="1" applyAlignment="1">
      <alignment horizontal="center" vertical="center" wrapText="1"/>
    </xf>
    <xf numFmtId="0" fontId="241" fillId="218" borderId="108" xfId="40" applyNumberFormat="1" applyFont="1" applyFill="1" applyBorder="1" applyAlignment="1">
      <alignment horizontal="center" vertical="center" wrapText="1"/>
    </xf>
    <xf numFmtId="0" fontId="241" fillId="218" borderId="109" xfId="40" applyNumberFormat="1" applyFont="1" applyFill="1" applyBorder="1" applyAlignment="1">
      <alignment horizontal="center" vertical="center" wrapText="1"/>
    </xf>
    <xf numFmtId="0" fontId="241" fillId="218" borderId="110" xfId="40" applyNumberFormat="1" applyFont="1" applyFill="1" applyBorder="1" applyAlignment="1">
      <alignment horizontal="center" vertical="center" wrapText="1"/>
    </xf>
    <xf numFmtId="0" fontId="241" fillId="218" borderId="155" xfId="40" applyNumberFormat="1" applyFont="1" applyFill="1" applyBorder="1" applyAlignment="1">
      <alignment horizontal="center" vertical="center" wrapText="1"/>
    </xf>
    <xf numFmtId="0" fontId="241" fillId="220" borderId="108" xfId="40" applyNumberFormat="1" applyFont="1" applyFill="1" applyBorder="1" applyAlignment="1">
      <alignment horizontal="center" vertical="center" wrapText="1"/>
    </xf>
    <xf numFmtId="0" fontId="241" fillId="220" borderId="109" xfId="40" applyNumberFormat="1" applyFont="1" applyFill="1" applyBorder="1" applyAlignment="1">
      <alignment horizontal="center" vertical="center" wrapText="1"/>
    </xf>
    <xf numFmtId="0" fontId="241" fillId="220" borderId="138" xfId="40" applyNumberFormat="1" applyFont="1" applyFill="1" applyBorder="1" applyAlignment="1">
      <alignment horizontal="center" vertical="center" wrapText="1"/>
    </xf>
    <xf numFmtId="0" fontId="241" fillId="220" borderId="155" xfId="40" applyNumberFormat="1" applyFont="1" applyFill="1" applyBorder="1" applyAlignment="1">
      <alignment horizontal="center" vertical="center" wrapText="1"/>
    </xf>
    <xf numFmtId="0" fontId="241" fillId="221" borderId="108" xfId="40" applyNumberFormat="1" applyFont="1" applyFill="1" applyBorder="1" applyAlignment="1">
      <alignment horizontal="center" vertical="center" wrapText="1"/>
    </xf>
    <xf numFmtId="0" fontId="241" fillId="221" borderId="109" xfId="40" applyNumberFormat="1" applyFont="1" applyFill="1" applyBorder="1" applyAlignment="1">
      <alignment horizontal="center" vertical="center" wrapText="1"/>
    </xf>
    <xf numFmtId="0" fontId="241" fillId="221" borderId="138" xfId="40" applyNumberFormat="1" applyFont="1" applyFill="1" applyBorder="1" applyAlignment="1">
      <alignment horizontal="center" vertical="center" wrapText="1"/>
    </xf>
    <xf numFmtId="0" fontId="241" fillId="221" borderId="155" xfId="40" applyNumberFormat="1" applyFont="1" applyFill="1" applyBorder="1" applyAlignment="1">
      <alignment horizontal="center" vertical="center" wrapText="1"/>
    </xf>
    <xf numFmtId="0" fontId="241" fillId="222" borderId="108" xfId="40" applyNumberFormat="1" applyFont="1" applyFill="1" applyBorder="1" applyAlignment="1">
      <alignment horizontal="center" vertical="center" wrapText="1"/>
    </xf>
    <xf numFmtId="0" fontId="241" fillId="222" borderId="110" xfId="40" applyNumberFormat="1" applyFont="1" applyFill="1" applyBorder="1" applyAlignment="1">
      <alignment horizontal="center" vertical="center" wrapText="1"/>
    </xf>
    <xf numFmtId="0" fontId="241" fillId="218" borderId="156" xfId="40" applyNumberFormat="1" applyFont="1" applyFill="1" applyBorder="1" applyAlignment="1">
      <alignment horizontal="center" vertical="center" wrapText="1"/>
    </xf>
    <xf numFmtId="0" fontId="136" fillId="218" borderId="137" xfId="40" applyNumberFormat="1" applyFont="1" applyFill="1" applyBorder="1" applyAlignment="1">
      <alignment horizontal="center" vertical="center" wrapText="1"/>
    </xf>
    <xf numFmtId="0" fontId="241" fillId="218" borderId="118" xfId="40" applyNumberFormat="1" applyFont="1" applyFill="1" applyBorder="1" applyAlignment="1">
      <alignment horizontal="center" vertical="center" wrapText="1"/>
    </xf>
    <xf numFmtId="0" fontId="136" fillId="218" borderId="145" xfId="40" applyNumberFormat="1" applyFont="1" applyFill="1" applyBorder="1" applyAlignment="1">
      <alignment horizontal="center" vertical="center" wrapText="1"/>
    </xf>
    <xf numFmtId="0" fontId="136" fillId="218" borderId="115" xfId="40" applyNumberFormat="1" applyFont="1" applyFill="1" applyBorder="1" applyAlignment="1">
      <alignment horizontal="center" vertical="center" wrapText="1"/>
    </xf>
    <xf numFmtId="0" fontId="241" fillId="109" borderId="118" xfId="40" applyNumberFormat="1" applyFont="1" applyFill="1" applyBorder="1"/>
    <xf numFmtId="0" fontId="241" fillId="113" borderId="118" xfId="40" applyNumberFormat="1" applyFont="1" applyFill="1" applyBorder="1"/>
    <xf numFmtId="0" fontId="241" fillId="109" borderId="118" xfId="40" applyNumberFormat="1" applyFont="1" applyFill="1" applyBorder="1" applyAlignment="1">
      <alignment wrapText="1"/>
    </xf>
    <xf numFmtId="0" fontId="241" fillId="113" borderId="118" xfId="40" applyNumberFormat="1" applyFont="1" applyFill="1" applyBorder="1" applyAlignment="1">
      <alignment wrapText="1"/>
    </xf>
    <xf numFmtId="0" fontId="241" fillId="109" borderId="118" xfId="40" applyNumberFormat="1" applyFont="1" applyFill="1" applyBorder="1" applyAlignment="1">
      <alignment vertical="center" wrapText="1"/>
    </xf>
    <xf numFmtId="0" fontId="241" fillId="113" borderId="118" xfId="40" applyNumberFormat="1" applyFont="1" applyFill="1" applyBorder="1" applyAlignment="1">
      <alignment vertical="center" wrapText="1"/>
    </xf>
    <xf numFmtId="0" fontId="241" fillId="223" borderId="107" xfId="40" applyNumberFormat="1" applyFont="1" applyFill="1" applyBorder="1" applyAlignment="1">
      <alignment horizontal="left" vertical="center" wrapText="1"/>
    </xf>
    <xf numFmtId="0" fontId="241" fillId="223" borderId="128" xfId="40" applyNumberFormat="1" applyFont="1" applyFill="1" applyBorder="1" applyAlignment="1">
      <alignment horizontal="left" vertical="center" wrapText="1"/>
    </xf>
    <xf numFmtId="0" fontId="241" fillId="223" borderId="112" xfId="40" applyNumberFormat="1" applyFont="1" applyFill="1" applyBorder="1" applyAlignment="1">
      <alignment horizontal="left" vertical="center" wrapText="1"/>
    </xf>
    <xf numFmtId="0" fontId="136" fillId="223" borderId="128" xfId="40" applyNumberFormat="1" applyFont="1" applyFill="1" applyBorder="1" applyAlignment="1">
      <alignment horizontal="left" vertical="center" wrapText="1"/>
    </xf>
    <xf numFmtId="0" fontId="245" fillId="223" borderId="107" xfId="40" applyNumberFormat="1" applyFont="1" applyFill="1" applyBorder="1" applyAlignment="1">
      <alignment horizontal="left" vertical="center" wrapText="1"/>
    </xf>
    <xf numFmtId="0" fontId="245" fillId="223" borderId="128" xfId="40" applyNumberFormat="1" applyFont="1" applyFill="1" applyBorder="1" applyAlignment="1">
      <alignment horizontal="left" vertical="center" wrapText="1"/>
    </xf>
    <xf numFmtId="0" fontId="245" fillId="223" borderId="112" xfId="40" applyNumberFormat="1" applyFont="1" applyFill="1" applyBorder="1" applyAlignment="1">
      <alignment horizontal="left" vertical="center" wrapText="1"/>
    </xf>
    <xf numFmtId="0" fontId="242" fillId="113" borderId="130" xfId="40" applyNumberFormat="1" applyFont="1" applyFill="1" applyBorder="1" applyAlignment="1">
      <alignment horizontal="center" vertical="top" wrapText="1"/>
    </xf>
    <xf numFmtId="0" fontId="242" fillId="109" borderId="156" xfId="40" applyNumberFormat="1" applyFont="1" applyFill="1" applyBorder="1" applyAlignment="1">
      <alignment vertical="top" wrapText="1"/>
    </xf>
    <xf numFmtId="0" fontId="242" fillId="123" borderId="115" xfId="40" applyNumberFormat="1" applyFont="1" applyFill="1" applyBorder="1" applyAlignment="1">
      <alignment horizontal="left" vertical="top" wrapText="1"/>
    </xf>
    <xf numFmtId="0" fontId="242" fillId="114" borderId="115" xfId="40" applyNumberFormat="1" applyFont="1" applyFill="1" applyBorder="1" applyAlignment="1">
      <alignment horizontal="center" vertical="top" wrapText="1"/>
    </xf>
    <xf numFmtId="0" fontId="242" fillId="154" borderId="115" xfId="40" applyNumberFormat="1" applyFont="1" applyFill="1" applyBorder="1" applyAlignment="1">
      <alignment horizontal="center" vertical="top" wrapText="1"/>
    </xf>
    <xf numFmtId="0" fontId="242" fillId="160" borderId="115" xfId="40" applyNumberFormat="1" applyFont="1" applyFill="1" applyBorder="1" applyAlignment="1">
      <alignment horizontal="left" vertical="top" wrapText="1"/>
    </xf>
    <xf numFmtId="0" fontId="242" fillId="126" borderId="115" xfId="40" applyNumberFormat="1" applyFont="1" applyFill="1" applyBorder="1" applyAlignment="1">
      <alignment horizontal="center" vertical="top" wrapText="1"/>
    </xf>
    <xf numFmtId="0" fontId="242" fillId="126" borderId="115" xfId="40" applyNumberFormat="1" applyFont="1" applyFill="1" applyBorder="1" applyAlignment="1">
      <alignment vertical="top" wrapText="1"/>
    </xf>
    <xf numFmtId="0" fontId="242" fillId="113" borderId="115" xfId="40" applyNumberFormat="1" applyFont="1" applyFill="1" applyBorder="1" applyAlignment="1">
      <alignment horizontal="center" vertical="top" wrapText="1"/>
    </xf>
    <xf numFmtId="0" fontId="242" fillId="109" borderId="115" xfId="40" applyNumberFormat="1" applyFont="1" applyFill="1" applyBorder="1" applyAlignment="1">
      <alignment vertical="top"/>
    </xf>
    <xf numFmtId="0" fontId="242" fillId="109" borderId="115" xfId="40" applyNumberFormat="1" applyFont="1" applyFill="1" applyBorder="1" applyAlignment="1">
      <alignment vertical="top" wrapText="1"/>
    </xf>
    <xf numFmtId="0" fontId="242" fillId="113" borderId="115" xfId="40" applyNumberFormat="1" applyFont="1" applyFill="1" applyBorder="1" applyAlignment="1">
      <alignment vertical="top"/>
    </xf>
    <xf numFmtId="0" fontId="242" fillId="125" borderId="115" xfId="40" applyNumberFormat="1" applyFont="1" applyFill="1" applyBorder="1" applyAlignment="1">
      <alignment vertical="top" wrapText="1"/>
    </xf>
    <xf numFmtId="0" fontId="242" fillId="113" borderId="114" xfId="40" applyNumberFormat="1" applyFont="1" applyFill="1" applyBorder="1" applyAlignment="1">
      <alignment horizontal="center" vertical="top" wrapText="1"/>
    </xf>
    <xf numFmtId="0" fontId="242" fillId="109" borderId="127" xfId="40" applyNumberFormat="1" applyFont="1" applyFill="1" applyBorder="1" applyAlignment="1">
      <alignment vertical="top" wrapText="1"/>
    </xf>
    <xf numFmtId="0" fontId="242" fillId="150" borderId="115" xfId="40" applyNumberFormat="1" applyFont="1" applyFill="1" applyBorder="1" applyAlignment="1">
      <alignment vertical="top"/>
    </xf>
    <xf numFmtId="0" fontId="242" fillId="150" borderId="115" xfId="40" applyNumberFormat="1" applyFont="1" applyFill="1" applyBorder="1" applyAlignment="1">
      <alignment vertical="top" wrapText="1"/>
    </xf>
    <xf numFmtId="0" fontId="242" fillId="113" borderId="127" xfId="40" applyNumberFormat="1" applyFont="1" applyFill="1" applyBorder="1" applyAlignment="1">
      <alignment vertical="top" wrapText="1"/>
    </xf>
    <xf numFmtId="0" fontId="242" fillId="131" borderId="115" xfId="40" applyNumberFormat="1" applyFont="1" applyFill="1" applyBorder="1" applyAlignment="1">
      <alignment vertical="top"/>
    </xf>
    <xf numFmtId="0" fontId="242" fillId="131" borderId="115" xfId="40" applyNumberFormat="1" applyFont="1" applyFill="1" applyBorder="1" applyAlignment="1">
      <alignment vertical="top" wrapText="1"/>
    </xf>
    <xf numFmtId="0" fontId="242" fillId="125" borderId="115" xfId="40" applyNumberFormat="1" applyFont="1" applyFill="1" applyBorder="1" applyAlignment="1">
      <alignment horizontal="left" vertical="top" wrapText="1"/>
    </xf>
    <xf numFmtId="0" fontId="242" fillId="113" borderId="119" xfId="40" applyNumberFormat="1" applyFont="1" applyFill="1" applyBorder="1" applyAlignment="1">
      <alignment horizontal="center" vertical="top" wrapText="1"/>
    </xf>
    <xf numFmtId="0" fontId="242" fillId="109" borderId="144" xfId="40" applyNumberFormat="1" applyFont="1" applyFill="1" applyBorder="1" applyAlignment="1">
      <alignment vertical="top" wrapText="1"/>
    </xf>
    <xf numFmtId="0" fontId="242" fillId="113" borderId="115" xfId="40" applyNumberFormat="1" applyFont="1" applyFill="1" applyBorder="1" applyAlignment="1">
      <alignment vertical="top" wrapText="1"/>
    </xf>
    <xf numFmtId="0" fontId="241" fillId="109" borderId="156" xfId="40" applyNumberFormat="1" applyFont="1" applyFill="1" applyBorder="1" applyAlignment="1">
      <alignment vertical="top" wrapText="1"/>
    </xf>
    <xf numFmtId="0" fontId="241" fillId="109" borderId="127" xfId="40" applyNumberFormat="1" applyFont="1" applyFill="1" applyBorder="1" applyAlignment="1">
      <alignment vertical="top" wrapText="1"/>
    </xf>
    <xf numFmtId="0" fontId="241" fillId="113" borderId="127" xfId="40" applyNumberFormat="1" applyFont="1" applyFill="1" applyBorder="1" applyAlignment="1">
      <alignment vertical="top" wrapText="1"/>
    </xf>
    <xf numFmtId="0" fontId="241" fillId="109" borderId="144" xfId="40" applyNumberFormat="1" applyFont="1" applyFill="1" applyBorder="1" applyAlignment="1">
      <alignment vertical="top" wrapText="1"/>
    </xf>
    <xf numFmtId="0" fontId="241" fillId="224" borderId="156" xfId="40" applyNumberFormat="1" applyFont="1" applyFill="1" applyBorder="1" applyAlignment="1">
      <alignment vertical="top" wrapText="1"/>
    </xf>
    <xf numFmtId="0" fontId="241" fillId="224" borderId="127" xfId="40" applyNumberFormat="1" applyFont="1" applyFill="1" applyBorder="1" applyAlignment="1">
      <alignment vertical="top" wrapText="1"/>
    </xf>
    <xf numFmtId="0" fontId="241" fillId="224" borderId="144" xfId="40" applyNumberFormat="1" applyFont="1" applyFill="1" applyBorder="1" applyAlignment="1">
      <alignment vertical="top" wrapText="1"/>
    </xf>
    <xf numFmtId="0" fontId="242" fillId="224" borderId="115" xfId="40" applyNumberFormat="1" applyFont="1" applyFill="1" applyBorder="1" applyAlignment="1">
      <alignment horizontal="left" vertical="top" wrapText="1"/>
    </xf>
    <xf numFmtId="0" fontId="242" fillId="224" borderId="115" xfId="40" applyNumberFormat="1" applyFont="1" applyFill="1" applyBorder="1" applyAlignment="1">
      <alignment vertical="top" wrapText="1"/>
    </xf>
    <xf numFmtId="0" fontId="242" fillId="225" borderId="115" xfId="40" applyNumberFormat="1" applyFont="1" applyFill="1" applyBorder="1" applyAlignment="1">
      <alignment horizontal="center" vertical="top" wrapText="1"/>
    </xf>
    <xf numFmtId="0" fontId="241" fillId="225" borderId="115" xfId="40" applyNumberFormat="1" applyFont="1" applyFill="1" applyBorder="1" applyAlignment="1">
      <alignment horizontal="center" vertical="top" wrapText="1"/>
    </xf>
    <xf numFmtId="166" fontId="241" fillId="225" borderId="115" xfId="40" applyNumberFormat="1" applyFont="1" applyFill="1" applyBorder="1" applyAlignment="1">
      <alignment horizontal="center" vertical="top" wrapText="1"/>
    </xf>
    <xf numFmtId="0" fontId="242" fillId="223" borderId="130" xfId="40" applyNumberFormat="1" applyFont="1" applyFill="1" applyBorder="1" applyAlignment="1">
      <alignment horizontal="center" vertical="top" wrapText="1"/>
    </xf>
    <xf numFmtId="0" fontId="242" fillId="223" borderId="114" xfId="40" applyNumberFormat="1" applyFont="1" applyFill="1" applyBorder="1" applyAlignment="1">
      <alignment horizontal="center" vertical="top" wrapText="1"/>
    </xf>
    <xf numFmtId="0" fontId="242" fillId="223" borderId="119" xfId="40" applyNumberFormat="1" applyFont="1" applyFill="1" applyBorder="1" applyAlignment="1">
      <alignment horizontal="center" vertical="top" wrapText="1"/>
    </xf>
    <xf numFmtId="0" fontId="242" fillId="223" borderId="115" xfId="40" applyNumberFormat="1" applyFont="1" applyFill="1" applyBorder="1" applyAlignment="1">
      <alignment horizontal="center" vertical="top" wrapText="1"/>
    </xf>
    <xf numFmtId="0" fontId="241" fillId="125" borderId="115" xfId="40" applyNumberFormat="1" applyFont="1" applyFill="1" applyBorder="1" applyAlignment="1">
      <alignment horizontal="center" vertical="center" wrapText="1"/>
    </xf>
    <xf numFmtId="0" fontId="241" fillId="114" borderId="107" xfId="40" applyNumberFormat="1" applyFont="1" applyFill="1" applyBorder="1" applyAlignment="1">
      <alignment vertical="center" wrapText="1"/>
    </xf>
    <xf numFmtId="0" fontId="241" fillId="114" borderId="128" xfId="40" applyNumberFormat="1" applyFont="1" applyFill="1" applyBorder="1" applyAlignment="1">
      <alignment vertical="center" wrapText="1"/>
    </xf>
    <xf numFmtId="0" fontId="241" fillId="114" borderId="112" xfId="40" applyNumberFormat="1" applyFont="1" applyFill="1" applyBorder="1" applyAlignment="1">
      <alignment vertical="center" wrapText="1"/>
    </xf>
    <xf numFmtId="0" fontId="241" fillId="114" borderId="106" xfId="40" applyNumberFormat="1" applyFont="1" applyFill="1" applyBorder="1" applyAlignment="1">
      <alignment vertical="center" wrapText="1"/>
    </xf>
    <xf numFmtId="0" fontId="240" fillId="126"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left" vertical="center" wrapText="1"/>
    </xf>
    <xf numFmtId="0" fontId="240" fillId="226" borderId="108" xfId="40" applyNumberFormat="1" applyFont="1" applyFill="1" applyBorder="1" applyAlignment="1">
      <alignment horizontal="right" vertical="center" wrapText="1"/>
    </xf>
    <xf numFmtId="0" fontId="240" fillId="226" borderId="109" xfId="40" applyNumberFormat="1" applyFont="1" applyFill="1" applyBorder="1" applyAlignment="1">
      <alignment horizontal="right" vertical="center" wrapText="1"/>
    </xf>
    <xf numFmtId="0" fontId="240" fillId="226" borderId="110" xfId="40" applyNumberFormat="1" applyFont="1" applyFill="1" applyBorder="1" applyAlignment="1">
      <alignment horizontal="right" vertical="center" wrapText="1"/>
    </xf>
    <xf numFmtId="0" fontId="240"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right" vertical="center" wrapText="1"/>
    </xf>
    <xf numFmtId="0" fontId="176" fillId="226" borderId="109" xfId="40" applyNumberFormat="1" applyFont="1" applyFill="1" applyBorder="1" applyAlignment="1">
      <alignment horizontal="right" vertical="center" wrapText="1"/>
    </xf>
    <xf numFmtId="0" fontId="176" fillId="226" borderId="110" xfId="40" applyNumberFormat="1" applyFont="1" applyFill="1" applyBorder="1" applyAlignment="1">
      <alignment horizontal="right" vertical="center" wrapText="1"/>
    </xf>
    <xf numFmtId="0" fontId="176"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center" vertical="center" wrapText="1"/>
    </xf>
    <xf numFmtId="0" fontId="176" fillId="226" borderId="109" xfId="40" applyNumberFormat="1" applyFont="1" applyFill="1" applyBorder="1" applyAlignment="1">
      <alignment horizontal="center" vertical="center" wrapText="1"/>
    </xf>
    <xf numFmtId="0" fontId="176" fillId="226" borderId="110" xfId="40" applyNumberFormat="1" applyFont="1" applyFill="1" applyBorder="1" applyAlignment="1">
      <alignment horizontal="center" vertical="center" wrapText="1"/>
    </xf>
    <xf numFmtId="0" fontId="176" fillId="226" borderId="111" xfId="40" applyNumberFormat="1" applyFont="1" applyFill="1" applyBorder="1" applyAlignment="1">
      <alignment horizontal="center" vertical="center" wrapText="1"/>
    </xf>
    <xf numFmtId="0" fontId="241" fillId="218" borderId="115" xfId="40" applyNumberFormat="1" applyFont="1" applyFill="1" applyBorder="1" applyAlignment="1">
      <alignment horizontal="center" vertical="center" wrapText="1"/>
    </xf>
    <xf numFmtId="0" fontId="241" fillId="223" borderId="107" xfId="40" applyNumberFormat="1" applyFont="1" applyFill="1" applyBorder="1" applyAlignment="1">
      <alignment vertical="center" wrapText="1"/>
    </xf>
    <xf numFmtId="0" fontId="241" fillId="223" borderId="128" xfId="40" applyNumberFormat="1" applyFont="1" applyFill="1" applyBorder="1" applyAlignment="1">
      <alignment vertical="center" wrapText="1"/>
    </xf>
    <xf numFmtId="0" fontId="241" fillId="223" borderId="112" xfId="40" applyNumberFormat="1" applyFont="1" applyFill="1" applyBorder="1" applyAlignment="1">
      <alignment vertical="center" wrapText="1"/>
    </xf>
    <xf numFmtId="0" fontId="241" fillId="223" borderId="106" xfId="40" applyNumberFormat="1" applyFont="1" applyFill="1" applyBorder="1" applyAlignment="1">
      <alignment vertical="center" wrapText="1"/>
    </xf>
    <xf numFmtId="0" fontId="136" fillId="223" borderId="149" xfId="40" applyNumberFormat="1" applyFont="1" applyFill="1" applyBorder="1" applyAlignment="1">
      <alignment vertical="center" wrapText="1"/>
    </xf>
    <xf numFmtId="0" fontId="245" fillId="223" borderId="107" xfId="40" applyNumberFormat="1" applyFont="1" applyFill="1" applyBorder="1" applyAlignment="1">
      <alignment vertical="center" wrapText="1"/>
    </xf>
    <xf numFmtId="0" fontId="245" fillId="223" borderId="128" xfId="40" applyNumberFormat="1" applyFont="1" applyFill="1" applyBorder="1" applyAlignment="1">
      <alignment vertical="center" wrapText="1"/>
    </xf>
    <xf numFmtId="0" fontId="245" fillId="223" borderId="112" xfId="40" applyNumberFormat="1" applyFont="1" applyFill="1" applyBorder="1" applyAlignment="1">
      <alignment vertical="center" wrapText="1"/>
    </xf>
    <xf numFmtId="0" fontId="245" fillId="223" borderId="106" xfId="40" applyNumberFormat="1" applyFont="1" applyFill="1" applyBorder="1" applyAlignment="1">
      <alignment vertical="center" wrapText="1"/>
    </xf>
    <xf numFmtId="0" fontId="245" fillId="223" borderId="149" xfId="40" applyNumberFormat="1" applyFont="1" applyFill="1" applyBorder="1" applyAlignment="1">
      <alignment vertical="center" wrapText="1"/>
    </xf>
    <xf numFmtId="0" fontId="242" fillId="126" borderId="115" xfId="40" applyNumberFormat="1" applyFont="1" applyFill="1" applyBorder="1" applyAlignment="1">
      <alignment horizontal="left" vertical="top" wrapText="1"/>
    </xf>
    <xf numFmtId="0" fontId="241" fillId="114" borderId="106" xfId="40" applyNumberFormat="1" applyFont="1" applyFill="1" applyBorder="1" applyAlignment="1">
      <alignment horizontal="left" vertical="center" wrapText="1"/>
    </xf>
    <xf numFmtId="0" fontId="241" fillId="109" borderId="158" xfId="40" applyNumberFormat="1" applyFont="1" applyFill="1" applyBorder="1" applyAlignment="1">
      <alignment vertical="center" wrapText="1"/>
    </xf>
    <xf numFmtId="0" fontId="240" fillId="150" borderId="115" xfId="40" applyNumberFormat="1" applyFont="1" applyFill="1" applyBorder="1" applyAlignment="1">
      <alignment horizontal="center" vertical="center" wrapText="1"/>
    </xf>
    <xf numFmtId="0" fontId="242" fillId="109" borderId="158" xfId="40" applyNumberFormat="1" applyFont="1" applyFill="1" applyBorder="1" applyAlignment="1">
      <alignment vertical="center" wrapText="1"/>
    </xf>
    <xf numFmtId="0" fontId="242" fillId="150" borderId="115" xfId="40" applyNumberFormat="1" applyFont="1" applyFill="1" applyBorder="1" applyAlignment="1">
      <alignment horizontal="center" vertical="center" wrapText="1"/>
    </xf>
    <xf numFmtId="0" fontId="122" fillId="218" borderId="132" xfId="40" applyNumberFormat="1" applyFont="1" applyFill="1" applyBorder="1" applyAlignment="1">
      <alignment horizontal="center" vertical="center" wrapText="1"/>
    </xf>
    <xf numFmtId="0" fontId="122" fillId="218" borderId="133" xfId="40" applyNumberFormat="1" applyFont="1" applyFill="1" applyBorder="1" applyAlignment="1">
      <alignment horizontal="center" vertical="center" wrapText="1"/>
    </xf>
    <xf numFmtId="0" fontId="122" fillId="218" borderId="139" xfId="40" applyNumberFormat="1" applyFont="1" applyFill="1" applyBorder="1" applyAlignment="1">
      <alignment horizontal="center" vertical="center" wrapText="1"/>
    </xf>
    <xf numFmtId="0" fontId="243" fillId="218" borderId="132" xfId="40" applyNumberFormat="1" applyFont="1" applyFill="1" applyBorder="1" applyAlignment="1">
      <alignment horizontal="center" vertical="center" wrapText="1"/>
    </xf>
    <xf numFmtId="0" fontId="243" fillId="218" borderId="133" xfId="40" applyNumberFormat="1" applyFont="1" applyFill="1" applyBorder="1" applyAlignment="1">
      <alignment horizontal="center" vertical="center" wrapText="1"/>
    </xf>
    <xf numFmtId="0" fontId="243" fillId="218" borderId="139" xfId="40" applyNumberFormat="1" applyFont="1" applyFill="1" applyBorder="1" applyAlignment="1">
      <alignment horizontal="center" vertical="center" wrapText="1"/>
    </xf>
    <xf numFmtId="0" fontId="240" fillId="227" borderId="108" xfId="40" applyNumberFormat="1" applyFont="1" applyFill="1" applyBorder="1" applyAlignment="1">
      <alignment horizontal="right" vertical="center" wrapText="1"/>
    </xf>
    <xf numFmtId="0" fontId="240" fillId="227" borderId="109" xfId="40" applyNumberFormat="1" applyFont="1" applyFill="1" applyBorder="1" applyAlignment="1">
      <alignment horizontal="right" vertical="center" wrapText="1"/>
    </xf>
    <xf numFmtId="0" fontId="240" fillId="227" borderId="110" xfId="40" applyNumberFormat="1" applyFont="1" applyFill="1" applyBorder="1" applyAlignment="1">
      <alignment horizontal="right" vertical="center" wrapText="1"/>
    </xf>
    <xf numFmtId="0" fontId="240"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right" vertical="center" wrapText="1"/>
    </xf>
    <xf numFmtId="0" fontId="176" fillId="227" borderId="109" xfId="40" applyNumberFormat="1" applyFont="1" applyFill="1" applyBorder="1" applyAlignment="1">
      <alignment horizontal="right" vertical="center" wrapText="1"/>
    </xf>
    <xf numFmtId="0" fontId="176" fillId="227" borderId="110" xfId="40" applyNumberFormat="1" applyFont="1" applyFill="1" applyBorder="1" applyAlignment="1">
      <alignment horizontal="right" vertical="center" wrapText="1"/>
    </xf>
    <xf numFmtId="0" fontId="176"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center" vertical="center" wrapText="1"/>
    </xf>
    <xf numFmtId="0" fontId="176" fillId="227" borderId="109" xfId="40" applyNumberFormat="1" applyFont="1" applyFill="1" applyBorder="1" applyAlignment="1">
      <alignment horizontal="center" vertical="center" wrapText="1"/>
    </xf>
    <xf numFmtId="0" fontId="176" fillId="227" borderId="110" xfId="40" applyNumberFormat="1" applyFont="1" applyFill="1" applyBorder="1" applyAlignment="1">
      <alignment horizontal="center" vertical="center" wrapText="1"/>
    </xf>
    <xf numFmtId="0" fontId="176" fillId="227" borderId="111" xfId="40" applyNumberFormat="1" applyFont="1" applyFill="1" applyBorder="1" applyAlignment="1">
      <alignment horizontal="center" vertical="center" wrapText="1"/>
    </xf>
    <xf numFmtId="0" fontId="241" fillId="223" borderId="106" xfId="40" applyNumberFormat="1" applyFont="1" applyFill="1" applyBorder="1" applyAlignment="1">
      <alignment horizontal="left" vertical="center" wrapText="1"/>
    </xf>
    <xf numFmtId="0" fontId="136" fillId="223" borderId="149" xfId="40" applyNumberFormat="1" applyFont="1" applyFill="1" applyBorder="1" applyAlignment="1">
      <alignment horizontal="left" vertical="center" wrapText="1"/>
    </xf>
    <xf numFmtId="0" fontId="245" fillId="223" borderId="106" xfId="40" applyNumberFormat="1" applyFont="1" applyFill="1" applyBorder="1" applyAlignment="1">
      <alignment horizontal="left" vertical="center" wrapText="1"/>
    </xf>
    <xf numFmtId="0" fontId="245" fillId="223" borderId="149" xfId="40" applyNumberFormat="1" applyFont="1" applyFill="1" applyBorder="1" applyAlignment="1">
      <alignment horizontal="left" vertical="center" wrapText="1"/>
    </xf>
    <xf numFmtId="0" fontId="242" fillId="109" borderId="158" xfId="40" applyNumberFormat="1" applyFont="1" applyFill="1" applyBorder="1" applyAlignment="1">
      <alignment vertical="top" wrapText="1"/>
    </xf>
    <xf numFmtId="0" fontId="242" fillId="150" borderId="115" xfId="40" applyNumberFormat="1" applyFont="1" applyFill="1" applyBorder="1" applyAlignment="1">
      <alignment horizontal="center" vertical="top" wrapText="1"/>
    </xf>
    <xf numFmtId="0" fontId="241" fillId="109" borderId="158" xfId="40" applyNumberFormat="1" applyFont="1" applyFill="1" applyBorder="1" applyAlignment="1">
      <alignment vertical="top" wrapText="1"/>
    </xf>
    <xf numFmtId="0" fontId="241" fillId="224" borderId="158" xfId="40" applyNumberFormat="1" applyFont="1" applyFill="1" applyBorder="1" applyAlignment="1">
      <alignment vertical="top" wrapText="1"/>
    </xf>
    <xf numFmtId="0" fontId="241" fillId="114" borderId="111" xfId="40" applyNumberFormat="1" applyFont="1" applyFill="1" applyBorder="1" applyAlignment="1">
      <alignment horizontal="center" vertical="center" wrapText="1"/>
    </xf>
    <xf numFmtId="0" fontId="241" fillId="154" borderId="110" xfId="40" applyNumberFormat="1" applyFont="1" applyFill="1" applyBorder="1" applyAlignment="1">
      <alignment horizontal="center" vertical="center" wrapText="1"/>
    </xf>
    <xf numFmtId="0" fontId="241" fillId="154" borderId="111" xfId="40" applyNumberFormat="1" applyFont="1" applyFill="1" applyBorder="1" applyAlignment="1">
      <alignment horizontal="center" vertical="center" wrapText="1"/>
    </xf>
    <xf numFmtId="0" fontId="241" fillId="126" borderId="110" xfId="40" applyNumberFormat="1" applyFont="1" applyFill="1" applyBorder="1" applyAlignment="1">
      <alignment horizontal="center" vertical="center" wrapText="1"/>
    </xf>
    <xf numFmtId="0" fontId="241" fillId="126" borderId="111" xfId="40" applyNumberFormat="1" applyFont="1" applyFill="1" applyBorder="1" applyAlignment="1">
      <alignment horizontal="center" vertical="center" wrapText="1"/>
    </xf>
    <xf numFmtId="0" fontId="241" fillId="114" borderId="136" xfId="40" applyNumberFormat="1" applyFont="1" applyFill="1" applyBorder="1" applyAlignment="1">
      <alignment horizontal="left" vertical="center" wrapText="1"/>
    </xf>
    <xf numFmtId="0" fontId="241" fillId="114" borderId="137" xfId="40" applyNumberFormat="1" applyFont="1" applyFill="1" applyBorder="1" applyAlignment="1">
      <alignment horizontal="left" vertical="center" wrapText="1"/>
    </xf>
    <xf numFmtId="0" fontId="240" fillId="228" borderId="108" xfId="40" applyNumberFormat="1" applyFont="1" applyFill="1" applyBorder="1" applyAlignment="1">
      <alignment horizontal="right" vertical="center" wrapText="1"/>
    </xf>
    <xf numFmtId="0" fontId="240" fillId="228" borderId="109" xfId="40" applyNumberFormat="1" applyFont="1" applyFill="1" applyBorder="1" applyAlignment="1">
      <alignment horizontal="right" vertical="center" wrapText="1"/>
    </xf>
    <xf numFmtId="0" fontId="240" fillId="228" borderId="110" xfId="40" applyNumberFormat="1" applyFont="1" applyFill="1" applyBorder="1" applyAlignment="1">
      <alignment horizontal="right" vertical="center" wrapText="1"/>
    </xf>
    <xf numFmtId="0" fontId="240"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right" vertical="center" wrapText="1"/>
    </xf>
    <xf numFmtId="0" fontId="176" fillId="228" borderId="109" xfId="40" applyNumberFormat="1" applyFont="1" applyFill="1" applyBorder="1" applyAlignment="1">
      <alignment horizontal="right" vertical="center" wrapText="1"/>
    </xf>
    <xf numFmtId="0" fontId="176" fillId="228" borderId="110" xfId="40" applyNumberFormat="1" applyFont="1" applyFill="1" applyBorder="1" applyAlignment="1">
      <alignment horizontal="right" vertical="center" wrapText="1"/>
    </xf>
    <xf numFmtId="0" fontId="176"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center" vertical="center" wrapText="1"/>
    </xf>
    <xf numFmtId="0" fontId="176" fillId="228" borderId="109" xfId="40" applyNumberFormat="1" applyFont="1" applyFill="1" applyBorder="1" applyAlignment="1">
      <alignment horizontal="center" vertical="center" wrapText="1"/>
    </xf>
    <xf numFmtId="0" fontId="176" fillId="228" borderId="110" xfId="40" applyNumberFormat="1" applyFont="1" applyFill="1" applyBorder="1" applyAlignment="1">
      <alignment horizontal="center" vertical="center" wrapText="1"/>
    </xf>
    <xf numFmtId="0" fontId="176" fillId="228" borderId="111" xfId="40" applyNumberFormat="1" applyFont="1" applyFill="1" applyBorder="1" applyAlignment="1">
      <alignment horizontal="center" vertical="center" wrapText="1"/>
    </xf>
    <xf numFmtId="0" fontId="241" fillId="218" borderId="111" xfId="40" applyNumberFormat="1" applyFont="1" applyFill="1" applyBorder="1" applyAlignment="1">
      <alignment horizontal="center" vertical="center" wrapText="1"/>
    </xf>
    <xf numFmtId="0" fontId="241" fillId="220" borderId="110" xfId="40" applyNumberFormat="1" applyFont="1" applyFill="1" applyBorder="1" applyAlignment="1">
      <alignment horizontal="center" vertical="center" wrapText="1"/>
    </xf>
    <xf numFmtId="0" fontId="241" fillId="220" borderId="111" xfId="40" applyNumberFormat="1" applyFont="1" applyFill="1" applyBorder="1" applyAlignment="1">
      <alignment horizontal="center" vertical="center" wrapText="1"/>
    </xf>
    <xf numFmtId="0" fontId="241" fillId="221" borderId="110" xfId="40" applyNumberFormat="1" applyFont="1" applyFill="1" applyBorder="1" applyAlignment="1">
      <alignment horizontal="center" vertical="center" wrapText="1"/>
    </xf>
    <xf numFmtId="0" fontId="241" fillId="221" borderId="111" xfId="40" applyNumberFormat="1" applyFont="1" applyFill="1" applyBorder="1" applyAlignment="1">
      <alignment horizontal="center" vertical="center" wrapText="1"/>
    </xf>
    <xf numFmtId="0" fontId="136" fillId="218" borderId="111" xfId="40" applyNumberFormat="1" applyFont="1" applyFill="1" applyBorder="1" applyAlignment="1">
      <alignment horizontal="center" vertical="center" wrapText="1"/>
    </xf>
    <xf numFmtId="0" fontId="241" fillId="223" borderId="136" xfId="40" applyNumberFormat="1" applyFont="1" applyFill="1" applyBorder="1" applyAlignment="1">
      <alignment horizontal="left" vertical="center" wrapText="1"/>
    </xf>
    <xf numFmtId="0" fontId="241" fillId="223" borderId="137" xfId="40" applyNumberFormat="1" applyFont="1" applyFill="1" applyBorder="1" applyAlignment="1">
      <alignment horizontal="left" vertical="center" wrapText="1"/>
    </xf>
    <xf numFmtId="0" fontId="136" fillId="223" borderId="142" xfId="40" applyNumberFormat="1" applyFont="1" applyFill="1" applyBorder="1" applyAlignment="1">
      <alignment horizontal="left" vertical="center" wrapText="1"/>
    </xf>
    <xf numFmtId="0" fontId="245" fillId="223" borderId="136" xfId="40" applyNumberFormat="1" applyFont="1" applyFill="1" applyBorder="1" applyAlignment="1">
      <alignment horizontal="left" vertical="center" wrapText="1"/>
    </xf>
    <xf numFmtId="0" fontId="245" fillId="223" borderId="137" xfId="40" applyNumberFormat="1" applyFont="1" applyFill="1" applyBorder="1" applyAlignment="1">
      <alignment horizontal="left" vertical="center" wrapText="1"/>
    </xf>
    <xf numFmtId="0" fontId="245" fillId="223" borderId="142" xfId="40" applyNumberFormat="1" applyFont="1" applyFill="1" applyBorder="1" applyAlignment="1">
      <alignment horizontal="left" vertical="center" wrapText="1"/>
    </xf>
    <xf numFmtId="0" fontId="240" fillId="123" borderId="115" xfId="40" applyNumberFormat="1" applyFont="1" applyFill="1" applyBorder="1" applyAlignment="1">
      <alignment vertical="center" wrapText="1"/>
    </xf>
    <xf numFmtId="0" fontId="241" fillId="126" borderId="110" xfId="40" applyNumberFormat="1" applyFont="1" applyFill="1" applyBorder="1" applyAlignment="1">
      <alignment horizontal="center" vertical="center"/>
    </xf>
    <xf numFmtId="0" fontId="242" fillId="123" borderId="115" xfId="40" applyNumberFormat="1" applyFont="1" applyFill="1" applyBorder="1" applyAlignment="1">
      <alignment vertical="center" wrapText="1"/>
    </xf>
    <xf numFmtId="0" fontId="242" fillId="126" borderId="110" xfId="40" applyNumberFormat="1" applyFont="1" applyFill="1" applyBorder="1" applyAlignment="1">
      <alignment horizontal="center" vertical="center"/>
    </xf>
    <xf numFmtId="0" fontId="240" fillId="229" borderId="108" xfId="40" applyNumberFormat="1" applyFont="1" applyFill="1" applyBorder="1" applyAlignment="1">
      <alignment horizontal="right" vertical="center" wrapText="1"/>
    </xf>
    <xf numFmtId="0" fontId="240" fillId="229" borderId="109" xfId="40" applyNumberFormat="1" applyFont="1" applyFill="1" applyBorder="1" applyAlignment="1">
      <alignment horizontal="right" vertical="center" wrapText="1"/>
    </xf>
    <xf numFmtId="0" fontId="240" fillId="229" borderId="110" xfId="40" applyNumberFormat="1" applyFont="1" applyFill="1" applyBorder="1" applyAlignment="1">
      <alignment horizontal="right" vertical="center" wrapText="1"/>
    </xf>
    <xf numFmtId="0" fontId="240"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right" vertical="center" wrapText="1"/>
    </xf>
    <xf numFmtId="0" fontId="244" fillId="229" borderId="109" xfId="40" applyNumberFormat="1" applyFont="1" applyFill="1" applyBorder="1" applyAlignment="1">
      <alignment horizontal="right" vertical="center" wrapText="1"/>
    </xf>
    <xf numFmtId="0" fontId="244" fillId="229" borderId="110" xfId="40" applyNumberFormat="1" applyFont="1" applyFill="1" applyBorder="1" applyAlignment="1">
      <alignment horizontal="right" vertical="center" wrapText="1"/>
    </xf>
    <xf numFmtId="0" fontId="244"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center" vertical="center" wrapText="1"/>
    </xf>
    <xf numFmtId="0" fontId="244" fillId="229" borderId="109" xfId="40" applyNumberFormat="1" applyFont="1" applyFill="1" applyBorder="1" applyAlignment="1">
      <alignment horizontal="center" vertical="center" wrapText="1"/>
    </xf>
    <xf numFmtId="0" fontId="244" fillId="229" borderId="110" xfId="40" applyNumberFormat="1" applyFont="1" applyFill="1" applyBorder="1" applyAlignment="1">
      <alignment horizontal="center" vertical="center" wrapText="1"/>
    </xf>
    <xf numFmtId="0" fontId="244" fillId="229" borderId="111" xfId="40" applyNumberFormat="1" applyFont="1" applyFill="1" applyBorder="1" applyAlignment="1">
      <alignment horizontal="center" vertical="center" wrapText="1"/>
    </xf>
    <xf numFmtId="0" fontId="242" fillId="123" borderId="115" xfId="40" applyNumberFormat="1" applyFont="1" applyFill="1" applyBorder="1" applyAlignment="1">
      <alignment vertical="top" wrapText="1"/>
    </xf>
    <xf numFmtId="0" fontId="242" fillId="126" borderId="110" xfId="40" applyNumberFormat="1" applyFont="1" applyFill="1" applyBorder="1" applyAlignment="1">
      <alignment horizontal="center" vertical="top"/>
    </xf>
    <xf numFmtId="0" fontId="242" fillId="126" borderId="110" xfId="40" applyNumberFormat="1" applyFont="1" applyFill="1" applyBorder="1" applyAlignment="1">
      <alignment horizontal="center" vertical="top" wrapText="1"/>
    </xf>
    <xf numFmtId="0" fontId="242" fillId="225" borderId="110" xfId="40" applyNumberFormat="1" applyFont="1" applyFill="1" applyBorder="1" applyAlignment="1">
      <alignment horizontal="center" vertical="top" wrapText="1"/>
    </xf>
    <xf numFmtId="0" fontId="241" fillId="225" borderId="110" xfId="40" applyNumberFormat="1" applyFont="1" applyFill="1" applyBorder="1" applyAlignment="1">
      <alignment horizontal="center" vertical="top" wrapText="1"/>
    </xf>
    <xf numFmtId="166" fontId="241" fillId="225" borderId="110" xfId="40" applyNumberFormat="1" applyFont="1" applyFill="1" applyBorder="1" applyAlignment="1">
      <alignment horizontal="center" vertical="top" wrapText="1"/>
    </xf>
    <xf numFmtId="0" fontId="240" fillId="109" borderId="106" xfId="40" applyNumberFormat="1" applyFont="1" applyFill="1" applyBorder="1"/>
    <xf numFmtId="0" fontId="240" fillId="109" borderId="106" xfId="40" applyNumberFormat="1" applyFont="1" applyFill="1" applyBorder="1" applyAlignment="1">
      <alignment vertical="center"/>
    </xf>
    <xf numFmtId="0" fontId="240" fillId="109" borderId="106" xfId="40" applyNumberFormat="1" applyFont="1" applyFill="1" applyBorder="1" applyAlignment="1">
      <alignment vertical="center" wrapText="1"/>
    </xf>
    <xf numFmtId="0" fontId="240" fillId="218" borderId="106" xfId="40" applyNumberFormat="1" applyFont="1" applyFill="1" applyBorder="1" applyAlignment="1">
      <alignment vertical="center" wrapText="1"/>
    </xf>
    <xf numFmtId="0" fontId="241" fillId="218" borderId="106" xfId="40" applyNumberFormat="1" applyFont="1" applyFill="1" applyBorder="1" applyAlignment="1">
      <alignment vertical="center" wrapText="1"/>
    </xf>
    <xf numFmtId="0" fontId="246" fillId="218" borderId="106" xfId="40" applyNumberFormat="1" applyFont="1" applyFill="1" applyBorder="1" applyAlignment="1">
      <alignment vertical="center" wrapText="1"/>
    </xf>
    <xf numFmtId="0" fontId="246" fillId="218" borderId="212" xfId="40" applyNumberFormat="1" applyFont="1" applyFill="1" applyBorder="1" applyAlignment="1">
      <alignment vertical="center" wrapText="1"/>
    </xf>
    <xf numFmtId="0" fontId="246" fillId="218" borderId="213" xfId="40" applyNumberFormat="1" applyFont="1" applyFill="1" applyBorder="1" applyAlignment="1">
      <alignment vertical="center" wrapText="1"/>
    </xf>
    <xf numFmtId="0" fontId="246" fillId="218" borderId="214" xfId="40" applyNumberFormat="1" applyFont="1" applyFill="1" applyBorder="1" applyAlignment="1">
      <alignment vertical="center" wrapText="1"/>
    </xf>
    <xf numFmtId="0" fontId="242" fillId="109" borderId="106" xfId="40" applyNumberFormat="1" applyFont="1" applyFill="1" applyBorder="1" applyAlignment="1">
      <alignment vertical="center" wrapText="1"/>
    </xf>
    <xf numFmtId="0" fontId="241" fillId="218" borderId="106" xfId="40" applyNumberFormat="1" applyFont="1" applyFill="1" applyBorder="1" applyAlignment="1">
      <alignment horizontal="center" vertical="center" wrapText="1"/>
    </xf>
    <xf numFmtId="0" fontId="246" fillId="218" borderId="106" xfId="40" applyNumberFormat="1" applyFont="1" applyFill="1" applyBorder="1" applyAlignment="1">
      <alignment horizontal="center" vertical="center" wrapText="1"/>
    </xf>
    <xf numFmtId="165" fontId="246" fillId="218" borderId="106" xfId="40" applyNumberFormat="1" applyFont="1" applyFill="1" applyBorder="1" applyAlignment="1">
      <alignment horizontal="center" vertical="center" wrapText="1"/>
    </xf>
    <xf numFmtId="0" fontId="240" fillId="222" borderId="106" xfId="40" applyNumberFormat="1" applyFont="1" applyFill="1" applyBorder="1" applyAlignment="1">
      <alignment vertical="center" wrapText="1"/>
    </xf>
    <xf numFmtId="0" fontId="241" fillId="222" borderId="106" xfId="40" applyNumberFormat="1" applyFont="1" applyFill="1" applyBorder="1" applyAlignment="1">
      <alignment vertical="center" wrapText="1"/>
    </xf>
    <xf numFmtId="0" fontId="241" fillId="222" borderId="106" xfId="40" applyNumberFormat="1" applyFont="1" applyFill="1" applyBorder="1" applyAlignment="1">
      <alignment horizontal="center" vertical="center" wrapText="1"/>
    </xf>
    <xf numFmtId="0" fontId="246" fillId="222" borderId="106" xfId="40" applyNumberFormat="1" applyFont="1" applyFill="1" applyBorder="1" applyAlignment="1">
      <alignment horizontal="center" vertical="center" wrapText="1"/>
    </xf>
    <xf numFmtId="0" fontId="240" fillId="220" borderId="106" xfId="40" applyNumberFormat="1" applyFont="1" applyFill="1" applyBorder="1" applyAlignment="1">
      <alignment vertical="center" wrapText="1"/>
    </xf>
    <xf numFmtId="0" fontId="241" fillId="220" borderId="106" xfId="40" applyNumberFormat="1" applyFont="1" applyFill="1" applyBorder="1" applyAlignment="1">
      <alignment vertical="center" wrapText="1"/>
    </xf>
    <xf numFmtId="0" fontId="241" fillId="220" borderId="106" xfId="40" applyNumberFormat="1" applyFont="1" applyFill="1" applyBorder="1" applyAlignment="1">
      <alignment horizontal="center" vertical="center" wrapText="1"/>
    </xf>
    <xf numFmtId="0" fontId="246" fillId="220" borderId="106" xfId="40" applyNumberFormat="1" applyFont="1" applyFill="1" applyBorder="1" applyAlignment="1">
      <alignment horizontal="center" vertical="center" wrapText="1"/>
    </xf>
    <xf numFmtId="165" fontId="246" fillId="220" borderId="106" xfId="40" applyNumberFormat="1" applyFont="1" applyFill="1" applyBorder="1" applyAlignment="1">
      <alignment horizontal="center" vertical="center" wrapText="1"/>
    </xf>
    <xf numFmtId="0" fontId="240" fillId="221" borderId="106" xfId="40" applyNumberFormat="1" applyFont="1" applyFill="1" applyBorder="1" applyAlignment="1">
      <alignment vertical="center" wrapText="1"/>
    </xf>
    <xf numFmtId="0" fontId="241" fillId="221" borderId="106" xfId="40" applyNumberFormat="1" applyFont="1" applyFill="1" applyBorder="1" applyAlignment="1">
      <alignment vertical="center" wrapText="1"/>
    </xf>
    <xf numFmtId="0" fontId="241" fillId="221" borderId="106" xfId="40" applyNumberFormat="1" applyFont="1" applyFill="1" applyBorder="1" applyAlignment="1">
      <alignment horizontal="center" vertical="center" wrapText="1"/>
    </xf>
    <xf numFmtId="0" fontId="246" fillId="221" borderId="106" xfId="40" applyNumberFormat="1" applyFont="1" applyFill="1" applyBorder="1" applyAlignment="1">
      <alignment horizontal="center" vertical="center" wrapText="1"/>
    </xf>
    <xf numFmtId="165" fontId="246" fillId="221" borderId="106" xfId="40" applyNumberFormat="1" applyFont="1" applyFill="1" applyBorder="1" applyAlignment="1">
      <alignment horizontal="center" vertical="center" wrapText="1"/>
    </xf>
    <xf numFmtId="0" fontId="247" fillId="109" borderId="106" xfId="40" applyNumberFormat="1" applyFont="1" applyFill="1" applyBorder="1" applyAlignment="1">
      <alignment vertical="center" wrapText="1"/>
    </xf>
    <xf numFmtId="0" fontId="241" fillId="218" borderId="212" xfId="40" applyNumberFormat="1" applyFont="1" applyFill="1" applyBorder="1" applyAlignment="1">
      <alignment vertical="center" wrapText="1"/>
    </xf>
    <xf numFmtId="0" fontId="241" fillId="218" borderId="213" xfId="40" applyNumberFormat="1" applyFont="1" applyFill="1" applyBorder="1" applyAlignment="1">
      <alignment vertical="center" wrapText="1"/>
    </xf>
    <xf numFmtId="0" fontId="241" fillId="218" borderId="214" xfId="40" applyNumberFormat="1" applyFont="1" applyFill="1" applyBorder="1" applyAlignment="1">
      <alignment vertical="center" wrapText="1"/>
    </xf>
    <xf numFmtId="0" fontId="240" fillId="218" borderId="106" xfId="40" applyNumberFormat="1" applyFont="1" applyFill="1" applyBorder="1" applyAlignment="1">
      <alignment vertical="center"/>
    </xf>
    <xf numFmtId="0" fontId="241" fillId="218" borderId="106" xfId="40" applyNumberFormat="1" applyFont="1" applyFill="1" applyBorder="1" applyAlignment="1">
      <alignment vertical="center"/>
    </xf>
    <xf numFmtId="0" fontId="241" fillId="218" borderId="215" xfId="40" applyNumberFormat="1" applyFont="1" applyFill="1" applyBorder="1" applyAlignment="1">
      <alignment vertical="center"/>
    </xf>
    <xf numFmtId="0" fontId="241" fillId="218" borderId="215" xfId="40" applyNumberFormat="1" applyFont="1" applyFill="1" applyBorder="1" applyAlignment="1">
      <alignment vertical="center" wrapText="1"/>
    </xf>
    <xf numFmtId="0" fontId="241" fillId="218" borderId="215" xfId="40" applyNumberFormat="1" applyFont="1" applyFill="1" applyBorder="1" applyAlignment="1">
      <alignment horizontal="center" vertical="center" wrapText="1"/>
    </xf>
    <xf numFmtId="0" fontId="241" fillId="220" borderId="215" xfId="40" applyNumberFormat="1" applyFont="1" applyFill="1" applyBorder="1" applyAlignment="1">
      <alignment horizontal="center" vertical="center" wrapText="1"/>
    </xf>
    <xf numFmtId="0" fontId="241" fillId="222" borderId="215" xfId="40" applyNumberFormat="1" applyFont="1" applyFill="1" applyBorder="1" applyAlignment="1">
      <alignment horizontal="center" vertical="center" wrapText="1"/>
    </xf>
    <xf numFmtId="0" fontId="241" fillId="221" borderId="215" xfId="40" applyNumberFormat="1" applyFont="1" applyFill="1" applyBorder="1" applyAlignment="1">
      <alignment horizontal="center" vertical="center" wrapText="1"/>
    </xf>
    <xf numFmtId="0" fontId="240" fillId="219" borderId="106" xfId="40" applyNumberFormat="1" applyFont="1" applyFill="1" applyBorder="1" applyAlignment="1">
      <alignment vertical="center"/>
    </xf>
    <xf numFmtId="0" fontId="237" fillId="219" borderId="106" xfId="40" applyNumberFormat="1" applyFont="1" applyFill="1" applyBorder="1" applyAlignment="1">
      <alignment vertical="center"/>
    </xf>
    <xf numFmtId="0" fontId="240" fillId="226" borderId="106" xfId="40" applyNumberFormat="1" applyFont="1" applyFill="1" applyBorder="1" applyAlignment="1">
      <alignment vertical="center"/>
    </xf>
    <xf numFmtId="0" fontId="241" fillId="226" borderId="106" xfId="40" applyNumberFormat="1" applyFont="1" applyFill="1" applyBorder="1" applyAlignment="1">
      <alignment vertical="center"/>
    </xf>
    <xf numFmtId="0" fontId="240" fillId="227" borderId="106" xfId="40" applyNumberFormat="1" applyFont="1" applyFill="1" applyBorder="1" applyAlignment="1">
      <alignment vertical="center"/>
    </xf>
    <xf numFmtId="0" fontId="241" fillId="227" borderId="106" xfId="40" applyNumberFormat="1" applyFont="1" applyFill="1" applyBorder="1" applyAlignment="1">
      <alignment vertical="center"/>
    </xf>
    <xf numFmtId="0" fontId="240" fillId="228" borderId="106" xfId="40" applyNumberFormat="1" applyFont="1" applyFill="1" applyBorder="1" applyAlignment="1">
      <alignment vertical="center"/>
    </xf>
    <xf numFmtId="0" fontId="241" fillId="228" borderId="106" xfId="40" applyNumberFormat="1" applyFont="1" applyFill="1" applyBorder="1" applyAlignment="1">
      <alignment vertical="center"/>
    </xf>
    <xf numFmtId="0" fontId="240" fillId="229" borderId="106" xfId="40" applyNumberFormat="1" applyFont="1" applyFill="1" applyBorder="1" applyAlignment="1">
      <alignment vertical="center"/>
    </xf>
    <xf numFmtId="0" fontId="237" fillId="229" borderId="106" xfId="40" applyNumberFormat="1" applyFont="1" applyFill="1" applyBorder="1" applyAlignment="1">
      <alignment vertical="center"/>
    </xf>
    <xf numFmtId="0" fontId="240" fillId="109" borderId="106" xfId="40" applyNumberFormat="1" applyFont="1" applyFill="1" applyBorder="1" applyAlignment="1">
      <alignment horizontal="center" vertical="center"/>
    </xf>
    <xf numFmtId="0" fontId="237" fillId="219" borderId="216" xfId="40" applyNumberFormat="1" applyFont="1" applyFill="1" applyBorder="1" applyAlignment="1">
      <alignment vertical="center"/>
    </xf>
    <xf numFmtId="0" fontId="240" fillId="109" borderId="216" xfId="40" applyNumberFormat="1" applyFont="1" applyFill="1" applyBorder="1" applyAlignment="1">
      <alignment horizontal="center" vertical="center"/>
    </xf>
    <xf numFmtId="0" fontId="241" fillId="226" borderId="216" xfId="40" applyNumberFormat="1" applyFont="1" applyFill="1" applyBorder="1" applyAlignment="1">
      <alignment vertical="center"/>
    </xf>
    <xf numFmtId="0" fontId="241" fillId="227" borderId="216" xfId="40" applyNumberFormat="1" applyFont="1" applyFill="1" applyBorder="1" applyAlignment="1">
      <alignment vertical="center"/>
    </xf>
    <xf numFmtId="0" fontId="241" fillId="228" borderId="216" xfId="40" applyNumberFormat="1" applyFont="1" applyFill="1" applyBorder="1" applyAlignment="1">
      <alignment vertical="center"/>
    </xf>
    <xf numFmtId="0" fontId="237" fillId="229" borderId="216" xfId="40" applyNumberFormat="1" applyFont="1" applyFill="1" applyBorder="1" applyAlignment="1">
      <alignment vertical="center"/>
    </xf>
    <xf numFmtId="0" fontId="240" fillId="109" borderId="216" xfId="40" applyNumberFormat="1" applyFont="1" applyFill="1" applyBorder="1" applyAlignment="1">
      <alignment vertical="center"/>
    </xf>
    <xf numFmtId="0" fontId="240" fillId="218" borderId="216" xfId="40" applyNumberFormat="1" applyFont="1" applyFill="1" applyBorder="1" applyAlignment="1">
      <alignment vertical="center"/>
    </xf>
    <xf numFmtId="0" fontId="240" fillId="218" borderId="216" xfId="40" applyNumberFormat="1" applyFont="1" applyFill="1" applyBorder="1" applyAlignment="1">
      <alignment horizontal="center" vertical="center"/>
    </xf>
    <xf numFmtId="0" fontId="241" fillId="218" borderId="216" xfId="40" applyNumberFormat="1" applyFont="1" applyFill="1" applyBorder="1" applyAlignment="1">
      <alignment vertical="center"/>
    </xf>
    <xf numFmtId="0" fontId="241" fillId="218" borderId="216" xfId="40" applyNumberFormat="1" applyFont="1" applyFill="1" applyBorder="1" applyAlignment="1">
      <alignment horizontal="center" vertical="center"/>
    </xf>
    <xf numFmtId="165" fontId="240" fillId="109" borderId="216" xfId="40" applyNumberFormat="1" applyFont="1" applyFill="1" applyBorder="1" applyAlignment="1">
      <alignment horizontal="center" vertical="center"/>
    </xf>
    <xf numFmtId="165" fontId="241" fillId="218" borderId="216" xfId="40" applyNumberFormat="1" applyFont="1" applyFill="1" applyBorder="1" applyAlignment="1">
      <alignment horizontal="center" vertical="center"/>
    </xf>
    <xf numFmtId="0" fontId="240" fillId="230" borderId="106" xfId="40" applyNumberFormat="1" applyFont="1" applyFill="1" applyBorder="1" applyAlignment="1">
      <alignment vertical="center"/>
    </xf>
    <xf numFmtId="0" fontId="240" fillId="231" borderId="106" xfId="40" applyNumberFormat="1" applyFont="1" applyFill="1" applyBorder="1" applyAlignment="1">
      <alignment vertical="center"/>
    </xf>
    <xf numFmtId="0" fontId="240" fillId="232" borderId="106" xfId="40" applyNumberFormat="1" applyFont="1" applyFill="1" applyBorder="1" applyAlignment="1">
      <alignment vertical="center"/>
    </xf>
    <xf numFmtId="0" fontId="240" fillId="233" borderId="106" xfId="40" applyNumberFormat="1" applyFont="1" applyFill="1" applyBorder="1" applyAlignment="1">
      <alignment vertical="center"/>
    </xf>
    <xf numFmtId="0" fontId="240" fillId="234" borderId="106" xfId="40" applyNumberFormat="1" applyFont="1" applyFill="1" applyBorder="1" applyAlignment="1">
      <alignment vertical="center"/>
    </xf>
    <xf numFmtId="0" fontId="240" fillId="235" borderId="106" xfId="40" applyNumberFormat="1" applyFont="1" applyFill="1" applyBorder="1" applyAlignment="1">
      <alignment vertical="center"/>
    </xf>
    <xf numFmtId="0" fontId="240" fillId="218" borderId="215" xfId="40" applyNumberFormat="1" applyFont="1" applyFill="1" applyBorder="1" applyAlignment="1">
      <alignment vertical="center" wrapText="1"/>
    </xf>
    <xf numFmtId="0" fontId="240" fillId="109" borderId="215" xfId="40" applyNumberFormat="1" applyFont="1" applyFill="1" applyBorder="1" applyAlignment="1">
      <alignment vertical="center"/>
    </xf>
    <xf numFmtId="0" fontId="240" fillId="230" borderId="215" xfId="40" applyNumberFormat="1" applyFont="1" applyFill="1" applyBorder="1" applyAlignment="1">
      <alignment vertical="center"/>
    </xf>
    <xf numFmtId="0" fontId="240" fillId="231" borderId="215" xfId="40" applyNumberFormat="1" applyFont="1" applyFill="1" applyBorder="1" applyAlignment="1">
      <alignment vertical="center"/>
    </xf>
    <xf numFmtId="0" fontId="240" fillId="232" borderId="215" xfId="40" applyNumberFormat="1" applyFont="1" applyFill="1" applyBorder="1" applyAlignment="1">
      <alignment vertical="center"/>
    </xf>
    <xf numFmtId="0" fontId="240" fillId="233" borderId="215" xfId="40" applyNumberFormat="1" applyFont="1" applyFill="1" applyBorder="1" applyAlignment="1">
      <alignment vertical="center"/>
    </xf>
    <xf numFmtId="0" fontId="240" fillId="234" borderId="215" xfId="40" applyNumberFormat="1" applyFont="1" applyFill="1" applyBorder="1" applyAlignment="1">
      <alignment vertical="center"/>
    </xf>
    <xf numFmtId="0" fontId="240" fillId="235" borderId="215" xfId="40" applyNumberFormat="1" applyFont="1" applyFill="1" applyBorder="1" applyAlignment="1">
      <alignment vertical="center"/>
    </xf>
    <xf numFmtId="0" fontId="240" fillId="230" borderId="215" xfId="40" applyNumberFormat="1" applyFont="1" applyFill="1" applyBorder="1" applyAlignment="1">
      <alignment horizontal="center" vertical="center"/>
    </xf>
    <xf numFmtId="0" fontId="240" fillId="231" borderId="215" xfId="40" applyNumberFormat="1" applyFont="1" applyFill="1" applyBorder="1" applyAlignment="1">
      <alignment horizontal="center" vertical="center"/>
    </xf>
    <xf numFmtId="0" fontId="240" fillId="232" borderId="215" xfId="40" applyNumberFormat="1" applyFont="1" applyFill="1" applyBorder="1" applyAlignment="1">
      <alignment horizontal="center" vertical="center"/>
    </xf>
    <xf numFmtId="0" fontId="240" fillId="233" borderId="215" xfId="40" applyNumberFormat="1" applyFont="1" applyFill="1" applyBorder="1" applyAlignment="1">
      <alignment horizontal="center" vertical="center"/>
    </xf>
    <xf numFmtId="0" fontId="240" fillId="109" borderId="215" xfId="40" applyNumberFormat="1" applyFont="1" applyFill="1" applyBorder="1" applyAlignment="1">
      <alignment horizontal="center" vertical="center"/>
    </xf>
    <xf numFmtId="0" fontId="240" fillId="234" borderId="215" xfId="40" applyNumberFormat="1" applyFont="1" applyFill="1" applyBorder="1" applyAlignment="1">
      <alignment horizontal="center" vertical="center"/>
    </xf>
    <xf numFmtId="0" fontId="240" fillId="235" borderId="215" xfId="40" applyNumberFormat="1" applyFont="1" applyFill="1" applyBorder="1" applyAlignment="1">
      <alignment horizontal="center" vertical="center"/>
    </xf>
    <xf numFmtId="0" fontId="241" fillId="218" borderId="215" xfId="40" applyNumberFormat="1" applyFont="1" applyFill="1" applyBorder="1" applyAlignment="1">
      <alignment horizontal="center" vertical="center"/>
    </xf>
    <xf numFmtId="0" fontId="240" fillId="236" borderId="106" xfId="40" applyNumberFormat="1" applyFont="1" applyFill="1" applyBorder="1" applyAlignment="1">
      <alignment vertical="center" wrapText="1"/>
    </xf>
    <xf numFmtId="0" fontId="242" fillId="236" borderId="106" xfId="40" applyNumberFormat="1" applyFont="1" applyFill="1" applyBorder="1" applyAlignment="1">
      <alignment vertical="center" wrapText="1"/>
    </xf>
    <xf numFmtId="0" fontId="241" fillId="218" borderId="217" xfId="40" applyNumberFormat="1" applyFont="1" applyFill="1" applyBorder="1" applyAlignment="1">
      <alignment vertical="center" wrapText="1"/>
    </xf>
    <xf numFmtId="0" fontId="241" fillId="218" borderId="218" xfId="40" applyNumberFormat="1" applyFont="1" applyFill="1" applyBorder="1" applyAlignment="1">
      <alignment vertical="center" wrapText="1"/>
    </xf>
    <xf numFmtId="0" fontId="240" fillId="218" borderId="219" xfId="40" applyNumberFormat="1" applyFont="1" applyFill="1" applyBorder="1" applyAlignment="1">
      <alignment vertical="center"/>
    </xf>
    <xf numFmtId="0" fontId="242" fillId="236" borderId="220" xfId="40" applyNumberFormat="1" applyFont="1" applyFill="1" applyBorder="1" applyAlignment="1">
      <alignment vertical="center" wrapText="1"/>
    </xf>
    <xf numFmtId="0" fontId="240" fillId="109" borderId="221" xfId="40" applyNumberFormat="1" applyFont="1" applyFill="1" applyBorder="1" applyAlignment="1">
      <alignment vertical="center"/>
    </xf>
    <xf numFmtId="0" fontId="242" fillId="109" borderId="220" xfId="40" applyNumberFormat="1" applyFont="1" applyFill="1" applyBorder="1" applyAlignment="1">
      <alignment vertical="center" wrapText="1"/>
    </xf>
    <xf numFmtId="0" fontId="242" fillId="236" borderId="222" xfId="40" applyNumberFormat="1" applyFont="1" applyFill="1" applyBorder="1" applyAlignment="1">
      <alignment vertical="center" wrapText="1"/>
    </xf>
    <xf numFmtId="0" fontId="242" fillId="236" borderId="223" xfId="40" applyNumberFormat="1" applyFont="1" applyFill="1" applyBorder="1" applyAlignment="1">
      <alignment vertical="center" wrapText="1"/>
    </xf>
    <xf numFmtId="0" fontId="240" fillId="109" borderId="224" xfId="40" applyNumberFormat="1" applyFont="1" applyFill="1" applyBorder="1" applyAlignment="1">
      <alignment vertical="center"/>
    </xf>
    <xf numFmtId="0" fontId="240" fillId="109" borderId="221" xfId="40" applyNumberFormat="1" applyFont="1" applyFill="1" applyBorder="1" applyAlignment="1">
      <alignment horizontal="center" vertical="center"/>
    </xf>
    <xf numFmtId="0" fontId="240" fillId="109" borderId="224" xfId="40" applyNumberFormat="1" applyFont="1" applyFill="1" applyBorder="1" applyAlignment="1">
      <alignment horizontal="center" vertical="center"/>
    </xf>
    <xf numFmtId="0" fontId="248" fillId="109" borderId="106" xfId="40" applyNumberFormat="1" applyFont="1" applyFill="1" applyBorder="1" applyAlignment="1">
      <alignment vertical="center"/>
    </xf>
    <xf numFmtId="0" fontId="242" fillId="223" borderId="106" xfId="40" applyNumberFormat="1" applyFont="1" applyFill="1" applyBorder="1" applyAlignment="1">
      <alignment vertical="center" wrapText="1"/>
    </xf>
    <xf numFmtId="0" fontId="240" fillId="223" borderId="106" xfId="40" applyNumberFormat="1" applyFont="1" applyFill="1" applyBorder="1" applyAlignment="1">
      <alignment vertical="center"/>
    </xf>
    <xf numFmtId="0" fontId="240" fillId="223" borderId="106" xfId="40" applyNumberFormat="1" applyFont="1" applyFill="1" applyBorder="1" applyAlignment="1">
      <alignment horizontal="center" vertical="center"/>
    </xf>
    <xf numFmtId="0" fontId="241" fillId="222" borderId="212" xfId="40" applyNumberFormat="1" applyFont="1" applyFill="1" applyBorder="1" applyAlignment="1">
      <alignment vertical="center" wrapText="1"/>
    </xf>
    <xf numFmtId="0" fontId="241" fillId="222" borderId="213" xfId="40" applyNumberFormat="1" applyFont="1" applyFill="1" applyBorder="1" applyAlignment="1">
      <alignment vertical="center" wrapText="1"/>
    </xf>
    <xf numFmtId="0" fontId="241" fillId="222" borderId="214" xfId="40" applyNumberFormat="1" applyFont="1" applyFill="1" applyBorder="1" applyAlignment="1">
      <alignment vertical="center" wrapText="1"/>
    </xf>
    <xf numFmtId="0" fontId="242" fillId="218" borderId="106" xfId="40" applyNumberFormat="1" applyFont="1" applyFill="1" applyBorder="1" applyAlignment="1">
      <alignment vertical="center" wrapText="1"/>
    </xf>
    <xf numFmtId="0" fontId="240" fillId="109" borderId="106" xfId="40" applyNumberFormat="1" applyFont="1" applyFill="1" applyBorder="1" applyAlignment="1">
      <alignment vertical="top" wrapText="1"/>
    </xf>
    <xf numFmtId="0" fontId="242" fillId="109" borderId="106" xfId="40" applyNumberFormat="1" applyFont="1" applyFill="1" applyBorder="1" applyAlignment="1">
      <alignment vertical="top" wrapText="1"/>
    </xf>
    <xf numFmtId="0" fontId="240" fillId="109" borderId="225" xfId="40" applyNumberFormat="1" applyFont="1" applyFill="1" applyBorder="1" applyAlignment="1">
      <alignment vertical="top" wrapText="1"/>
    </xf>
    <xf numFmtId="0" fontId="242" fillId="109" borderId="226" xfId="40" applyNumberFormat="1" applyFont="1" applyFill="1" applyBorder="1" applyAlignment="1">
      <alignment vertical="top" wrapText="1"/>
    </xf>
    <xf numFmtId="0" fontId="240" fillId="109" borderId="226" xfId="40" applyNumberFormat="1" applyFont="1" applyFill="1" applyBorder="1" applyAlignment="1">
      <alignment vertical="top" wrapText="1"/>
    </xf>
    <xf numFmtId="0" fontId="242" fillId="109" borderId="227" xfId="40" applyNumberFormat="1" applyFont="1" applyFill="1" applyBorder="1" applyAlignment="1">
      <alignment vertical="top" wrapText="1"/>
    </xf>
    <xf numFmtId="0" fontId="240" fillId="223" borderId="225" xfId="40" applyNumberFormat="1" applyFont="1" applyFill="1" applyBorder="1" applyAlignment="1">
      <alignment vertical="top" wrapText="1"/>
    </xf>
    <xf numFmtId="0" fontId="242" fillId="223" borderId="226" xfId="40" applyNumberFormat="1" applyFont="1" applyFill="1" applyBorder="1" applyAlignment="1">
      <alignment vertical="top" wrapText="1"/>
    </xf>
    <xf numFmtId="0" fontId="240" fillId="223" borderId="226" xfId="40" applyNumberFormat="1" applyFont="1" applyFill="1" applyBorder="1" applyAlignment="1">
      <alignment vertical="top" wrapText="1"/>
    </xf>
    <xf numFmtId="0" fontId="242" fillId="223" borderId="227" xfId="40" applyNumberFormat="1" applyFont="1" applyFill="1" applyBorder="1" applyAlignment="1">
      <alignment vertical="top" wrapText="1"/>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1665">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4659260841701"/>
        </patternFill>
      </fill>
    </dxf>
    <dxf>
      <fill>
        <patternFill>
          <bgColor rgb="FF7030A0"/>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patternType="solid">
          <bgColor rgb="FFFBE7D3"/>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bgColor rgb="FFFBE7D3"/>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font>
      <fill>
        <patternFill patternType="solid">
          <bgColor rgb="FFE6B9B8"/>
        </patternFill>
      </fill>
    </dxf>
    <dxf>
      <font>
        <b/>
      </font>
      <fill>
        <patternFill patternType="solid">
          <bgColor rgb="FFE6B9B8"/>
        </patternFill>
      </fill>
    </dxf>
    <dxf>
      <font>
        <b/>
        <color rgb="FF000000"/>
      </font>
      <fill>
        <patternFill patternType="solid">
          <bgColor rgb="FFFF0000"/>
        </patternFill>
      </fill>
    </dxf>
    <dxf>
      <font>
        <b/>
      </font>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ONR : Ensemble des 32 cibles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1 : Sobriété</a:t>
            </a:r>
          </a:p>
        </c:rich>
      </c:tx>
      <c:overlay val="0"/>
      <c:spPr>
        <a:noFill/>
        <a:ln>
          <a:noFill/>
        </a:ln>
      </c:spPr>
    </c:title>
    <c:autoTitleDeleted val="0"/>
    <c:plotArea>
      <c:layout/>
      <c:pieChart>
        <c:varyColors val="1"/>
        <c:ser>
          <c:idx val="0"/>
          <c:order val="0"/>
          <c:tx>
            <c:strRef>
              <c:f>'Résultats synthèse'!$B$4</c:f>
              <c:strCache>
                <c:ptCount val="1"/>
                <c:pt idx="0">
                  <c:v>ONR 1 : Sobriété</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synthèse'!$G$4:$M$4</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2 : Inclusion</a:t>
            </a:r>
          </a:p>
        </c:rich>
      </c:tx>
      <c:overlay val="0"/>
      <c:spPr>
        <a:noFill/>
        <a:ln>
          <a:noFill/>
        </a:ln>
      </c:spPr>
    </c:title>
    <c:autoTitleDeleted val="0"/>
    <c:plotArea>
      <c:layout/>
      <c:pieChart>
        <c:varyColors val="1"/>
        <c:ser>
          <c:idx val="0"/>
          <c:order val="0"/>
          <c:tx>
            <c:strRef>
              <c:f>'Résultats synthèse'!$B$5</c:f>
              <c:strCache>
                <c:ptCount val="1"/>
                <c:pt idx="0">
                  <c:v>ONR 2 : Inclusion</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synthèse'!$G$5:$M$5</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3 : RSE</a:t>
            </a:r>
          </a:p>
        </c:rich>
      </c:tx>
      <c:overlay val="0"/>
      <c:spPr>
        <a:noFill/>
        <a:ln>
          <a:noFill/>
        </a:ln>
      </c:spPr>
    </c:title>
    <c:autoTitleDeleted val="0"/>
    <c:plotArea>
      <c:layout/>
      <c:pieChart>
        <c:varyColors val="1"/>
        <c:ser>
          <c:idx val="0"/>
          <c:order val="0"/>
          <c:tx>
            <c:strRef>
              <c:f>'Résultats synthèse'!$B$6</c:f>
              <c:strCache>
                <c:ptCount val="1"/>
                <c:pt idx="0">
                  <c:v>ONR 3 : RSE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synthèse'!$G$6:$M$6</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4 : Résilience et stratégie</a:t>
            </a:r>
          </a:p>
        </c:rich>
      </c:tx>
      <c:overlay val="0"/>
      <c:spPr>
        <a:noFill/>
        <a:ln>
          <a:noFill/>
        </a:ln>
      </c:spPr>
    </c:title>
    <c:autoTitleDeleted val="0"/>
    <c:plotArea>
      <c:layout/>
      <c:pieChart>
        <c:varyColors val="1"/>
        <c:ser>
          <c:idx val="0"/>
          <c:order val="0"/>
          <c:tx>
            <c:strRef>
              <c:f>'Résultats synthèse'!$B$7</c:f>
              <c:strCache>
                <c:ptCount val="1"/>
                <c:pt idx="0">
                  <c:v>ONR 4 : Résilience et stratégie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synthèse'!$G$7:$M$7</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5 : Management</a:t>
            </a:r>
          </a:p>
        </c:rich>
      </c:tx>
      <c:overlay val="0"/>
      <c:spPr>
        <a:noFill/>
        <a:ln>
          <a:noFill/>
        </a:ln>
      </c:spPr>
    </c:title>
    <c:autoTitleDeleted val="0"/>
    <c:plotArea>
      <c:layout/>
      <c:pieChart>
        <c:varyColors val="1"/>
        <c:ser>
          <c:idx val="0"/>
          <c:order val="0"/>
          <c:tx>
            <c:strRef>
              <c:f>'Résultats synthèse'!$B$8</c:f>
              <c:strCache>
                <c:ptCount val="1"/>
                <c:pt idx="0">
                  <c:v>ONR 5 : Management</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synthèse'!$G$8:$M$8</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officialLogoINR20261007" Type="http://schemas.openxmlformats.org/officeDocument/2006/relationships/image" Target="/xl/media/inr20261007_image.png"/></Relationships>
</file>

<file path=xl/drawings/_rels/drawing2.xml.rels><?xml version='1.0' encoding='UTF-8' standalone='yes'?>
<Relationships xmlns="http://schemas.openxmlformats.org/package/2006/relationships"><Relationship Id="officialLogoINR20261007" Type="http://schemas.openxmlformats.org/officeDocument/2006/relationships/image" Target="/xl/media/inr20261007_image.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inr20261007_drawing3.xml.rels><?xml version='1.0' encoding='UTF-8' standalone='yes'?>
<Relationships xmlns="http://schemas.openxmlformats.org/package/2006/relationships"><Relationship Type="http://schemas.openxmlformats.org/officeDocument/2006/relationships/image" Target="/xl/media/inr20261007_image.png" Id="R1641b25ecc3940ba"/></Relationships>
</file>

<file path=xl/drawings/_rels/inr20261007_drawing4.xml.rels><?xml version='1.0' encoding='UTF-8' standalone='yes'?>
<Relationships xmlns="http://schemas.openxmlformats.org/package/2006/relationships"><Relationship Type="http://schemas.openxmlformats.org/officeDocument/2006/relationships/image" Target="/xl/media/inr20261007_image.png" Id="R34c26571c7014388"/></Relationships>
</file>

<file path=xl/drawings/_rels/inr20261007_drawing5.xml.rels><?xml version='1.0' encoding='UTF-8' standalone='yes'?>
<Relationships xmlns="http://schemas.openxmlformats.org/package/2006/relationships"><Relationship Type="http://schemas.openxmlformats.org/officeDocument/2006/relationships/image" Target="/xl/media/inr20261007_image.png" Id="Rd0f8b23f0a7a4abc"/></Relationships>
</file>

<file path=xl/drawings/_rels/inr20261007_drawing6.xml.rels><?xml version='1.0' encoding='UTF-8' standalone='yes'?>
<Relationships xmlns="http://schemas.openxmlformats.org/package/2006/relationships"><Relationship Type="http://schemas.openxmlformats.org/officeDocument/2006/relationships/image" Target="/xl/media/inr20261007_image.png" Id="Rf6467eda94464bb5"/></Relationships>
</file>

<file path=xl/drawings/_rels/inr20261007_drawing7.xml.rels><?xml version='1.0' encoding='UTF-8' standalone='yes'?>
<Relationships xmlns="http://schemas.openxmlformats.org/package/2006/relationships"><Relationship Type="http://schemas.openxmlformats.org/officeDocument/2006/relationships/image" Target="/xl/media/inr20261007_image.png" Id="R5e03a6a319674c4e"/></Relationships>
</file>

<file path=xl/drawings/_rels/inr20261007_drawing8.xml.rels><?xml version='1.0' encoding='UTF-8' standalone='yes'?>
<Relationships xmlns="http://schemas.openxmlformats.org/package/2006/relationships"><Relationship Type="http://schemas.openxmlformats.org/officeDocument/2006/relationships/image" Target="/xl/media/inr20261007_image.png" Id="R009525bc9d6e404c"/></Relationships>
</file>

<file path=xl/drawings/_rels/inr20261007_drawing9.xml.rels><?xml version='1.0' encoding='UTF-8' standalone='yes'?>
<Relationships xmlns="http://schemas.openxmlformats.org/package/2006/relationships"><Relationship Type="http://schemas.openxmlformats.org/officeDocument/2006/relationships/image" Target="/xl/media/inr20261007_image.png" Id="R8c85558606f24767"/></Relationships>
</file>

<file path=xl/drawings/_rels/inr20261007_drawing10.xml.rels><?xml version='1.0' encoding='UTF-8' standalone='yes'?>
<Relationships xmlns="http://schemas.openxmlformats.org/package/2006/relationships"><Relationship Type="http://schemas.openxmlformats.org/officeDocument/2006/relationships/image" Target="/xl/media/inr20261007_image.png" Id="R4133cfea2974438b"/><Relationship Type="http://schemas.openxmlformats.org/officeDocument/2006/relationships/chart" Target="/xl/drawings/charts/inr20261007_chart1.xml" Id="R1e9ea38c3cdb4831"/><Relationship Type="http://schemas.openxmlformats.org/officeDocument/2006/relationships/chart" Target="/xl/drawings/charts/inr20261007_chart2.xml" Id="Rf6fef42f66cd425f"/></Relationships>
</file>

<file path=xl/drawings/_rels/inr20261007_drawing11.xml.rels><?xml version='1.0' encoding='UTF-8' standalone='yes'?>
<Relationships xmlns="http://schemas.openxmlformats.org/package/2006/relationships"><Relationship Type="http://schemas.openxmlformats.org/officeDocument/2006/relationships/image" Target="/xl/media/inr20261007_image.png" Id="R88a94acdc061494d"/></Relationships>
</file>

<file path=xl/drawings/_rels/summary20261007_drawing3.xml.rels><?xml version='1.0' encoding='UTF-8' standalone='yes'?>
<Relationships xmlns="http://schemas.openxmlformats.org/package/2006/relationships"><Relationship Type="http://schemas.openxmlformats.org/officeDocument/2006/relationships/chart" Target="/xl/drawings/charts/summary20261007_chart1.xml" Id="R38dbbba435e943c3"/></Relationships>
</file>

<file path=xl/drawings/charts/inr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Part des cibles évaluées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Part évaluée</c:v>
          </c:tx>
          <c:spPr>
            <a:solidFill xmlns:a="http://schemas.openxmlformats.org/drawingml/2006/main">
              <a:srgbClr val="4BACC6"/>
            </a:solidFill>
          </c:spPr>
          <c:cat>
            <c:strRef>
              <c:f>'Résultats synthèse'!$B$11:$B$15</c:f>
              <c:strCache>
                <c:ptCount val="0"/>
              </c:strCache>
            </c:strRef>
          </c:cat>
          <c:val>
            <c:numRef>
              <c:f>'Résultats synthèse'!$F$11:$F$15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inr20261007_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Cibles urgentes et prioritaires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Urgentes</c:v>
          </c:tx>
          <c:spPr>
            <a:solidFill xmlns:a="http://schemas.openxmlformats.org/drawingml/2006/main">
              <a:srgbClr val="FF0000"/>
            </a:solidFill>
          </c:spPr>
          <c:cat>
            <c:strRef>
              <c:f>'Résultats synthèse'!$B$11:$B$15</c:f>
              <c:strCache>
                <c:ptCount val="0"/>
              </c:strCache>
            </c:strRef>
          </c:cat>
          <c:val>
            <c:numRef>
              <c:f>'Résultats synthèse'!$H$11:$H$15</c:f>
              <c:numCache>
                <c:formatCode>0</c:formatCode>
                <c:ptCount val="0"/>
              </c:numCache>
            </c:numRef>
          </c:val>
        </c:ser>
        <c:ser>
          <c:idx val="1"/>
          <c:order val="1"/>
          <c:tx>
            <c:v>Prioritaires</c:v>
          </c:tx>
          <c:spPr>
            <a:solidFill xmlns:a="http://schemas.openxmlformats.org/drawingml/2006/main">
              <a:srgbClr val="FFC000"/>
            </a:solidFill>
          </c:spPr>
          <c:cat>
            <c:strRef>
              <c:f>'Résultats synthèse'!$B$11:$B$15</c:f>
              <c:strCache>
                <c:ptCount val="0"/>
              </c:strCache>
            </c:strRef>
          </c:cat>
          <c:val>
            <c:numRef>
              <c:f>'Résultats synthèse'!$I$11:$I$15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majorUnit val="1"/>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summary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Répartition des 32 cibles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Cibles</c:v>
          </c:tx>
          <c:spPr>
            <a:solidFill xmlns:a="http://schemas.openxmlformats.org/drawingml/2006/main">
              <a:srgbClr val="5B8C76"/>
            </a:solidFill>
          </c:spPr>
          <c:cat>
            <c:strRef>
              <c:f>'Résultats synthèse'!$B$28:$B$35</c:f>
              <c:strCache>
                <c:ptCount val="0"/>
              </c:strCache>
            </c:strRef>
          </c:cat>
          <c:val>
            <c:numRef>
              <c:f>'Résultats synthèse'!$C$28:$C$35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mlns:a="http://schemas.openxmlformats.org/drawingml/2006/main">
  <xdr:twoCellAnchor>
    <xdr:from>
      <xdr:col>0</xdr:col>
      <xdr:colOff>19050</xdr:colOff>
      <xdr:row>4</xdr:row>
      <xdr:rowOff>0</xdr:rowOff>
    </xdr:from>
    <xdr:to>
      <xdr:col>12</xdr:col>
      <xdr:colOff>390525</xdr:colOff>
      <xdr:row>65</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a:t>
          </a:r>
          <a:r>
            <a:rPr lang="fr-CA" sz="1100" baseline="0">
              <a:solidFill>
                <a:schemeClr val="dk1"/>
              </a:solidFill>
              <a:effectLst/>
              <a:latin typeface="+mn-lt"/>
              <a:ea typeface="+mn-ea"/>
              <a:cs typeface="+mn-cs"/>
            </a:rPr>
            <a:t> à</a:t>
          </a:r>
          <a:r>
            <a:rPr lang="fr-CA" sz="1100">
              <a:solidFill>
                <a:schemeClr val="dk1"/>
              </a:solidFill>
              <a:effectLst/>
              <a:latin typeface="+mn-lt"/>
              <a:ea typeface="+mn-ea"/>
              <a:cs typeface="+mn-cs"/>
            </a:rPr>
            <a:t> La Rochelle Université et à LaNum Pays Basque.</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spéficiquement pour encadrer des projets NR pour tout type d'organisation </a:t>
          </a:r>
          <a:endParaRPr lang="fr-FR">
            <a:effectLs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57e11928-67da-43e8-bf4d-cd8442aff663"/>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28574</xdr:colOff>
      <xdr:row>4</xdr:row>
      <xdr:rowOff>28572</xdr:rowOff>
    </xdr:from>
    <xdr:to>
      <xdr:col>11</xdr:col>
      <xdr:colOff>761999</xdr:colOff>
      <xdr:row>163</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Identifier les compétences internes et externes à mobiliser pour agir sur chaque cible.</a:t>
          </a:r>
          <a:r>
            <a:rPr lang="fr-CA" sz="1200" b="0" i="0" baseline="0">
              <a:solidFill>
                <a:schemeClr val="dk1"/>
              </a:solidFill>
              <a:effectLst/>
              <a:latin typeface="+mn-lt"/>
              <a:ea typeface="+mn-ea"/>
              <a:cs typeface="+mn-cs"/>
            </a:rPr>
            <a:t/>
          </a:r>
          <a:r>
            <a:rPr lang="fr-CA" sz="1200" b="0" i="0">
              <a:solidFill>
                <a:schemeClr val="dk1"/>
              </a:solidFill>
              <a:effectLst/>
              <a:latin typeface="+mn-lt"/>
              <a:ea typeface="+mn-ea"/>
              <a:cs typeface="+mn-cs"/>
            </a:rPr>
            <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Réaliser cette analyse avec les équipes concernées, en tenant compte des ressources et des partenaires disponibles. Ce choix ne modifie pas le niveau de priorité.</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valeurs de 1 à 4 identifient les compétences à mobiliser.</a:t>
          </a:r>
          <a:r>
            <a:rPr lang="fr-CA" sz="1200" b="0" i="0">
              <a:solidFill>
                <a:sysClr val="windowText" lastClr="000000"/>
              </a:solidFill>
              <a:effectLst/>
              <a:latin typeface="+mn-lt"/>
              <a:ea typeface="+mn-ea"/>
              <a:cs typeface="+mn-cs"/>
            </a:rPr>
            <a:t/>
          </a:r>
        </a:p>
        <a:p>
          <a:r>
            <a:rPr lang="fr-CA" sz="1200" b="0" i="0">
              <a:solidFill>
                <a:sysClr val="windowText" lastClr="000000"/>
              </a:solidFill>
              <a:effectLst/>
              <a:latin typeface="+mn-lt"/>
              <a:ea typeface="+mn-ea"/>
              <a:cs typeface="+mn-cs"/>
            </a:rPr>
            <a:t>1 - Équipe NR / RSE</a:t>
          </a:r>
        </a:p>
        <a:p>
          <a:r>
            <a:rPr lang="fr-CA" sz="1200" b="0" i="0">
              <a:solidFill>
                <a:sysClr val="windowText" lastClr="000000"/>
              </a:solidFill>
              <a:effectLst/>
              <a:latin typeface="+mn-lt"/>
              <a:ea typeface="+mn-ea"/>
              <a:cs typeface="+mn-cs"/>
            </a:rPr>
            <a:t>2 - NR / RSE et DSI</a:t>
          </a:r>
        </a:p>
        <a:p>
          <a:r>
            <a:rPr lang="fr-CA" sz="1200" b="0" i="0">
              <a:solidFill>
                <a:sysClr val="windowText" lastClr="000000"/>
              </a:solidFill>
              <a:effectLst/>
              <a:latin typeface="+mn-lt"/>
              <a:ea typeface="+mn-ea"/>
              <a:cs typeface="+mn-cs"/>
            </a:rPr>
            <a:t>3 - NR / RSE et équipe hors DSI ; 4 - Intervention extérieure</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9bd40fee-3145-48bd-b262-f6546a52b031"/>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76199</xdr:colOff>
      <xdr:row>9</xdr:row>
      <xdr:rowOff>10885</xdr:rowOff>
    </xdr:from>
    <xdr:to>
      <xdr:col>23</xdr:col>
      <xdr:colOff>228599</xdr:colOff>
      <xdr:row>17</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76199</xdr:colOff>
      <xdr:row>18</xdr:row>
      <xdr:rowOff>10885</xdr:rowOff>
    </xdr:from>
    <xdr:to>
      <xdr:col>23</xdr:col>
      <xdr:colOff>228599</xdr:colOff>
      <xdr:row>26</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76199</xdr:colOff>
      <xdr:row>27</xdr:row>
      <xdr:rowOff>10885</xdr:rowOff>
    </xdr:from>
    <xdr:to>
      <xdr:col>23</xdr:col>
      <xdr:colOff>228599</xdr:colOff>
      <xdr:row>35</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76199</xdr:colOff>
      <xdr:row>36</xdr:row>
      <xdr:rowOff>10885</xdr:rowOff>
    </xdr:from>
    <xdr:to>
      <xdr:col>23</xdr:col>
      <xdr:colOff>228599</xdr:colOff>
      <xdr:row>44</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76199</xdr:colOff>
      <xdr:row>45</xdr:row>
      <xdr:rowOff>10885</xdr:rowOff>
    </xdr:from>
    <xdr:to>
      <xdr:col>23</xdr:col>
      <xdr:colOff>228599</xdr:colOff>
      <xdr:row>53</xdr:row>
      <xdr:rowOff>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inr20261007_drawing3.xml><?xml version="1.0" encoding="utf-8"?>
<xdr:wsDr xmlns:xdr="http://schemas.openxmlformats.org/drawingml/2006/spreadsheetDrawing">
  <xdr:oneCellAnchor>
    <xdr:from>
      <xdr:col>4</xdr:col>
      <xdr:colOff>114300</xdr:colOff>
      <xdr:row>1</xdr:row>
      <xdr:rowOff>47625</xdr:rowOff>
    </xdr:from>
    <xdr:ext cx="2000250" cy="638175"/>
    <xdr:pic>
      <xdr:nvPicPr>
        <xdr:cNvPr id="1" name="253580d9-a043-4736-af34-c3bf36bb7bd2"/>
        <xdr:cNvPicPr>
          <a:picLocks xmlns:a="http://schemas.openxmlformats.org/drawingml/2006/main" noChangeAspect="1"/>
        </xdr:cNvPicPr>
      </xdr:nvPicPr>
      <xdr:blipFill>
        <a:blip xmlns:r="http://schemas.openxmlformats.org/officeDocument/2006/relationships" xmlns:a="http://schemas.openxmlformats.org/drawingml/2006/main" r:embed="R1641b25ecc3940ba"/>
        <a:stretch xmlns:a="http://schemas.openxmlformats.org/drawingml/2006/main">
          <a:fillRect/>
        </a:stretch>
      </xdr:blipFill>
      <xdr:spPr>
        <a:prstGeom xmlns:a="http://schemas.openxmlformats.org/drawingml/2006/main" prst="rect"/>
      </xdr:spPr>
    </xdr:pic>
    <xdr:clientData/>
  </xdr:oneCellAnchor>
</xdr:wsDr>
</file>

<file path=xl/drawings/inr20261007_drawing4.xml><?xml version="1.0" encoding="utf-8"?>
<xdr:wsDr xmlns:xdr="http://schemas.openxmlformats.org/drawingml/2006/spreadsheetDrawing">
  <xdr:oneCellAnchor>
    <xdr:from>
      <xdr:col>21</xdr:col>
      <xdr:colOff>114300</xdr:colOff>
      <xdr:row>1</xdr:row>
      <xdr:rowOff>38100</xdr:rowOff>
    </xdr:from>
    <xdr:ext cx="2000250" cy="638175"/>
    <xdr:pic>
      <xdr:nvPicPr>
        <xdr:cNvPr id="1" name="5ba0819c-73d0-49f8-9222-16d663e15aa0"/>
        <xdr:cNvPicPr>
          <a:picLocks xmlns:a="http://schemas.openxmlformats.org/drawingml/2006/main" noChangeAspect="1"/>
        </xdr:cNvPicPr>
      </xdr:nvPicPr>
      <xdr:blipFill>
        <a:blip xmlns:r="http://schemas.openxmlformats.org/officeDocument/2006/relationships" xmlns:a="http://schemas.openxmlformats.org/drawingml/2006/main" r:embed="R34c26571c7014388"/>
        <a:stretch xmlns:a="http://schemas.openxmlformats.org/drawingml/2006/main">
          <a:fillRect/>
        </a:stretch>
      </xdr:blipFill>
      <xdr:spPr>
        <a:prstGeom xmlns:a="http://schemas.openxmlformats.org/drawingml/2006/main" prst="rect"/>
      </xdr:spPr>
    </xdr:pic>
    <xdr:clientData/>
  </xdr:oneCellAnchor>
</xdr:wsDr>
</file>

<file path=xl/drawings/inr20261007_drawing5.xml><?xml version="1.0" encoding="utf-8"?>
<xdr:wsDr xmlns:xdr="http://schemas.openxmlformats.org/drawingml/2006/spreadsheetDrawing">
  <xdr:oneCellAnchor>
    <xdr:from>
      <xdr:col>21</xdr:col>
      <xdr:colOff>114300</xdr:colOff>
      <xdr:row>1</xdr:row>
      <xdr:rowOff>38100</xdr:rowOff>
    </xdr:from>
    <xdr:ext cx="2000250" cy="638175"/>
    <xdr:pic>
      <xdr:nvPicPr>
        <xdr:cNvPr id="1" name="1a59bba7-19d6-49ba-821e-248463433195"/>
        <xdr:cNvPicPr>
          <a:picLocks xmlns:a="http://schemas.openxmlformats.org/drawingml/2006/main" noChangeAspect="1"/>
        </xdr:cNvPicPr>
      </xdr:nvPicPr>
      <xdr:blipFill>
        <a:blip xmlns:r="http://schemas.openxmlformats.org/officeDocument/2006/relationships" xmlns:a="http://schemas.openxmlformats.org/drawingml/2006/main" r:embed="Rd0f8b23f0a7a4abc"/>
        <a:stretch xmlns:a="http://schemas.openxmlformats.org/drawingml/2006/main">
          <a:fillRect/>
        </a:stretch>
      </xdr:blipFill>
      <xdr:spPr>
        <a:prstGeom xmlns:a="http://schemas.openxmlformats.org/drawingml/2006/main" prst="rect"/>
      </xdr:spPr>
    </xdr:pic>
    <xdr:clientData/>
  </xdr:oneCellAnchor>
</xdr:wsDr>
</file>

<file path=xl/drawings/inr20261007_drawing6.xml><?xml version="1.0" encoding="utf-8"?>
<xdr:wsDr xmlns:xdr="http://schemas.openxmlformats.org/drawingml/2006/spreadsheetDrawing">
  <xdr:oneCellAnchor>
    <xdr:from>
      <xdr:col>21</xdr:col>
      <xdr:colOff>114300</xdr:colOff>
      <xdr:row>1</xdr:row>
      <xdr:rowOff>38100</xdr:rowOff>
    </xdr:from>
    <xdr:ext cx="2000250" cy="638175"/>
    <xdr:pic>
      <xdr:nvPicPr>
        <xdr:cNvPr id="1" name="1b76089d-f7b4-461a-bc2a-0b97e5c05474"/>
        <xdr:cNvPicPr>
          <a:picLocks xmlns:a="http://schemas.openxmlformats.org/drawingml/2006/main" noChangeAspect="1"/>
        </xdr:cNvPicPr>
      </xdr:nvPicPr>
      <xdr:blipFill>
        <a:blip xmlns:r="http://schemas.openxmlformats.org/officeDocument/2006/relationships" xmlns:a="http://schemas.openxmlformats.org/drawingml/2006/main" r:embed="Rf6467eda94464bb5"/>
        <a:stretch xmlns:a="http://schemas.openxmlformats.org/drawingml/2006/main">
          <a:fillRect/>
        </a:stretch>
      </xdr:blipFill>
      <xdr:spPr>
        <a:prstGeom xmlns:a="http://schemas.openxmlformats.org/drawingml/2006/main" prst="rect"/>
      </xdr:spPr>
    </xdr:pic>
    <xdr:clientData/>
  </xdr:oneCellAnchor>
</xdr:wsDr>
</file>

<file path=xl/drawings/inr20261007_drawing7.xml><?xml version="1.0" encoding="utf-8"?>
<xdr:wsDr xmlns:xdr="http://schemas.openxmlformats.org/drawingml/2006/spreadsheetDrawing">
  <xdr:oneCellAnchor>
    <xdr:from>
      <xdr:col>21</xdr:col>
      <xdr:colOff>114300</xdr:colOff>
      <xdr:row>1</xdr:row>
      <xdr:rowOff>38100</xdr:rowOff>
    </xdr:from>
    <xdr:ext cx="2000250" cy="638175"/>
    <xdr:pic>
      <xdr:nvPicPr>
        <xdr:cNvPr id="1" name="9b925086-4e52-4a38-8282-40c16f0a476c"/>
        <xdr:cNvPicPr>
          <a:picLocks xmlns:a="http://schemas.openxmlformats.org/drawingml/2006/main" noChangeAspect="1"/>
        </xdr:cNvPicPr>
      </xdr:nvPicPr>
      <xdr:blipFill>
        <a:blip xmlns:r="http://schemas.openxmlformats.org/officeDocument/2006/relationships" xmlns:a="http://schemas.openxmlformats.org/drawingml/2006/main" r:embed="R5e03a6a319674c4e"/>
        <a:stretch xmlns:a="http://schemas.openxmlformats.org/drawingml/2006/main">
          <a:fillRect/>
        </a:stretch>
      </xdr:blipFill>
      <xdr:spPr>
        <a:prstGeom xmlns:a="http://schemas.openxmlformats.org/drawingml/2006/main" prst="rect"/>
      </xdr:spPr>
    </xdr:pic>
    <xdr:clientData/>
  </xdr:oneCellAnchor>
</xdr:wsDr>
</file>

<file path=xl/drawings/inr20261007_drawing8.xml><?xml version="1.0" encoding="utf-8"?>
<xdr:wsDr xmlns:xdr="http://schemas.openxmlformats.org/drawingml/2006/spreadsheetDrawing">
  <xdr:oneCellAnchor>
    <xdr:from>
      <xdr:col>21</xdr:col>
      <xdr:colOff>114300</xdr:colOff>
      <xdr:row>1</xdr:row>
      <xdr:rowOff>38100</xdr:rowOff>
    </xdr:from>
    <xdr:ext cx="2000250" cy="638175"/>
    <xdr:pic>
      <xdr:nvPicPr>
        <xdr:cNvPr id="1" name="67e8ff89-b205-4e84-b992-af3db7ffe8a1"/>
        <xdr:cNvPicPr>
          <a:picLocks xmlns:a="http://schemas.openxmlformats.org/drawingml/2006/main" noChangeAspect="1"/>
        </xdr:cNvPicPr>
      </xdr:nvPicPr>
      <xdr:blipFill>
        <a:blip xmlns:r="http://schemas.openxmlformats.org/officeDocument/2006/relationships" xmlns:a="http://schemas.openxmlformats.org/drawingml/2006/main" r:embed="R009525bc9d6e404c"/>
        <a:stretch xmlns:a="http://schemas.openxmlformats.org/drawingml/2006/main">
          <a:fillRect/>
        </a:stretch>
      </xdr:blipFill>
      <xdr:spPr>
        <a:prstGeom xmlns:a="http://schemas.openxmlformats.org/drawingml/2006/main" prst="rect"/>
      </xdr:spPr>
    </xdr:pic>
    <xdr:clientData/>
  </xdr:oneCellAnchor>
</xdr:wsDr>
</file>

<file path=xl/drawings/inr20261007_drawing9.xml><?xml version="1.0" encoding="utf-8"?>
<xdr:wsDr xmlns:xdr="http://schemas.openxmlformats.org/drawingml/2006/spreadsheetDrawing">
  <xdr:oneCellAnchor>
    <xdr:from>
      <xdr:col>39</xdr:col>
      <xdr:colOff>114300</xdr:colOff>
      <xdr:row>1</xdr:row>
      <xdr:rowOff>47625</xdr:rowOff>
    </xdr:from>
    <xdr:ext cx="2000250" cy="638175"/>
    <xdr:pic>
      <xdr:nvPicPr>
        <xdr:cNvPr id="1" name="e81248c7-2f0d-494e-9b17-442281be75de"/>
        <xdr:cNvPicPr>
          <a:picLocks xmlns:a="http://schemas.openxmlformats.org/drawingml/2006/main" noChangeAspect="1"/>
        </xdr:cNvPicPr>
      </xdr:nvPicPr>
      <xdr:blipFill>
        <a:blip xmlns:r="http://schemas.openxmlformats.org/officeDocument/2006/relationships" xmlns:a="http://schemas.openxmlformats.org/drawingml/2006/main" r:embed="R8c85558606f24767"/>
        <a:stretch xmlns:a="http://schemas.openxmlformats.org/drawingml/2006/main">
          <a:fillRect/>
        </a:stretch>
      </xdr:blipFill>
      <xdr:spPr>
        <a:prstGeom xmlns:a="http://schemas.openxmlformats.org/drawingml/2006/main" prst="rect"/>
      </xdr:spPr>
    </xdr:pic>
    <xdr:clientData/>
  </xdr:oneCellAnchor>
</xdr:wsDr>
</file>

<file path=xl/drawings/inr20261007_drawing10.xml><?xml version="1.0" encoding="utf-8"?>
<xdr:wsDr xmlns:xdr="http://schemas.openxmlformats.org/drawingml/2006/spreadsheetDrawing">
  <xdr:twoCellAnchor>
    <xdr:from>
      <xdr:col>1</xdr:col>
      <xdr:colOff>0</xdr:colOff>
      <xdr:row>21</xdr:row>
      <xdr:rowOff>0</xdr:rowOff>
    </xdr:from>
    <xdr:to>
      <xdr:col>7</xdr:col>
      <xdr:colOff>0</xdr:colOff>
      <xdr:row>34</xdr:row>
      <xdr:rowOff>0</xdr:rowOff>
    </xdr:to>
    <xdr:graphicFrame macro="">
      <xdr:nvGraphicFramePr>
        <xdr:cNvPr id="1" name="Couverture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9ea38c3cdb4831"/>
        </a:graphicData>
      </a:graphic>
    </xdr:graphicFrame>
    <xdr:clientData/>
  </xdr:twoCellAnchor>
  <xdr:twoCellAnchor>
    <xdr:from>
      <xdr:col>7</xdr:col>
      <xdr:colOff>0</xdr:colOff>
      <xdr:row>21</xdr:row>
      <xdr:rowOff>0</xdr:rowOff>
    </xdr:from>
    <xdr:to>
      <xdr:col>13</xdr:col>
      <xdr:colOff>0</xdr:colOff>
      <xdr:row>34</xdr:row>
      <xdr:rowOff>0</xdr:rowOff>
    </xdr:to>
    <xdr:graphicFrame macro="">
      <xdr:nvGraphicFramePr>
        <xdr:cNvPr id="2" name="Priorités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fef42f66cd425f"/>
        </a:graphicData>
      </a:graphic>
    </xdr:graphicFrame>
    <xdr:clientData/>
  </xdr:twoCellAnchor>
  <xdr:oneCellAnchor>
    <xdr:from>
      <xdr:col>10</xdr:col>
      <xdr:colOff>95250</xdr:colOff>
      <xdr:row>1</xdr:row>
      <xdr:rowOff>47625</xdr:rowOff>
    </xdr:from>
    <xdr:ext cx="2000250" cy="638175"/>
    <xdr:pic>
      <xdr:nvPicPr>
        <xdr:cNvPr id="3" name="966d4c1d-e16d-4837-80a0-1444665fbe1b"/>
        <xdr:cNvPicPr>
          <a:picLocks xmlns:a="http://schemas.openxmlformats.org/drawingml/2006/main" noChangeAspect="1"/>
        </xdr:cNvPicPr>
      </xdr:nvPicPr>
      <xdr:blipFill>
        <a:blip xmlns:r="http://schemas.openxmlformats.org/officeDocument/2006/relationships" xmlns:a="http://schemas.openxmlformats.org/drawingml/2006/main" r:embed="R4133cfea2974438b"/>
        <a:stretch xmlns:a="http://schemas.openxmlformats.org/drawingml/2006/main">
          <a:fillRect/>
        </a:stretch>
      </xdr:blipFill>
      <xdr:spPr>
        <a:prstGeom xmlns:a="http://schemas.openxmlformats.org/drawingml/2006/main" prst="rect"/>
      </xdr:spPr>
    </xdr:pic>
    <xdr:clientData/>
  </xdr:oneCellAnchor>
</xdr:wsDr>
</file>

<file path=xl/drawings/inr20261007_drawing11.xml><?xml version="1.0" encoding="utf-8"?>
<xdr:wsDr xmlns:xdr="http://schemas.openxmlformats.org/drawingml/2006/spreadsheetDrawing">
  <xdr:oneCellAnchor>
    <xdr:from>
      <xdr:col>2</xdr:col>
      <xdr:colOff>114300</xdr:colOff>
      <xdr:row>0</xdr:row>
      <xdr:rowOff>47625</xdr:rowOff>
    </xdr:from>
    <xdr:ext cx="2000250" cy="638175"/>
    <xdr:pic>
      <xdr:nvPicPr>
        <xdr:cNvPr id="1" name="ad6eca7f-2512-4327-a38b-5fd4332cec7e"/>
        <xdr:cNvPicPr>
          <a:picLocks xmlns:a="http://schemas.openxmlformats.org/drawingml/2006/main" noChangeAspect="1"/>
        </xdr:cNvPicPr>
      </xdr:nvPicPr>
      <xdr:blipFill>
        <a:blip xmlns:r="http://schemas.openxmlformats.org/officeDocument/2006/relationships" xmlns:a="http://schemas.openxmlformats.org/drawingml/2006/main" r:embed="R88a94acdc061494d"/>
        <a:stretch xmlns:a="http://schemas.openxmlformats.org/drawingml/2006/main">
          <a:fillRect/>
        </a:stretch>
      </xdr:blipFill>
      <xdr:spPr>
        <a:prstGeom xmlns:a="http://schemas.openxmlformats.org/drawingml/2006/main" prst="rect"/>
      </xdr:spPr>
    </xdr:pic>
    <xdr:clientData/>
  </xdr:oneCellAnchor>
</xdr:wsDr>
</file>

<file path=xl/drawings/summary20261007_drawing3.xml><?xml version="1.0" encoding="utf-8"?>
<xdr:wsDr xmlns:xdr="http://schemas.openxmlformats.org/drawingml/2006/spreadsheetDrawing">
  <xdr:twoCellAnchor>
    <xdr:from>
      <xdr:col>4</xdr:col>
      <xdr:colOff>0</xdr:colOff>
      <xdr:row>26</xdr:row>
      <xdr:rowOff>0</xdr:rowOff>
    </xdr:from>
    <xdr:to>
      <xdr:col>13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dbbba435e943c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logoINR20261007" Type="http://schemas.openxmlformats.org/officeDocument/2006/relationships/drawing" Target="/xl/drawings/inr20261007_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logoINR20261007" Type="http://schemas.openxmlformats.org/officeDocument/2006/relationships/drawing" Target="/xl/drawings/inr20261007_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logoINR20261007" Type="http://schemas.openxmlformats.org/officeDocument/2006/relationships/drawing" Target="/xl/drawings/inr20261007_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logoINR20261007" Type="http://schemas.openxmlformats.org/officeDocument/2006/relationships/drawing" Target="/xl/drawings/inr20261007_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logoINR20261007" Type="http://schemas.openxmlformats.org/officeDocument/2006/relationships/drawing" Target="/xl/drawings/inr20261007_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logoINR20261007" Type="http://schemas.openxmlformats.org/officeDocument/2006/relationships/drawing" Target="/xl/drawings/inr20261007_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logoINR20261007" Type="http://schemas.openxmlformats.org/officeDocument/2006/relationships/drawing" Target="/xl/drawings/inr20261007_drawing9.xml"/></Relationships>
</file>

<file path=xl/worksheets/_rels/sheet11.xml.rels><?xml version='1.0' encoding='UTF-8' standalone='yes'?>
<Relationships xmlns="http://schemas.openxmlformats.org/package/2006/relationships"><Relationship Id="logoINR20261007" Type="http://schemas.openxmlformats.org/officeDocument/2006/relationships/drawing" Target="/xl/drawings/inr20261007_drawing10.xml"/></Relationships>
</file>

<file path=xl/worksheets/_rels/sheet12.xml.rels><?xml version='1.0' encoding='UTF-8' standalone='yes'?>
<Relationships xmlns="http://schemas.openxmlformats.org/package/2006/relationships"><Relationship Id="logoINR20261007" Type="http://schemas.openxmlformats.org/officeDocument/2006/relationships/drawing" Target="/xl/drawings/inr20261007_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tabSelected="1" zoomScaleNormal="100" workbookViewId="0">
      <selection activeCell="N52" sqref="N5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26" t="s">
        <v>1</v>
      </c>
      <c r="C2" s="327"/>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drawing r:id="logoINR20261007"/>
</worksheet>
</file>

<file path=xl/worksheets/sheet4.xml><?xml version="1.0" encoding="utf-8"?>
<x:worksheet xmlns:x="http://schemas.openxmlformats.org/spreadsheetml/2006/main">
  <x:sheetPr>
    <x:tabColor theme="4"/>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16.6640625" style="866" hidden="1" customWidth="1"/>
    <x:col min="13" max="13" width="17.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8.6640625" style="871" hidden="1" customWidth="1"/>
    <x:col min="24" max="24" width="78.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1 : Sobriété · Utiliser les outils numériques pour consommer moins de ressources et réduire leurs effets sur l’environnement</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731" t="str">
        <x:v>Cibles à évaluer</x:v>
      </x:c>
      <x:c r="C4" s="1732"/>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733"/>
      <x:c r="C5" s="1734"/>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752"/>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766"/>
      <x:c r="W6" s="1765"/>
      <x:c r="X6" s="1107"/>
    </x:row>
    <x:row r="7" s="952" customFormat="1" ht="76" customHeight="1">
      <x:c r="A7" s="951"/>
      <x:c r="B7" s="1803" t="inlineStr">
        <x:is>
          <x:t xml:space="preserve">1.1</x:t>
        </x:is>
      </x:c>
      <x:c r="C7" s="1795" t="inlineStr">
        <x:is>
          <x:t xml:space="preserve">Prendre en compte toutes les étapes de la vie des équipements et des logiciels, de leur création à leur fin de vie, pour contribuer à la transition énergétique.</x:t>
        </x:is>
      </x:c>
      <x:c r="D7" s="1798"/>
      <x:c r="E7" s="1802"/>
      <x:c r="F7" s="1802"/>
      <x:c r="G7" s="1798"/>
      <x:c r="H7" s="1802"/>
      <x:c r="I7" s="1799"/>
      <x:c r="J7" s="1806" t="str">
        <x:f>S7</x:f>
      </x:c>
      <x:c r="K7" s="1777" t="str">
        <x:f>IF(IF(ISNUMBER(E7),AND(E7&gt;=0,E7&lt;=3,MOD(E7,1)=0),FALSE),IF(E7=0,0,IF(IF(ISNUMBER(F7),AND(F7&gt;=1,F7&lt;=4,MOD(F7,1)=0),FALSE),E7*10+F7,"")),"")</x:f>
      </x:c>
      <x:c r="L7" s="1777" t="b">
        <x:f>IF(ISNUMBER(K7),K7=31,FALSE)</x:f>
        <x:v>0</x:v>
      </x:c>
      <x:c r="M7" s="1777" t="b">
        <x:f>IF(ISNUMBER(K7),OR(K7=21,K7=32),FALSE)</x:f>
        <x:v>0</x:v>
      </x:c>
      <x:c r="N7" s="1777" t="b">
        <x:f>IF(ISNUMBER(K7),OR(K7=22,K7=33),FALSE)</x:f>
        <x:v>0</x:v>
      </x:c>
      <x:c r="O7" s="1777" t="b">
        <x:f>IF(ISNUMBER(K7),OR(K7=11,K7=12),FALSE)</x:f>
        <x:v>0</x:v>
      </x:c>
      <x:c r="P7" s="1777" t="b">
        <x:f>IF(ISNUMBER(K7),OR(K7=23,K7=34),FALSE)</x:f>
        <x:v>0</x:v>
      </x:c>
      <x:c r="Q7" s="1777" t="b">
        <x:f>IF(ISNUMBER(K7),OR(K7=13,K7=14,K7=24),FALSE)</x:f>
        <x:v>0</x:v>
      </x:c>
      <x:c r="R7" s="1777" t="b">
        <x:f>IF(ISNUMBER(K7),K7=0,FALSE)</x:f>
        <x:v>0</x:v>
      </x:c>
      <x:c r="S7" s="1777" t="str">
        <x:f t="shared" ref="S7:S12" si="0">IF(ISNUMBER(T7),INDEX($L$5:$R$5,1,7-T7),"")</x:f>
      </x:c>
      <x:c r="T7" s="1777" t="str">
        <x:f t="shared" ref="T7:T12" si="1">IF(ISNUMBER(K7),IF(L7,6,IF(M7,5,IF(N7,4,IF(O7,3,IF(P7,2,IF(Q7,1,0)))))),"")</x:f>
      </x:c>
      <x:c r="U7" s="1790" t="str">
        <x:f>IF(AND(ISNUMBER(T7),ISNUMBER(H7)),IF(AND(H7&gt;=1,H7&lt;=4,MOD(H7,1)=0),T7*10+H7,""),"")</x:f>
      </x:c>
      <x:c r="V7" s="1799"/>
      <x:c r="W7" s="1103"/>
      <x:c r="X7" s="903"/>
    </x:row>
    <x:row r="8" s="952" customFormat="1" ht="76" customHeight="1">
      <x:c r="A8" s="951"/>
      <x:c r="B8" s="1804" t="inlineStr">
        <x:is>
          <x:t xml:space="preserve">1.2</x:t>
        </x:is>
      </x:c>
      <x:c r="C8" s="1796" t="inlineStr">
        <x:is>
          <x:t xml:space="preserve">Utiliser les équipements plus longtemps, même après la fin de leur amortissement, c’est-à-dire la période sur laquelle leur coût est réparti dans les comptes.</x:t>
        </x:is>
      </x:c>
      <x:c r="D8" s="1798"/>
      <x:c r="E8" s="1802"/>
      <x:c r="F8" s="1802"/>
      <x:c r="G8" s="1798"/>
      <x:c r="H8" s="1802"/>
      <x:c r="I8" s="1799"/>
      <x:c r="J8" s="1806" t="str">
        <x:f t="shared" ref="J8:J12" si="2">S8</x:f>
      </x:c>
      <x:c r="K8" s="1777" t="str">
        <x:f t="shared" ref="K8:K12" si="3">IF(IF(ISNUMBER(E8),AND(E8&gt;=0,E8&lt;=3,MOD(E8,1)=0),FALSE),IF(E8=0,0,IF(IF(ISNUMBER(F8),AND(F8&gt;=1,F8&lt;=4,MOD(F8,1)=0),FALSE),E8*10+F8,"")),"")</x:f>
      </x:c>
      <x:c r="L8" s="1777" t="b">
        <x:f t="shared" ref="L8:L12" si="4">IF(ISNUMBER(K8),K8=31,FALSE)</x:f>
        <x:v>0</x:v>
      </x:c>
      <x:c r="M8" s="1777" t="b">
        <x:f t="shared" ref="M8:M12" si="5">IF(ISNUMBER(K8),OR(K8=21,K8=32),FALSE)</x:f>
        <x:v>0</x:v>
      </x:c>
      <x:c r="N8" s="1777" t="b">
        <x:f t="shared" ref="N8:N12" si="6">IF(ISNUMBER(K8),OR(K8=22,K8=33),FALSE)</x:f>
        <x:v>0</x:v>
      </x:c>
      <x:c r="O8" s="1777" t="b">
        <x:f t="shared" ref="O8:O12" si="7">IF(ISNUMBER(K8),OR(K8=11,K8=12),FALSE)</x:f>
        <x:v>0</x:v>
      </x:c>
      <x:c r="P8" s="1777" t="b">
        <x:f t="shared" ref="P8:P12" si="8">IF(ISNUMBER(K8),OR(K8=23,K8=34),FALSE)</x:f>
        <x:v>0</x:v>
      </x:c>
      <x:c r="Q8" s="1777" t="b">
        <x:f t="shared" ref="Q8:Q12" si="9">IF(ISNUMBER(K8),OR(K8=13,K8=14,K8=24),FALSE)</x:f>
        <x:v>0</x:v>
      </x:c>
      <x:c r="R8" s="1777" t="b">
        <x:f t="shared" ref="R8:R12" si="10">IF(ISNUMBER(K8),K8=0,FALSE)</x:f>
        <x:v>0</x:v>
      </x:c>
      <x:c r="S8" s="1777" t="str">
        <x:f t="shared" si="0">IF(ISNUMBER(T8),INDEX($L$5:$R$5,1,7-T8),"")</x:f>
      </x:c>
      <x:c r="T8" s="1777" t="str">
        <x:f t="shared" si="1">IF(ISNUMBER(K8),IF(L8,6,IF(M8,5,IF(N8,4,IF(O8,3,IF(P8,2,IF(Q8,1,0)))))),"")</x:f>
      </x:c>
      <x:c r="U8" s="1790" t="str">
        <x:f t="shared" ref="U8:U12" si="11">IF(AND(ISNUMBER(T8),ISNUMBER(H8)),IF(AND(H8&gt;=1,H8&lt;=4,MOD(H8,1)=0),T8*10+H8,""),"")</x:f>
      </x:c>
      <x:c r="V8" s="1799"/>
      <x:c r="W8" s="1118"/>
      <x:c r="X8" s="1117"/>
    </x:row>
    <x:row r="9" s="952" customFormat="1" ht="76" customHeight="1">
      <x:c r="A9" s="951"/>
      <x:c r="B9" s="1804" t="inlineStr">
        <x:is>
          <x:t xml:space="preserve">1.3</x:t>
        </x:is>
      </x:c>
      <x:c r="C9" s="1796" t="inlineStr">
        <x:is>
          <x:t xml:space="preserve">Concevoir des services numériques qui limitent leurs effets sur l’environnement. Choisir des technologies qui contribuent aux Objectifs de développement durable (ODD).</x:t>
        </x:is>
      </x:c>
      <x:c r="D9" s="1798"/>
      <x:c r="E9" s="1802"/>
      <x:c r="F9" s="1802"/>
      <x:c r="G9" s="1798"/>
      <x:c r="H9" s="1802"/>
      <x:c r="I9" s="1799"/>
      <x:c r="J9" s="1806" t="str">
        <x:f t="shared" si="2">S9</x:f>
      </x:c>
      <x:c r="K9" s="1783" t="str">
        <x:f t="shared" si="3">IF(IF(ISNUMBER(E9),AND(E9&gt;=0,E9&lt;=3,MOD(E9,1)=0),FALSE),IF(E9=0,0,IF(IF(ISNUMBER(F9),AND(F9&gt;=1,F9&lt;=4,MOD(F9,1)=0),FALSE),E9*10+F9,"")),"")</x:f>
      </x:c>
      <x:c r="L9" s="1783" t="b">
        <x:f t="shared" si="4">IF(ISNUMBER(K9),K9=31,FALSE)</x:f>
        <x:v>0</x:v>
      </x:c>
      <x:c r="M9" s="1783" t="b">
        <x:f t="shared" si="5">IF(ISNUMBER(K9),OR(K9=21,K9=32),FALSE)</x:f>
        <x:v>0</x:v>
      </x:c>
      <x:c r="N9" s="1783" t="b">
        <x:f t="shared" si="6">IF(ISNUMBER(K9),OR(K9=22,K9=33),FALSE)</x:f>
        <x:v>0</x:v>
      </x:c>
      <x:c r="O9" s="1783" t="b">
        <x:f t="shared" si="7">IF(ISNUMBER(K9),OR(K9=11,K9=12),FALSE)</x:f>
        <x:v>0</x:v>
      </x:c>
      <x:c r="P9" s="1783" t="b">
        <x:f t="shared" si="8">IF(ISNUMBER(K9),OR(K9=23,K9=34),FALSE)</x:f>
        <x:v>0</x:v>
      </x:c>
      <x:c r="Q9" s="1783" t="b">
        <x:f t="shared" si="9">IF(ISNUMBER(K9),OR(K9=13,K9=14,K9=24),FALSE)</x:f>
        <x:v>0</x:v>
      </x:c>
      <x:c r="R9" s="1783" t="b">
        <x:f t="shared" si="10">IF(ISNUMBER(K9),K9=0,FALSE)</x:f>
        <x:v>0</x:v>
      </x:c>
      <x:c r="S9" s="1783" t="str">
        <x:f t="shared" si="0">IF(ISNUMBER(T9),INDEX($L$5:$R$5,1,7-T9),"")</x:f>
      </x:c>
      <x:c r="T9" s="1783" t="str">
        <x:f t="shared" si="1">IF(ISNUMBER(K9),IF(L9,6,IF(M9,5,IF(N9,4,IF(O9,3,IF(P9,2,IF(Q9,1,0)))))),"")</x:f>
      </x:c>
      <x:c r="U9" s="1783" t="str">
        <x:f t="shared" si="11">IF(AND(ISNUMBER(T9),ISNUMBER(H9)),IF(AND(H9&gt;=1,H9&lt;=4,MOD(H9,1)=0),T9*10+H9,""),"")</x:f>
      </x:c>
      <x:c r="V9" s="1799"/>
      <x:c r="W9" s="1104"/>
      <x:c r="X9" s="1116"/>
    </x:row>
    <x:row r="10" s="952" customFormat="1" ht="70" customHeight="1">
      <x:c r="A10" s="951"/>
      <x:c r="B10" s="1804" t="inlineStr">
        <x:is>
          <x:t xml:space="preserve">1.4</x:t>
        </x:is>
      </x:c>
      <x:c r="C10" s="1796" t="inlineStr">
        <x:is>
          <x:t xml:space="preserve">Adopter des pratiques qui consomment moins de matériel, de ressources, d’énergie et de consommables, comme le papier ou l’encre.</x:t>
        </x:is>
      </x:c>
      <x:c r="D10" s="1798"/>
      <x:c r="E10" s="1802"/>
      <x:c r="F10" s="1802"/>
      <x:c r="G10" s="1798"/>
      <x:c r="H10" s="1802"/>
      <x:c r="I10" s="1799"/>
      <x:c r="J10" s="1806" t="str">
        <x:f t="shared" si="2">S10</x:f>
      </x:c>
      <x:c r="K10" s="1786" t="str">
        <x:f t="shared" si="3">IF(IF(ISNUMBER(E10),AND(E10&gt;=0,E10&lt;=3,MOD(E10,1)=0),FALSE),IF(E10=0,0,IF(IF(ISNUMBER(F10),AND(F10&gt;=1,F10&lt;=4,MOD(F10,1)=0),FALSE),E10*10+F10,"")),"")</x:f>
      </x:c>
      <x:c r="L10" s="1786" t="b">
        <x:f t="shared" si="4">IF(ISNUMBER(K10),K10=31,FALSE)</x:f>
        <x:v>0</x:v>
      </x:c>
      <x:c r="M10" s="1786" t="b">
        <x:f t="shared" si="5">IF(ISNUMBER(K10),OR(K10=21,K10=32),FALSE)</x:f>
        <x:v>0</x:v>
      </x:c>
      <x:c r="N10" s="1786" t="b">
        <x:f t="shared" si="6">IF(ISNUMBER(K10),OR(K10=22,K10=33),FALSE)</x:f>
        <x:v>0</x:v>
      </x:c>
      <x:c r="O10" s="1786" t="b">
        <x:f t="shared" si="7">IF(ISNUMBER(K10),OR(K10=11,K10=12),FALSE)</x:f>
        <x:v>0</x:v>
      </x:c>
      <x:c r="P10" s="1786" t="b">
        <x:f t="shared" si="8">IF(ISNUMBER(K10),OR(K10=23,K10=34),FALSE)</x:f>
        <x:v>0</x:v>
      </x:c>
      <x:c r="Q10" s="1786" t="b">
        <x:f t="shared" si="9">IF(ISNUMBER(K10),OR(K10=13,K10=14,K10=24),FALSE)</x:f>
        <x:v>0</x:v>
      </x:c>
      <x:c r="R10" s="1786" t="b">
        <x:f t="shared" si="10">IF(ISNUMBER(K10),K10=0,FALSE)</x:f>
        <x:v>0</x:v>
      </x:c>
      <x:c r="S10" s="1786" t="str">
        <x:f t="shared" si="0">IF(ISNUMBER(T10),INDEX($L$5:$R$5,1,7-T10),"")</x:f>
      </x:c>
      <x:c r="T10" s="1786" t="str">
        <x:f t="shared" si="1">IF(ISNUMBER(K10),IF(L10,6,IF(M10,5,IF(N10,4,IF(O10,3,IF(P10,2,IF(Q10,1,0)))))),"")</x:f>
      </x:c>
      <x:c r="U10" s="1790" t="str">
        <x:f t="shared" si="11">IF(AND(ISNUMBER(T10),ISNUMBER(H10)),IF(AND(H10&gt;=1,H10&lt;=4,MOD(H10,1)=0),T10*10+H10,""),"")</x:f>
      </x:c>
      <x:c r="V10" s="1798"/>
      <x:c r="W10" s="1105"/>
      <x:c r="X10" s="903"/>
    </x:row>
    <x:row r="11" s="952" customFormat="1" ht="76" customHeight="1">
      <x:c r="A11" s="951"/>
      <x:c r="B11" s="1805" t="inlineStr">
        <x:is>
          <x:t xml:space="preserve">1.5</x:t>
        </x:is>
      </x:c>
      <x:c r="C11" s="1797" t="inlineStr">
        <x:is>
          <x:t xml:space="preserve">Réutiliser ou recycler les déchets pour en faire de nouvelles ressources. Soutenir les emplois liés à leur traitement et à l’économie circulaire.</x:t>
        </x:is>
      </x:c>
      <x:c r="D11" s="1798"/>
      <x:c r="E11" s="1802"/>
      <x:c r="F11" s="1802"/>
      <x:c r="G11" s="1798"/>
      <x:c r="H11" s="1802"/>
      <x:c r="I11" s="1799"/>
      <x:c r="J11" s="1806" t="str">
        <x:f t="shared" si="2">S11</x:f>
      </x:c>
      <x:c r="K11" s="1786" t="str">
        <x:f t="shared" si="3">IF(IF(ISNUMBER(E11),AND(E11&gt;=0,E11&lt;=3,MOD(E11,1)=0),FALSE),IF(E11=0,0,IF(IF(ISNUMBER(F11),AND(F11&gt;=1,F11&lt;=4,MOD(F11,1)=0),FALSE),E11*10+F11,"")),"")</x:f>
      </x:c>
      <x:c r="L11" s="1786" t="b">
        <x:f t="shared" si="4">IF(ISNUMBER(K11),K11=31,FALSE)</x:f>
        <x:v>0</x:v>
      </x:c>
      <x:c r="M11" s="1786" t="b">
        <x:f t="shared" si="5">IF(ISNUMBER(K11),OR(K11=21,K11=32),FALSE)</x:f>
        <x:v>0</x:v>
      </x:c>
      <x:c r="N11" s="1786" t="b">
        <x:f t="shared" si="6">IF(ISNUMBER(K11),OR(K11=22,K11=33),FALSE)</x:f>
        <x:v>0</x:v>
      </x:c>
      <x:c r="O11" s="1786" t="b">
        <x:f t="shared" si="7">IF(ISNUMBER(K11),OR(K11=11,K11=12),FALSE)</x:f>
        <x:v>0</x:v>
      </x:c>
      <x:c r="P11" s="1786" t="b">
        <x:f t="shared" si="8">IF(ISNUMBER(K11),OR(K11=23,K11=34),FALSE)</x:f>
        <x:v>0</x:v>
      </x:c>
      <x:c r="Q11" s="1786" t="b">
        <x:f t="shared" si="9">IF(ISNUMBER(K11),OR(K11=13,K11=14,K11=24),FALSE)</x:f>
        <x:v>0</x:v>
      </x:c>
      <x:c r="R11" s="1786" t="b">
        <x:f t="shared" si="10">IF(ISNUMBER(K11),K11=0,FALSE)</x:f>
        <x:v>0</x:v>
      </x:c>
      <x:c r="S11" s="1786" t="str">
        <x:f t="shared" si="0">IF(ISNUMBER(T11),INDEX($L$5:$R$5,1,7-T11),"")</x:f>
      </x:c>
      <x:c r="T11" s="1786" t="str">
        <x:f t="shared" si="1">IF(ISNUMBER(K11),IF(L11,6,IF(M11,5,IF(N11,4,IF(O11,3,IF(P11,2,IF(Q11,1,0)))))),"")</x:f>
      </x:c>
      <x:c r="U11" s="1790" t="str">
        <x:f t="shared" si="11">IF(AND(ISNUMBER(T11),ISNUMBER(H11)),IF(AND(H11&gt;=1,H11&lt;=4,MOD(H11,1)=0),T11*10+H11,""),"")</x:f>
      </x:c>
      <x:c r="V11" s="1798"/>
      <x:c r="W11" s="1119"/>
      <x:c r="X11" s="1114"/>
    </x:row>
    <x:row r="12" s="953" customFormat="1" ht="70" customHeight="1">
      <x:c r="A12" s="951"/>
      <x:c r="B12" s="1804" t="inlineStr">
        <x:is>
          <x:t xml:space="preserve">1.6</x:t>
        </x:is>
      </x:c>
      <x:c r="C12" s="1797" t="inlineStr">
        <x:is>
          <x:t xml:space="preserve">Choisir des énergies renouvelables et encourager leur utilisation.</x:t>
        </x:is>
      </x:c>
      <x:c r="D12" s="1798"/>
      <x:c r="E12" s="1802"/>
      <x:c r="F12" s="1802"/>
      <x:c r="G12" s="1798"/>
      <x:c r="H12" s="1802"/>
      <x:c r="I12" s="1799"/>
      <x:c r="J12" s="1806" t="str">
        <x:f t="shared" si="2">S12</x:f>
      </x:c>
      <x:c r="K12" s="1786" t="str">
        <x:f t="shared" si="3">IF(IF(ISNUMBER(E12),AND(E12&gt;=0,E12&lt;=3,MOD(E12,1)=0),FALSE),IF(E12=0,0,IF(IF(ISNUMBER(F12),AND(F12&gt;=1,F12&lt;=4,MOD(F12,1)=0),FALSE),E12*10+F12,"")),"")</x:f>
      </x:c>
      <x:c r="L12" s="1786" t="b">
        <x:f t="shared" si="4">IF(ISNUMBER(K12),K12=31,FALSE)</x:f>
        <x:v>0</x:v>
      </x:c>
      <x:c r="M12" s="1786" t="b">
        <x:f t="shared" si="5">IF(ISNUMBER(K12),OR(K12=21,K12=32),FALSE)</x:f>
        <x:v>0</x:v>
      </x:c>
      <x:c r="N12" s="1786" t="b">
        <x:f t="shared" si="6">IF(ISNUMBER(K12),OR(K12=22,K12=33),FALSE)</x:f>
        <x:v>0</x:v>
      </x:c>
      <x:c r="O12" s="1786" t="b">
        <x:f t="shared" si="7">IF(ISNUMBER(K12),OR(K12=11,K12=12),FALSE)</x:f>
        <x:v>0</x:v>
      </x:c>
      <x:c r="P12" s="1786" t="b">
        <x:f t="shared" si="8">IF(ISNUMBER(K12),OR(K12=23,K12=34),FALSE)</x:f>
        <x:v>0</x:v>
      </x:c>
      <x:c r="Q12" s="1786" t="b">
        <x:f t="shared" si="9">IF(ISNUMBER(K12),OR(K12=13,K12=14,K12=24),FALSE)</x:f>
        <x:v>0</x:v>
      </x:c>
      <x:c r="R12" s="1786" t="b">
        <x:f t="shared" si="10">IF(ISNUMBER(K12),K12=0,FALSE)</x:f>
        <x:v>0</x:v>
      </x:c>
      <x:c r="S12" s="1786" t="str">
        <x:f t="shared" si="0">IF(ISNUMBER(T12),INDEX($L$5:$R$5,1,7-T12),"")</x:f>
      </x:c>
      <x:c r="T12" s="1786" t="str">
        <x:f t="shared" si="1">IF(ISNUMBER(K12),IF(L12,6,IF(M12,5,IF(N12,4,IF(O12,3,IF(P12,2,IF(Q12,1,0)))))),"")</x:f>
      </x:c>
      <x:c r="U12" s="1790" t="str">
        <x:f t="shared" si="11">IF(AND(ISNUMBER(T12),ISNUMBER(H12)),IF(AND(H12&gt;=1,H12&lt;=4,MOD(H12,1)=0),T12*10+H12,""),"")</x:f>
      </x:c>
      <x:c r="V12" s="1798"/>
      <x:c r="W12" s="1120"/>
      <x:c r="X12" s="1114"/>
    </x:row>
    <x:row r="13" ht="70" customHeight="1">
      <x:c r="B13" s="1804" t="inlineStr">
        <x:is>
          <x:t xml:space="preserve">1.7</x:t>
        </x:is>
      </x:c>
      <x:c r="C13" s="1797" t="inlineStr">
        <x:is>
          <x:t xml:space="preserve">Réserver l’intelligence artificielle aux besoins qui la justifient et privilégier des solutions sobres en ressources.</x:t>
        </x:is>
      </x:c>
      <x:c r="D13" s="1798"/>
      <x:c r="E13" s="1802"/>
      <x:c r="F13" s="1802"/>
      <x:c r="G13" s="1798"/>
      <x:c r="H13" s="1802"/>
      <x:c r="I13" s="1799"/>
      <x:c r="J13" s="1806" t="str">
        <x:f t="shared" ref="J13" si="12">S13</x:f>
      </x:c>
      <x:c r="K13" s="1786" t="str">
        <x:f t="shared" ref="K13" si="13">IF(IF(ISNUMBER(E13),AND(E13&gt;=0,E13&lt;=3,MOD(E13,1)=0),FALSE),IF(E13=0,0,IF(IF(ISNUMBER(F13),AND(F13&gt;=1,F13&lt;=4,MOD(F13,1)=0),FALSE),E13*10+F13,"")),"")</x:f>
      </x:c>
      <x:c r="L13" s="1786" t="b">
        <x:f t="shared" ref="L13" si="14">IF(ISNUMBER(K13),K13=31,FALSE)</x:f>
        <x:v>0</x:v>
      </x:c>
      <x:c r="M13" s="1786" t="b">
        <x:f t="shared" ref="M13" si="15">IF(ISNUMBER(K13),OR(K13=21,K13=32),FALSE)</x:f>
        <x:v>0</x:v>
      </x:c>
      <x:c r="N13" s="1786" t="b">
        <x:f t="shared" ref="N13" si="16">IF(ISNUMBER(K13),OR(K13=22,K13=33),FALSE)</x:f>
        <x:v>0</x:v>
      </x:c>
      <x:c r="O13" s="1786" t="b">
        <x:f t="shared" ref="O13" si="17">IF(ISNUMBER(K13),OR(K13=11,K13=12),FALSE)</x:f>
        <x:v>0</x:v>
      </x:c>
      <x:c r="P13" s="1786" t="b">
        <x:f t="shared" ref="P13" si="18">IF(ISNUMBER(K13),OR(K13=23,K13=34),FALSE)</x:f>
        <x:v>0</x:v>
      </x:c>
      <x:c r="Q13" s="1786" t="b">
        <x:f t="shared" ref="Q13" si="19">IF(ISNUMBER(K13),OR(K13=13,K13=14,K13=24),FALSE)</x:f>
        <x:v>0</x:v>
      </x:c>
      <x:c r="R13" s="1786" t="b">
        <x:f t="shared" ref="R13" si="20">IF(ISNUMBER(K13),K13=0,FALSE)</x:f>
        <x:v>0</x:v>
      </x:c>
      <x:c r="S13" s="1786" t="str">
        <x:f t="shared" ref="S13" si="21">IF(ISNUMBER(T13),INDEX($L$5:$R$5,1,7-T13),"")</x:f>
      </x:c>
      <x:c r="T13" s="1786" t="str">
        <x:f t="shared" ref="T13" si="22">IF(ISNUMBER(K13),IF(L13,6,IF(M13,5,IF(N13,4,IF(O13,3,IF(P13,2,IF(Q13,1,0)))))),"")</x:f>
      </x:c>
      <x:c r="U13" s="1790" t="str">
        <x:f t="shared" ref="U13" si="23">IF(AND(ISNUMBER(T13),ISNUMBER(H13)),IF(AND(H13&gt;=1,H13&lt;=4,MOD(H13,1)=0),T13*10+H13,""),"")</x:f>
      </x:c>
      <x:c r="V13" s="1798"/>
      <x:c r="W13" s="1121"/>
      <x:c r="X13" s="1114"/>
    </x:row>
    <x:row r="14" ht="70" customHeight="1">
      <x:c r="B14" s="1804" t="inlineStr">
        <x:is>
          <x:t xml:space="preserve">1.8</x:t>
        </x:is>
      </x:c>
      <x:c r="C14" s="1797" t="inlineStr">
        <x:is>
          <x:t xml:space="preserve">Mesurer et réduire ce que consomme l’intelligence artificielle, pendant son entraînement comme pendant son utilisation.</x:t>
        </x:is>
      </x:c>
      <x:c r="D14" s="1798"/>
      <x:c r="E14" s="1802"/>
      <x:c r="F14" s="1802"/>
      <x:c r="G14" s="1798"/>
      <x:c r="H14" s="1802"/>
      <x:c r="I14" s="1799"/>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21"/>
      <x:c r="X14" s="1114"/>
    </x:row>
  </x:sheetData>
  <x:mergeCells>
    <x:mergeCell ref="B6:W6"/>
    <x:mergeCell ref="B4:C5"/>
    <x:mergeCell ref="D4:E4"/>
    <x:mergeCell ref="F4:G4"/>
    <x:mergeCell ref="H4:I4"/>
    <x:mergeCell ref="V4:X4"/>
    <x:mergeCell ref="B2:J3"/>
  </x:mergeCells>
  <x:conditionalFormatting sqref="J7:J14">
    <x:cfRule type="expression" dxfId="1626" priority="271">
      <x:formula>AND(ISNUMBER($T7),$T7=6)</x:formula>
    </x:cfRule>
    <x:cfRule type="expression" dxfId="1627" priority="272">
      <x:formula>AND(ISNUMBER($T7),$T7=5)</x:formula>
    </x:cfRule>
    <x:cfRule type="expression" dxfId="1628" priority="273">
      <x:formula>AND(ISNUMBER($T7),$T7=4)</x:formula>
    </x:cfRule>
    <x:cfRule type="expression" dxfId="1629" priority="274">
      <x:formula>AND(ISNUMBER($T7),$T7=3)</x:formula>
    </x:cfRule>
    <x:cfRule type="expression" dxfId="1630" priority="275">
      <x:formula>AND(ISNUMBER($T7),$T7=2)</x:formula>
    </x:cfRule>
    <x:cfRule type="expression" dxfId="1631" priority="276">
      <x:formula>AND(ISNUMBER($T7),$T7=1)</x:formula>
    </x:cfRule>
    <x:cfRule type="expression" dxfId="1632" priority="277">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5.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42.6640625" style="871" hidden="1" customWidth="1"/>
    <x:col min="24" max="24" width="4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2 : Inclusion · Développer des services numériques durables que toutes et tous peuvent utiliser</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822" t="str">
        <x:v>Cibles à évaluer</x:v>
      </x:c>
      <x:c r="C4" s="182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24"/>
      <x:c r="C5" s="1825"/>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t="inlineStr">
        <x:is>
          <x:t xml:space="preserve">Adhérence</x:t>
        </x:is>
      </x:c>
      <x:c r="X5" s="1753"/>
    </x:row>
    <x:row r="6" s="875" customFormat="1" ht="34" customHeight="1">
      <x:c r="A6" s="874"/>
      <x:c r="B6" s="1832" t="str">
        <x:v>Renseigner les cellules jaunes pour les notes, puis les textes utiles. La priorité se calcule automatiquement. Faire défiler vers la droite pour proposer des actions.</x:v>
      </x:c>
      <x:c r="C6" s="1833"/>
      <x:c r="D6" s="1834"/>
      <x:c r="E6" s="1834"/>
      <x:c r="F6" s="1834"/>
      <x:c r="G6" s="1834"/>
      <x:c r="H6" s="1834"/>
      <x:c r="I6" s="1834"/>
      <x:c r="J6" s="1834"/>
      <x:c r="K6" s="1834"/>
      <x:c r="L6" s="1834"/>
      <x:c r="M6" s="1834"/>
      <x:c r="N6" s="1834"/>
      <x:c r="O6" s="1834"/>
      <x:c r="P6" s="1834"/>
      <x:c r="Q6" s="1834"/>
      <x:c r="R6" s="1834"/>
      <x:c r="S6" s="1834"/>
      <x:c r="T6" s="1834"/>
      <x:c r="U6" s="1834"/>
      <x:c r="V6" s="1835"/>
      <x:c r="W6" s="1836"/>
      <x:c r="X6" s="1129"/>
    </x:row>
    <x:row r="7" s="952" customFormat="1" ht="70" customHeight="1">
      <x:c r="A7" s="951"/>
      <x:c r="B7" s="1804" t="inlineStr">
        <x:is>
          <x:t xml:space="preserve">2.1</x:t>
        </x:is>
      </x:c>
      <x:c r="C7" s="1796" t="inlineStr">
        <x:is>
          <x:t xml:space="preserve">Intégrer dans tous les achats des exigences qui tiennent compte de leurs effets sur la société et l’environnement.</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IF(ISNUMBER(T7),INDEX($L$5:$R$5,1,7-T7),"")</x:f>
      </x:c>
      <x:c r="T7" s="1783" t="str">
        <x:f>IF(ISNUMBER(K7),IF(L7,6,IF(M7,5,IF(N7,4,IF(O7,3,IF(P7,2,IF(Q7,1,0)))))),"")</x:f>
      </x:c>
      <x:c r="U7" s="1783" t="str">
        <x:f>IF(AND(ISNUMBER(T7),ISNUMBER(H7)),IF(AND(H7&gt;=1,H7&lt;=4,MOD(H7,1)=0),T7*10+H7,""),"")</x:f>
      </x:c>
      <x:c r="V7" s="1798"/>
      <x:c r="W7" s="1123"/>
      <x:c r="X7" s="1113"/>
    </x:row>
    <x:row r="8" s="952" customFormat="1" ht="76" customHeight="1">
      <x:c r="A8" s="951"/>
      <x:c r="B8" s="1804" t="inlineStr">
        <x:is>
          <x:t xml:space="preserve">2.2</x:t>
        </x:is>
      </x:c>
      <x:c r="C8" s="1796" t="inlineStr">
        <x:is>
          <x:t xml:space="preserve">Rendre les services numériques accessibles à toutes et tous. Mesurer leur respect du RGAA, le référentiel français sur l’accessibilité numérique.</x:t>
        </x:is>
      </x:c>
      <x:c r="D8" s="1798"/>
      <x:c r="E8" s="1802"/>
      <x:c r="F8" s="1802"/>
      <x:c r="G8" s="1798"/>
      <x:c r="H8" s="1802"/>
      <x:c r="I8" s="1798"/>
      <x:c r="J8" s="1806" t="str">
        <x:f t="shared" si="0">S8</x:f>
      </x:c>
      <x:c r="K8" s="1783" t="str">
        <x:f>IF(IF(ISNUMBER(E8),AND(E8&gt;=0,E8&lt;=3,MOD(E8,1)=0),FALSE),IF(E8=0,0,IF(IF(ISNUMBER(F8),AND(F8&gt;=1,F8&lt;=4,MOD(F8,1)=0),FALSE),E8*10+F8,"")),"")</x:f>
      </x:c>
      <x:c r="L8" s="1783" t="b">
        <x:f>IF(ISNUMBER(K8),K8=31,FALSE)</x:f>
        <x:v>0</x:v>
      </x:c>
      <x:c r="M8" s="1783" t="b">
        <x:f>IF(ISNUMBER(K8),OR(K8=21,K8=32),FALSE)</x:f>
        <x:v>0</x:v>
      </x:c>
      <x:c r="N8" s="1783" t="b">
        <x:f>IF(ISNUMBER(K8),OR(K8=22,K8=33),FALSE)</x:f>
        <x:v>0</x:v>
      </x:c>
      <x:c r="O8" s="1783" t="b">
        <x:f>IF(ISNUMBER(K8),OR(K8=11,K8=12),FALSE)</x:f>
        <x:v>0</x:v>
      </x:c>
      <x:c r="P8" s="1783" t="b">
        <x:f>IF(ISNUMBER(K8),OR(K8=23,K8=34),FALSE)</x:f>
        <x:v>0</x:v>
      </x:c>
      <x:c r="Q8" s="1783" t="b">
        <x:f>IF(ISNUMBER(K8),OR(K8=13,K8=14,K8=24),FALSE)</x:f>
        <x:v>0</x:v>
      </x:c>
      <x:c r="R8" s="1783" t="b">
        <x:f>IF(ISNUMBER(K8),K8=0,FALSE)</x:f>
        <x:v>0</x:v>
      </x:c>
      <x:c r="S8" s="1783" t="str">
        <x:f>IF(ISNUMBER(T8),INDEX($L$5:$R$5,1,7-T8),"")</x:f>
      </x:c>
      <x:c r="T8" s="1783" t="str">
        <x:f>IF(ISNUMBER(K8),IF(L8,6,IF(M8,5,IF(N8,4,IF(O8,3,IF(P8,2,IF(Q8,1,0)))))),"")</x:f>
      </x:c>
      <x:c r="U8" s="1783" t="str">
        <x:f>IF(AND(ISNUMBER(T8),ISNUMBER(H8)),IF(AND(H8&gt;=1,H8&lt;=4,MOD(H8,1)=0),T8*10+H8,""),"")</x:f>
      </x:c>
      <x:c r="V8" s="1798"/>
      <x:c r="W8" s="1109"/>
      <x:c r="X8" s="1108"/>
    </x:row>
    <x:row r="9" s="952" customFormat="1" ht="76" customHeight="1">
      <x:c r="A9" s="951"/>
      <x:c r="B9" s="1804" t="inlineStr">
        <x:is>
          <x:t xml:space="preserve">2.3</x:t>
        </x:is>
      </x:c>
      <x:c r="C9" s="1796" t="inlineStr">
        <x:is>
          <x:t xml:space="preserve">Créer des applications utiles, faciles à utiliser et réellement utilisées : les « 3 U ». Les rendre accessibles pour permettre à chacun d’utiliser le numérique.</x:t>
        </x:is>
      </x:c>
      <x:c r="D9" s="1798"/>
      <x:c r="E9" s="1802"/>
      <x:c r="F9" s="1802"/>
      <x:c r="G9" s="1798"/>
      <x:c r="H9" s="1802"/>
      <x:c r="I9" s="1798"/>
      <x:c r="J9" s="1806" t="str">
        <x:f t="shared" si="0">S9</x:f>
      </x:c>
      <x:c r="K9" s="1783" t="str">
        <x:f>IF(IF(ISNUMBER(E9),AND(E9&gt;=0,E9&lt;=3,MOD(E9,1)=0),FALSE),IF(E9=0,0,IF(IF(ISNUMBER(F9),AND(F9&gt;=1,F9&lt;=4,MOD(F9,1)=0),FALSE),E9*10+F9,"")),"")</x:f>
      </x:c>
      <x:c r="L9" s="1783" t="b">
        <x:f>IF(ISNUMBER(K9),K9=31,FALSE)</x:f>
        <x:v>0</x:v>
      </x:c>
      <x:c r="M9" s="1783" t="b">
        <x:f>IF(ISNUMBER(K9),OR(K9=21,K9=32),FALSE)</x:f>
        <x:v>0</x:v>
      </x:c>
      <x:c r="N9" s="1783" t="b">
        <x:f>IF(ISNUMBER(K9),OR(K9=22,K9=33),FALSE)</x:f>
        <x:v>0</x:v>
      </x:c>
      <x:c r="O9" s="1783" t="b">
        <x:f>IF(ISNUMBER(K9),OR(K9=11,K9=12),FALSE)</x:f>
        <x:v>0</x:v>
      </x:c>
      <x:c r="P9" s="1783" t="b">
        <x:f>IF(ISNUMBER(K9),OR(K9=23,K9=34),FALSE)</x:f>
        <x:v>0</x:v>
      </x:c>
      <x:c r="Q9" s="1783" t="b">
        <x:f>IF(ISNUMBER(K9),OR(K9=13,K9=14,K9=24),FALSE)</x:f>
        <x:v>0</x:v>
      </x:c>
      <x:c r="R9" s="1783" t="b">
        <x:f>IF(ISNUMBER(K9),K9=0,FALSE)</x:f>
        <x:v>0</x:v>
      </x:c>
      <x:c r="S9" s="1783" t="str">
        <x:f>IF(ISNUMBER(T9),INDEX($L$5:$R$5,1,7-T9),"")</x:f>
      </x:c>
      <x:c r="T9" s="1783" t="str">
        <x:f>IF(ISNUMBER(K9),IF(L9,6,IF(M9,5,IF(N9,4,IF(O9,3,IF(P9,2,IF(Q9,1,0)))))),"")</x:f>
      </x:c>
      <x:c r="U9" s="1783" t="str">
        <x:f>IF(AND(ISNUMBER(T9),ISNUMBER(H9)),IF(AND(H9&gt;=1,H9&lt;=4,MOD(H9,1)=0),T9*10+H9,""),"")</x:f>
      </x:c>
      <x:c r="V9" s="1798"/>
      <x:c r="W9" s="1122"/>
      <x:c r="X9" s="1114"/>
    </x:row>
    <x:row r="10" s="952" customFormat="1" ht="70" customHeight="1">
      <x:c r="A10" s="951"/>
      <x:c r="B10" s="1804" t="inlineStr">
        <x:is>
          <x:t xml:space="preserve">2.4</x:t>
        </x:is>
      </x:c>
      <x:c r="C10" s="1796" t="inlineStr">
        <x:is>
          <x:t xml:space="preserve">Concevoir les services avec leurs utilisateurs et utilisatrices, en se concentrant sur leurs besoins réels.</x:t>
        </x:is>
      </x:c>
      <x:c r="D10" s="1798"/>
      <x:c r="E10" s="1802"/>
      <x:c r="F10" s="1802"/>
      <x:c r="G10" s="1798"/>
      <x:c r="H10" s="1802"/>
      <x:c r="I10" s="1798"/>
      <x:c r="J10" s="1806" t="str">
        <x:f>S10</x:f>
      </x:c>
      <x:c r="K10" s="1777" t="str">
        <x:f>IF(IF(ISNUMBER(E10),AND(E10&gt;=0,E10&lt;=3,MOD(E10,1)=0),FALSE),IF(E10=0,0,IF(IF(ISNUMBER(F10),AND(F10&gt;=1,F10&lt;=4,MOD(F10,1)=0),FALSE),E10*10+F10,"")),"")</x:f>
      </x:c>
      <x:c r="L10" s="1777" t="b">
        <x:f>IF(ISNUMBER(K10),K10=31,FALSE)</x:f>
        <x:v>0</x:v>
      </x:c>
      <x:c r="M10" s="1777" t="b">
        <x:f>IF(ISNUMBER(K10),OR(K10=21,K10=32),FALSE)</x:f>
        <x:v>0</x:v>
      </x:c>
      <x:c r="N10" s="1777" t="b">
        <x:f>IF(ISNUMBER(K10),OR(K10=22,K10=33),FALSE)</x:f>
        <x:v>0</x:v>
      </x:c>
      <x:c r="O10" s="1777" t="b">
        <x:f>IF(ISNUMBER(K10),OR(K10=11,K10=12),FALSE)</x:f>
        <x:v>0</x:v>
      </x:c>
      <x:c r="P10" s="1777" t="b">
        <x:f>IF(ISNUMBER(K10),OR(K10=23,K10=34),FALSE)</x:f>
        <x:v>0</x:v>
      </x:c>
      <x:c r="Q10" s="1777" t="b">
        <x:f>IF(ISNUMBER(K10),OR(K10=13,K10=14,K10=24),FALSE)</x:f>
        <x:v>0</x:v>
      </x:c>
      <x:c r="R10" s="1777" t="b">
        <x:f>IF(ISNUMBER(K10),K10=0,FALSE)</x:f>
        <x:v>0</x:v>
      </x:c>
      <x:c r="S10" s="1777" t="str">
        <x:f>IF(ISNUMBER(T10),INDEX($L$5:$R$5,1,7-T10),"")</x:f>
      </x:c>
      <x:c r="T10" s="1777" t="str">
        <x:f>IF(ISNUMBER(K10),IF(L10,6,IF(M10,5,IF(N10,4,IF(O10,3,IF(P10,2,IF(Q10,1,0)))))),"")</x:f>
      </x:c>
      <x:c r="U10" s="1790" t="str">
        <x:f>IF(AND(ISNUMBER(T10),ISNUMBER(H10)),IF(AND(H10&gt;=1,H10&lt;=4,MOD(H10,1)=0),T10*10+H10,""),"")</x:f>
      </x:c>
      <x:c r="V10" s="1798"/>
      <x:c r="W10" s="1109"/>
      <x:c r="X10" s="1108"/>
    </x:row>
    <x:row r="11" s="952" customFormat="1" ht="70" customHeight="1">
      <x:c r="A11" s="951"/>
      <x:c r="B11" s="1804" t="inlineStr">
        <x:is>
          <x:t xml:space="preserve">2.5</x:t>
        </x:is>
      </x:c>
      <x:c r="C11" s="1796" t="inlineStr">
        <x:is>
          <x:t xml:space="preserve">Vérifier que l’intelligence artificielle ne discrimine personne et que ses services peuvent être utilisés par toutes et tous.</x:t>
        </x:is>
      </x:c>
      <x:c r="D11" s="1798"/>
      <x:c r="E11" s="1802"/>
      <x:c r="F11" s="1802"/>
      <x:c r="G11" s="1798"/>
      <x:c r="H11" s="1802"/>
      <x:c r="I11" s="1798"/>
      <x:c r="J11" s="1806" t="n">
        <x:f>S11</x:f>
        <x:v>0</x:v>
      </x:c>
      <x:c r="K11" s="1777" t="str">
        <x:f>IF(IF(ISNUMBER(E11),AND(E11&gt;=0,E11&lt;=3,MOD(E11,1)=0),FALSE),IF(E11=0,0,IF(IF(ISNUMBER(F11),AND(F11&gt;=1,F11&lt;=4,MOD(F11,1)=0),FALSE),E11*10+F11,"")),"")</x:f>
      </x:c>
      <x:c r="L11" s="1777" t="b">
        <x:f>IF(ISNUMBER(K11),K11=31,FALSE)</x:f>
        <x:v>0</x:v>
      </x:c>
      <x:c r="M11" s="1777" t="b">
        <x:f>IF(ISNUMBER(K11),OR(K11=21,K11=32),FALSE)</x:f>
        <x:v>0</x:v>
      </x:c>
      <x:c r="N11" s="1777" t="b">
        <x:f>IF(ISNUMBER(K11),OR(K11=22,K11=33),FALSE)</x:f>
        <x:v>0</x:v>
      </x:c>
      <x:c r="O11" s="1777" t="b">
        <x:f>IF(ISNUMBER(K11),OR(K11=11,K11=12),FALSE)</x:f>
        <x:v>0</x:v>
      </x:c>
      <x:c r="P11" s="1777" t="b">
        <x:f>IF(ISNUMBER(K11),OR(K11=23,K11=34),FALSE)</x:f>
        <x:v>0</x:v>
      </x:c>
      <x:c r="Q11" s="1777" t="b">
        <x:f>IF(ISNUMBER(K11),OR(K11=13,K11=14,K11=24),FALSE)</x:f>
        <x:v>0</x:v>
      </x:c>
      <x:c r="R11" s="1777" t="b">
        <x:f>IF(ISNUMBER(K11),K11=0,FALSE)</x:f>
        <x:v>0</x:v>
      </x:c>
      <x:c r="S11" s="1777" t="str">
        <x:f>IF(ISNUMBER(T11),INDEX($L$5:$R$5,1,7-T11),"")</x:f>
      </x:c>
      <x:c r="T11" s="1777" t="str">
        <x:f>IF(ISNUMBER(K11),IF(L11,6,IF(M11,5,IF(N11,4,IF(O11,3,IF(P11,2,IF(Q11,1,0)))))),"")</x:f>
      </x:c>
      <x:c r="U11" s="1790" t="str">
        <x:f>IF(AND(ISNUMBER(T11),ISNUMBER(H11)),IF(AND(H11&gt;=1,H11&lt;=4,MOD(H11,1)=0),T11*10+H11,""),"")</x:f>
      </x:c>
      <x:c r="V11" s="1798"/>
      <x:c r="W11" s="1109"/>
      <x:c r="X11" s="1108"/>
    </x:row>
    <x:row r="12">
      <x:c r="V12" s="893"/>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6.xml><?xml version="1.0" encoding="utf-8"?>
<x:worksheet xmlns:x="http://schemas.openxmlformats.org/spreadsheetml/2006/main">
  <x:sheetPr>
    <x:tabColor rgb="FF92D05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7.5" style="871" hidden="1" customWidth="1"/>
    <x:col min="24" max="24" width="5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3 : RSE · Utiliser le numérique de façon éthique et responsable</x:v>
      </x:c>
      <x:c r="C2" s="1716"/>
      <x:c r="D2" s="1716" t="inlineStr">
        <x:is>
          <x:t xml:space="preserve"> </x:t>
        </x:is>
      </x:c>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7"/>
      <x:c r="W3" s="1168"/>
    </x:row>
    <x:row r="4" ht="27" customHeight="1">
      <x:c r="A4" s="861"/>
      <x:c r="B4" s="1857" t="str">
        <x:v>Cibles à évaluer</x:v>
      </x:c>
      <x:c r="C4" s="1858"/>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826" t="inlineStr">
        <x:is>
          <x:t xml:space="preserve">Mise en œuvre</x:t>
        </x:is>
      </x:c>
      <x:c r="W4" s="1753"/>
      <x:c r="X4" s="1753"/>
    </x:row>
    <x:row r="5" s="868" customFormat="1" ht="56" customHeight="1">
      <x:c r="A5" s="867"/>
      <x:c r="B5" s="1859"/>
      <x:c r="C5" s="1860"/>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863"/>
      <x:c r="W6" s="1864"/>
    </x:row>
    <x:row r="7" s="952" customFormat="1" ht="70" customHeight="1">
      <x:c r="A7" s="951"/>
      <x:c r="B7" s="1804" t="inlineStr">
        <x:is>
          <x:t xml:space="preserve">3.1</x:t>
        </x:is>
      </x:c>
      <x:c r="C7" s="1796" t="inlineStr">
        <x:is>
          <x:t xml:space="preserve">Utiliser les données et les services numériques avec mesure, en respectant les personnes et l’environnement.</x:t>
        </x:is>
      </x:c>
      <x:c r="D7" s="1798"/>
      <x:c r="E7" s="1802"/>
      <x:c r="F7" s="1802"/>
      <x:c r="G7" s="1798"/>
      <x:c r="H7" s="1802"/>
      <x:c r="I7" s="1798"/>
      <x:c r="J7" s="1806" t="str">
        <x:f t="shared" ref="J7:J13"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13" si="1">IF(ISNUMBER(T7),INDEX($L$5:$R$5,1,7-T7),"")</x:f>
      </x:c>
      <x:c r="T7" s="1783" t="str">
        <x:f t="shared" ref="T7:T13" si="2">IF(ISNUMBER(K7),IF(L7,6,IF(M7,5,IF(N7,4,IF(O7,3,IF(P7,2,IF(Q7,1,0)))))),"")</x:f>
      </x:c>
      <x:c r="U7" s="1783" t="str">
        <x:f t="shared" ref="U7:U13" si="3">IF(AND(ISNUMBER(T7),ISNUMBER(H7)),IF(AND(H7&gt;=1,H7&lt;=4,MOD(H7,1)=0),T7*10+H7,""),"")</x:f>
      </x:c>
      <x:c r="V7" s="1798"/>
      <x:c r="W7" s="1130"/>
      <x:c r="X7" s="1114"/>
      <x:c r="Y7" s="997"/>
      <x:c r="Z7" s="997"/>
    </x:row>
    <x:row r="8" s="952" customFormat="1" ht="76" customHeight="1">
      <x:c r="A8" s="951"/>
      <x:c r="B8" s="1804" t="inlineStr">
        <x:is>
          <x:t xml:space="preserve">3.2</x:t>
        </x:is>
      </x:c>
      <x:c r="C8" s="1796" t="inlineStr">
        <x:is>
          <x:t xml:space="preserve">Supprimer les pratiques et les interfaces qui trompent les utilisateurs sur les sites web, aussi appelées « dark patterns ». Respecter la réglementation.</x:t>
        </x:is>
      </x:c>
      <x:c r="D8" s="1798"/>
      <x:c r="E8" s="1802"/>
      <x:c r="F8" s="1802"/>
      <x:c r="G8" s="1798"/>
      <x:c r="H8" s="1802"/>
      <x:c r="I8" s="1798"/>
      <x:c r="J8" s="1806" t="str">
        <x:f t="shared" si="0">S8</x:f>
      </x:c>
      <x:c r="K8" s="1783" t="str">
        <x:f t="shared" ref="K8:K13" si="4">IF(IF(ISNUMBER(E8),AND(E8&gt;=0,E8&lt;=3,MOD(E8,1)=0),FALSE),IF(E8=0,0,IF(IF(ISNUMBER(F8),AND(F8&gt;=1,F8&lt;=4,MOD(F8,1)=0),FALSE),E8*10+F8,"")),"")</x:f>
      </x:c>
      <x:c r="L8" s="1783" t="b">
        <x:f t="shared" ref="L8:L13" si="5">IF(ISNUMBER(K8),K8=31,FALSE)</x:f>
        <x:v>0</x:v>
      </x:c>
      <x:c r="M8" s="1783" t="b">
        <x:f t="shared" ref="M8:M13" si="6">IF(ISNUMBER(K8),OR(K8=21,K8=32),FALSE)</x:f>
        <x:v>0</x:v>
      </x:c>
      <x:c r="N8" s="1783" t="b">
        <x:f t="shared" ref="N8:N13" si="7">IF(ISNUMBER(K8),OR(K8=22,K8=33),FALSE)</x:f>
        <x:v>0</x:v>
      </x:c>
      <x:c r="O8" s="1783" t="b">
        <x:f t="shared" ref="O8:O13" si="8">IF(ISNUMBER(K8),OR(K8=11,K8=12),FALSE)</x:f>
        <x:v>0</x:v>
      </x:c>
      <x:c r="P8" s="1783" t="b">
        <x:f t="shared" ref="P8:P13" si="9">IF(ISNUMBER(K8),OR(K8=23,K8=34),FALSE)</x:f>
        <x:v>0</x:v>
      </x:c>
      <x:c r="Q8" s="1783" t="b">
        <x:f t="shared" ref="Q8:Q13" si="10">IF(ISNUMBER(K8),OR(K8=13,K8=14,K8=24),FALSE)</x:f>
        <x:v>0</x:v>
      </x:c>
      <x:c r="R8" s="1783" t="b">
        <x:f t="shared" ref="R8:R13" si="11">IF(ISNUMBER(K8),K8=0,FALSE)</x:f>
        <x:v>0</x:v>
      </x:c>
      <x:c r="S8" s="1783" t="str">
        <x:f t="shared" si="1">IF(ISNUMBER(T8),INDEX($L$5:$R$5,1,7-T8),"")</x:f>
      </x:c>
      <x:c r="T8" s="1783" t="str">
        <x:f t="shared" si="2">IF(ISNUMBER(K8),IF(L8,6,IF(M8,5,IF(N8,4,IF(O8,3,IF(P8,2,IF(Q8,1,0)))))),"")</x:f>
      </x:c>
      <x:c r="U8" s="1783" t="str">
        <x:f t="shared" si="3">IF(AND(ISNUMBER(T8),ISNUMBER(H8)),IF(AND(H8&gt;=1,H8&lt;=4,MOD(H8,1)=0),T8*10+H8,""),"")</x:f>
      </x:c>
      <x:c r="V8" s="1798"/>
      <x:c r="W8" s="1109"/>
      <x:c r="X8" s="1108"/>
    </x:row>
    <x:row r="9" s="952" customFormat="1" ht="91" customHeight="1">
      <x:c r="A9" s="951"/>
      <x:c r="B9" s="1804" t="inlineStr">
        <x:is>
          <x:t xml:space="preserve">3.3</x:t>
        </x:is>
      </x:c>
      <x:c r="C9" s="1796" t="inlineStr">
        <x:is>
          <x:t xml:space="preserve">Collecter seulement les données nécessaires au service rendu. Protéger la vie privée, réduire les effets sur l’environnement et respecter le RGPD, le règlement sur la protection des données personnelles.</x:t>
        </x:is>
      </x:c>
      <x:c r="D9" s="1798"/>
      <x:c r="E9" s="1802"/>
      <x:c r="F9" s="1802"/>
      <x:c r="G9" s="1798"/>
      <x:c r="H9" s="1802"/>
      <x:c r="I9" s="1798"/>
      <x:c r="J9" s="1806" t="str">
        <x:f t="shared" si="0">S9</x:f>
      </x:c>
      <x:c r="K9" s="1777" t="str">
        <x:f t="shared" si="4">IF(IF(ISNUMBER(E9),AND(E9&gt;=0,E9&lt;=3,MOD(E9,1)=0),FALSE),IF(E9=0,0,IF(IF(ISNUMBER(F9),AND(F9&gt;=1,F9&lt;=4,MOD(F9,1)=0),FALSE),E9*10+F9,"")),"")</x:f>
      </x:c>
      <x:c r="L9" s="1777" t="b">
        <x:f t="shared" si="5">IF(ISNUMBER(K9),K9=31,FALSE)</x:f>
        <x:v>0</x:v>
      </x:c>
      <x:c r="M9" s="1777" t="b">
        <x:f t="shared" si="6">IF(ISNUMBER(K9),OR(K9=21,K9=32),FALSE)</x:f>
        <x:v>0</x:v>
      </x:c>
      <x:c r="N9" s="1777" t="b">
        <x:f t="shared" si="7">IF(ISNUMBER(K9),OR(K9=22,K9=33),FALSE)</x:f>
        <x:v>0</x:v>
      </x:c>
      <x:c r="O9" s="1777" t="b">
        <x:f t="shared" si="8">IF(ISNUMBER(K9),OR(K9=11,K9=12),FALSE)</x:f>
        <x:v>0</x:v>
      </x:c>
      <x:c r="P9" s="1777" t="b">
        <x:f t="shared" si="9">IF(ISNUMBER(K9),OR(K9=23,K9=34),FALSE)</x:f>
        <x:v>0</x:v>
      </x:c>
      <x:c r="Q9" s="1777" t="b">
        <x:f t="shared" si="10">IF(ISNUMBER(K9),OR(K9=13,K9=14,K9=24),FALSE)</x:f>
        <x:v>0</x:v>
      </x:c>
      <x:c r="R9" s="1777" t="b">
        <x:f t="shared" si="11">IF(ISNUMBER(K9),K9=0,FALSE)</x:f>
        <x:v>0</x:v>
      </x:c>
      <x:c r="S9" s="1777" t="str">
        <x:f t="shared" si="1">IF(ISNUMBER(T9),INDEX($L$5:$R$5,1,7-T9),"")</x:f>
      </x:c>
      <x:c r="T9" s="1777" t="str">
        <x:f t="shared" si="2">IF(ISNUMBER(K9),IF(L9,6,IF(M9,5,IF(N9,4,IF(O9,3,IF(P9,2,IF(Q9,1,0)))))),"")</x:f>
      </x:c>
      <x:c r="U9" s="1790" t="str">
        <x:f t="shared" si="3">IF(AND(ISNUMBER(T9),ISNUMBER(H9)),IF(AND(H9&gt;=1,H9&lt;=4,MOD(H9,1)=0),T9*10+H9,""),"")</x:f>
      </x:c>
      <x:c r="V9" s="1798"/>
      <x:c r="W9" s="1122"/>
      <x:c r="X9" s="1114"/>
    </x:row>
    <x:row r="10" s="953" customFormat="1" ht="70" customHeight="1">
      <x:c r="A10" s="951"/>
      <x:c r="B10" s="1804" t="inlineStr">
        <x:is>
          <x:t xml:space="preserve">3.4</x:t>
        </x:is>
      </x:c>
      <x:c r="C10" s="1868" t="inlineStr">
        <x:is>
          <x:t xml:space="preserve">Recruter des personnes aux profils variés dans les métiers du numérique.</x:t>
        </x:is>
      </x:c>
      <x:c r="D10" s="1798"/>
      <x:c r="E10" s="1802"/>
      <x:c r="F10" s="1802"/>
      <x:c r="G10" s="1798"/>
      <x:c r="H10" s="1802"/>
      <x:c r="I10" s="1798"/>
      <x:c r="J10" s="1806" t="str">
        <x:f t="shared" si="0">S10</x:f>
      </x:c>
      <x:c r="K10" s="1866" t="str">
        <x:f t="shared" si="4">IF(IF(ISNUMBER(E10),AND(E10&gt;=0,E10&lt;=3,MOD(E10,1)=0),FALSE),IF(E10=0,0,IF(IF(ISNUMBER(F10),AND(F10&gt;=1,F10&lt;=4,MOD(F10,1)=0),FALSE),E10*10+F10,"")),"")</x:f>
      </x:c>
      <x:c r="L10" s="1866" t="b">
        <x:f t="shared" si="5">IF(ISNUMBER(K10),K10=31,FALSE)</x:f>
        <x:v>0</x:v>
      </x:c>
      <x:c r="M10" s="1866" t="b">
        <x:f t="shared" si="6">IF(ISNUMBER(K10),OR(K10=21,K10=32),FALSE)</x:f>
        <x:v>0</x:v>
      </x:c>
      <x:c r="N10" s="1866" t="b">
        <x:f t="shared" si="7">IF(ISNUMBER(K10),OR(K10=22,K10=33),FALSE)</x:f>
        <x:v>0</x:v>
      </x:c>
      <x:c r="O10" s="1866" t="b">
        <x:f t="shared" si="8">IF(ISNUMBER(K10),OR(K10=11,K10=12),FALSE)</x:f>
        <x:v>0</x:v>
      </x:c>
      <x:c r="P10" s="1866" t="b">
        <x:f t="shared" si="9">IF(ISNUMBER(K10),OR(K10=23,K10=34),FALSE)</x:f>
        <x:v>0</x:v>
      </x:c>
      <x:c r="Q10" s="1866" t="b">
        <x:f t="shared" si="10">IF(ISNUMBER(K10),OR(K10=13,K10=14,K10=24),FALSE)</x:f>
        <x:v>0</x:v>
      </x:c>
      <x:c r="R10" s="1866" t="b">
        <x:f t="shared" si="11">IF(ISNUMBER(K10),K10=0,FALSE)</x:f>
        <x:v>0</x:v>
      </x:c>
      <x:c r="S10" s="1866" t="str">
        <x:f t="shared" si="1">IF(ISNUMBER(T10),INDEX($L$5:$R$5,1,7-T10),"")</x:f>
      </x:c>
      <x:c r="T10" s="1866" t="str">
        <x:f t="shared" si="2">IF(ISNUMBER(K10),IF(L10,6,IF(M10,5,IF(N10,4,IF(O10,3,IF(P10,2,IF(Q10,1,0)))))),"")</x:f>
      </x:c>
      <x:c r="U10" s="1866" t="str">
        <x:f t="shared" si="3">IF(AND(ISNUMBER(T10),ISNUMBER(H10)),IF(AND(H10&gt;=1,H10&lt;=4,MOD(H10,1)=0),T10*10+H10,""),"")</x:f>
      </x:c>
      <x:c r="V10" s="1798"/>
      <x:c r="W10" s="1131"/>
      <x:c r="X10" s="1114"/>
      <x:c r="Y10" s="952"/>
      <x:c r="Z10" s="952"/>
      <x:c r="AA10" s="952"/>
      <x:c r="AB10" s="952"/>
      <x:c r="AC10" s="952"/>
      <x:c r="AD10" s="952"/>
      <x:c r="AE10" s="952"/>
      <x:c r="AF10" s="952"/>
      <x:c r="AG10" s="952"/>
      <x:c r="AH10" s="952"/>
      <x:c r="AI10" s="952"/>
      <x:c r="AJ10" s="952"/>
      <x:c r="AK10" s="952"/>
      <x:c r="AL10" s="952"/>
      <x:c r="AM10" s="952"/>
      <x:c r="AN10" s="952"/>
      <x:c r="AO10" s="952"/>
      <x:c r="AP10" s="952"/>
      <x:c r="AQ10" s="952"/>
      <x:c r="AR10" s="952"/>
      <x:c r="AS10" s="952"/>
      <x:c r="AT10" s="952"/>
      <x:c r="AU10" s="952"/>
      <x:c r="AV10" s="952"/>
      <x:c r="AW10" s="952"/>
      <x:c r="AX10" s="952"/>
      <x:c r="AY10" s="952"/>
      <x:c r="AZ10" s="952"/>
      <x:c r="BA10" s="952"/>
      <x:c r="BB10" s="952"/>
      <x:c r="BC10" s="952"/>
      <x:c r="BD10" s="952"/>
      <x:c r="BE10" s="952"/>
      <x:c r="BF10" s="952"/>
      <x:c r="BG10" s="952"/>
      <x:c r="BH10" s="952"/>
      <x:c r="BI10" s="952"/>
      <x:c r="BJ10" s="952"/>
      <x:c r="BK10" s="952"/>
      <x:c r="BL10" s="952"/>
      <x:c r="BM10" s="952"/>
      <x:c r="BN10" s="952"/>
      <x:c r="BO10" s="952"/>
      <x:c r="BP10" s="952"/>
      <x:c r="BQ10" s="952"/>
      <x:c r="BR10" s="952"/>
      <x:c r="BS10" s="952"/>
      <x:c r="BT10" s="952"/>
      <x:c r="BU10" s="952"/>
      <x:c r="BV10" s="952"/>
      <x:c r="BW10" s="952"/>
      <x:c r="BX10" s="952"/>
      <x:c r="BY10" s="952"/>
      <x:c r="BZ10" s="952"/>
      <x:c r="CA10" s="952"/>
      <x:c r="CB10" s="952"/>
      <x:c r="CC10" s="952"/>
      <x:c r="CD10" s="952"/>
      <x:c r="CE10" s="952"/>
      <x:c r="CF10" s="952"/>
      <x:c r="CG10" s="952"/>
      <x:c r="CH10" s="952"/>
      <x:c r="CI10" s="952"/>
      <x:c r="CJ10" s="952"/>
      <x:c r="CK10" s="952"/>
      <x:c r="CL10" s="952"/>
      <x:c r="CM10" s="952"/>
      <x:c r="CN10" s="952"/>
      <x:c r="CO10" s="952"/>
      <x:c r="CP10" s="952"/>
      <x:c r="CQ10" s="952"/>
      <x:c r="CR10" s="952"/>
      <x:c r="CS10" s="952"/>
      <x:c r="CT10" s="952"/>
      <x:c r="CU10" s="952"/>
      <x:c r="CV10" s="952"/>
      <x:c r="CW10" s="952"/>
      <x:c r="CX10" s="952"/>
      <x:c r="CY10" s="952"/>
      <x:c r="CZ10" s="952"/>
      <x:c r="DA10" s="952"/>
      <x:c r="DB10" s="952"/>
      <x:c r="DC10" s="952"/>
      <x:c r="DD10" s="952"/>
      <x:c r="DE10" s="952"/>
      <x:c r="DF10" s="952"/>
      <x:c r="DG10" s="952"/>
      <x:c r="DH10" s="952"/>
      <x:c r="DI10" s="952"/>
      <x:c r="DJ10" s="952"/>
      <x:c r="DK10" s="952"/>
      <x:c r="DL10" s="952"/>
      <x:c r="DM10" s="952"/>
      <x:c r="DN10" s="952"/>
      <x:c r="DO10" s="952"/>
      <x:c r="DP10" s="952"/>
      <x:c r="DQ10" s="952"/>
      <x:c r="DR10" s="952"/>
      <x:c r="DS10" s="952"/>
      <x:c r="DT10" s="952"/>
      <x:c r="DU10" s="952"/>
      <x:c r="DV10" s="952"/>
      <x:c r="DW10" s="952"/>
      <x:c r="DX10" s="952"/>
      <x:c r="DY10" s="952"/>
      <x:c r="DZ10" s="952"/>
      <x:c r="EA10" s="952"/>
      <x:c r="EB10" s="952"/>
      <x:c r="EC10" s="952"/>
      <x:c r="ED10" s="952"/>
      <x:c r="EE10" s="952"/>
      <x:c r="EF10" s="952"/>
      <x:c r="EG10" s="952"/>
      <x:c r="EH10" s="952"/>
      <x:c r="EI10" s="952"/>
      <x:c r="EJ10" s="952"/>
      <x:c r="EK10" s="952"/>
      <x:c r="EL10" s="952"/>
      <x:c r="EM10" s="952"/>
      <x:c r="EN10" s="952"/>
      <x:c r="EO10" s="952"/>
      <x:c r="EP10" s="952"/>
      <x:c r="EQ10" s="952"/>
      <x:c r="ER10" s="952"/>
      <x:c r="ES10" s="952"/>
      <x:c r="ET10" s="952"/>
      <x:c r="EU10" s="952"/>
      <x:c r="EV10" s="952"/>
      <x:c r="EW10" s="952"/>
      <x:c r="EX10" s="952"/>
      <x:c r="EY10" s="952"/>
      <x:c r="EZ10" s="952"/>
      <x:c r="FA10" s="952"/>
      <x:c r="FB10" s="952"/>
      <x:c r="FC10" s="952"/>
      <x:c r="FD10" s="952"/>
      <x:c r="FE10" s="952"/>
      <x:c r="FF10" s="952"/>
      <x:c r="FG10" s="952"/>
      <x:c r="FH10" s="952"/>
      <x:c r="FI10" s="952"/>
      <x:c r="FJ10" s="952"/>
      <x:c r="FK10" s="952"/>
      <x:c r="FL10" s="952"/>
      <x:c r="FM10" s="952"/>
      <x:c r="FN10" s="952"/>
      <x:c r="FO10" s="952"/>
      <x:c r="FP10" s="952"/>
      <x:c r="FQ10" s="952"/>
      <x:c r="FR10" s="952"/>
      <x:c r="FS10" s="952"/>
      <x:c r="FT10" s="952"/>
      <x:c r="FU10" s="952"/>
      <x:c r="FV10" s="952"/>
      <x:c r="FW10" s="952"/>
      <x:c r="FX10" s="952"/>
      <x:c r="FY10" s="952"/>
      <x:c r="FZ10" s="952"/>
      <x:c r="GA10" s="952"/>
      <x:c r="GB10" s="952"/>
      <x:c r="GC10" s="952"/>
      <x:c r="GD10" s="952"/>
      <x:c r="GE10" s="952"/>
      <x:c r="GF10" s="952"/>
      <x:c r="GG10" s="952"/>
      <x:c r="GH10" s="952"/>
      <x:c r="GI10" s="952"/>
      <x:c r="GJ10" s="952"/>
      <x:c r="GK10" s="952"/>
      <x:c r="GL10" s="952"/>
      <x:c r="GM10" s="952"/>
      <x:c r="GN10" s="952"/>
      <x:c r="GO10" s="952"/>
      <x:c r="GP10" s="952"/>
      <x:c r="GQ10" s="952"/>
      <x:c r="GR10" s="952"/>
      <x:c r="GS10" s="952"/>
      <x:c r="GT10" s="952"/>
      <x:c r="GU10" s="952"/>
      <x:c r="GV10" s="952"/>
      <x:c r="GW10" s="952"/>
      <x:c r="GX10" s="952"/>
      <x:c r="GY10" s="952"/>
      <x:c r="GZ10" s="952"/>
      <x:c r="HA10" s="952"/>
      <x:c r="HB10" s="952"/>
      <x:c r="HC10" s="952"/>
      <x:c r="HD10" s="952"/>
      <x:c r="HE10" s="952"/>
      <x:c r="HF10" s="952"/>
      <x:c r="HG10" s="952"/>
      <x:c r="HH10" s="952"/>
      <x:c r="HI10" s="952"/>
      <x:c r="HJ10" s="952"/>
      <x:c r="HK10" s="952"/>
      <x:c r="HL10" s="952"/>
      <x:c r="HM10" s="952"/>
      <x:c r="HN10" s="952"/>
      <x:c r="HO10" s="952"/>
      <x:c r="HP10" s="952"/>
      <x:c r="HQ10" s="952"/>
      <x:c r="HR10" s="952"/>
      <x:c r="HS10" s="952"/>
      <x:c r="HT10" s="952"/>
      <x:c r="HU10" s="952"/>
      <x:c r="HV10" s="952"/>
      <x:c r="HW10" s="952"/>
      <x:c r="HX10" s="952"/>
      <x:c r="HY10" s="952"/>
      <x:c r="HZ10" s="952"/>
      <x:c r="IA10" s="952"/>
      <x:c r="IB10" s="952"/>
      <x:c r="IC10" s="952"/>
      <x:c r="ID10" s="952"/>
      <x:c r="IE10" s="952"/>
      <x:c r="IF10" s="952"/>
      <x:c r="IG10" s="952"/>
      <x:c r="IH10" s="952"/>
      <x:c r="II10" s="952"/>
      <x:c r="IJ10" s="952"/>
      <x:c r="IK10" s="952"/>
      <x:c r="IL10" s="952"/>
      <x:c r="IM10" s="952"/>
      <x:c r="IN10" s="952"/>
      <x:c r="IO10" s="952"/>
      <x:c r="IP10" s="952"/>
      <x:c r="IQ10" s="952"/>
      <x:c r="IR10" s="952"/>
      <x:c r="IS10" s="952"/>
      <x:c r="IT10" s="952"/>
      <x:c r="IU10" s="952"/>
      <x:c r="IV10" s="952"/>
      <x:c r="IW10" s="952"/>
      <x:c r="IX10" s="952"/>
      <x:c r="IY10" s="952"/>
      <x:c r="IZ10" s="952"/>
      <x:c r="JA10" s="952"/>
      <x:c r="JB10" s="952"/>
      <x:c r="JC10" s="952"/>
      <x:c r="JD10" s="952"/>
      <x:c r="JE10" s="952"/>
      <x:c r="JF10" s="952"/>
      <x:c r="JG10" s="952"/>
      <x:c r="JH10" s="952"/>
      <x:c r="JI10" s="952"/>
      <x:c r="JJ10" s="952"/>
      <x:c r="JK10" s="952"/>
      <x:c r="JL10" s="952"/>
      <x:c r="JM10" s="952"/>
      <x:c r="JN10" s="952"/>
      <x:c r="JO10" s="952"/>
      <x:c r="JP10" s="952"/>
      <x:c r="JQ10" s="952"/>
      <x:c r="JR10" s="952"/>
      <x:c r="JS10" s="952"/>
      <x:c r="JT10" s="952"/>
      <x:c r="JU10" s="952"/>
      <x:c r="JV10" s="952"/>
      <x:c r="JW10" s="952"/>
      <x:c r="JX10" s="952"/>
      <x:c r="JY10" s="952"/>
      <x:c r="JZ10" s="952"/>
      <x:c r="KA10" s="952"/>
      <x:c r="KB10" s="952"/>
      <x:c r="KC10" s="952"/>
      <x:c r="KD10" s="952"/>
      <x:c r="KE10" s="952"/>
      <x:c r="KF10" s="952"/>
      <x:c r="KG10" s="952"/>
      <x:c r="KH10" s="952"/>
      <x:c r="KI10" s="952"/>
      <x:c r="KJ10" s="952"/>
      <x:c r="KK10" s="952"/>
      <x:c r="KL10" s="952"/>
      <x:c r="KM10" s="952"/>
      <x:c r="KN10" s="952"/>
      <x:c r="KO10" s="952"/>
      <x:c r="KP10" s="952"/>
      <x:c r="KQ10" s="952"/>
      <x:c r="KR10" s="952"/>
      <x:c r="KS10" s="952"/>
      <x:c r="KT10" s="952"/>
      <x:c r="KU10" s="952"/>
      <x:c r="KV10" s="952"/>
      <x:c r="KW10" s="952"/>
      <x:c r="KX10" s="952"/>
      <x:c r="KY10" s="952"/>
      <x:c r="KZ10" s="952"/>
      <x:c r="LA10" s="952"/>
      <x:c r="LB10" s="952"/>
      <x:c r="LC10" s="952"/>
      <x:c r="LD10" s="952"/>
      <x:c r="LE10" s="952"/>
      <x:c r="LF10" s="952"/>
      <x:c r="LG10" s="952"/>
      <x:c r="LH10" s="952"/>
      <x:c r="LI10" s="952"/>
      <x:c r="LJ10" s="952"/>
      <x:c r="LK10" s="952"/>
      <x:c r="LL10" s="952"/>
      <x:c r="LM10" s="952"/>
      <x:c r="LN10" s="952"/>
      <x:c r="LO10" s="952"/>
      <x:c r="LP10" s="952"/>
      <x:c r="LQ10" s="952"/>
      <x:c r="LR10" s="952"/>
      <x:c r="LS10" s="952"/>
      <x:c r="LT10" s="952"/>
      <x:c r="LU10" s="952"/>
      <x:c r="LV10" s="952"/>
      <x:c r="LW10" s="952"/>
      <x:c r="LX10" s="952"/>
      <x:c r="LY10" s="952"/>
      <x:c r="LZ10" s="952"/>
      <x:c r="MA10" s="952"/>
      <x:c r="MB10" s="952"/>
      <x:c r="MC10" s="952"/>
      <x:c r="MD10" s="952"/>
      <x:c r="ME10" s="952"/>
      <x:c r="MF10" s="952"/>
      <x:c r="MG10" s="952"/>
      <x:c r="MH10" s="952"/>
      <x:c r="MI10" s="952"/>
      <x:c r="MJ10" s="952"/>
      <x:c r="MK10" s="952"/>
      <x:c r="ML10" s="952"/>
      <x:c r="MM10" s="952"/>
      <x:c r="MN10" s="952"/>
      <x:c r="MO10" s="952"/>
      <x:c r="MP10" s="952"/>
      <x:c r="MQ10" s="952"/>
      <x:c r="MR10" s="952"/>
      <x:c r="MS10" s="952"/>
      <x:c r="MT10" s="952"/>
      <x:c r="MU10" s="952"/>
      <x:c r="MV10" s="952"/>
      <x:c r="MW10" s="952"/>
      <x:c r="MX10" s="952"/>
      <x:c r="MY10" s="952"/>
      <x:c r="MZ10" s="952"/>
      <x:c r="NA10" s="952"/>
      <x:c r="NB10" s="952"/>
      <x:c r="NC10" s="952"/>
      <x:c r="ND10" s="952"/>
      <x:c r="NE10" s="952"/>
      <x:c r="NF10" s="952"/>
      <x:c r="NG10" s="952"/>
      <x:c r="NH10" s="952"/>
      <x:c r="NI10" s="952"/>
      <x:c r="NJ10" s="952"/>
      <x:c r="NK10" s="952"/>
      <x:c r="NL10" s="952"/>
      <x:c r="NM10" s="952"/>
      <x:c r="NN10" s="952"/>
      <x:c r="NO10" s="952"/>
      <x:c r="NP10" s="952"/>
      <x:c r="NQ10" s="952"/>
      <x:c r="NR10" s="952"/>
      <x:c r="NS10" s="952"/>
      <x:c r="NT10" s="952"/>
      <x:c r="NU10" s="952"/>
      <x:c r="NV10" s="952"/>
      <x:c r="NW10" s="952"/>
      <x:c r="NX10" s="952"/>
      <x:c r="NY10" s="952"/>
      <x:c r="NZ10" s="952"/>
      <x:c r="OA10" s="952"/>
      <x:c r="OB10" s="952"/>
      <x:c r="OC10" s="952"/>
      <x:c r="OD10" s="952"/>
      <x:c r="OE10" s="952"/>
      <x:c r="OF10" s="952"/>
      <x:c r="OG10" s="952"/>
      <x:c r="OH10" s="952"/>
      <x:c r="OI10" s="952"/>
      <x:c r="OJ10" s="952"/>
      <x:c r="OK10" s="952"/>
      <x:c r="OL10" s="952"/>
      <x:c r="OM10" s="952"/>
      <x:c r="ON10" s="952"/>
      <x:c r="OO10" s="952"/>
      <x:c r="OP10" s="952"/>
      <x:c r="OQ10" s="952"/>
      <x:c r="OR10" s="952"/>
      <x:c r="OS10" s="952"/>
      <x:c r="OT10" s="952"/>
      <x:c r="OU10" s="952"/>
      <x:c r="OV10" s="952"/>
      <x:c r="OW10" s="952"/>
      <x:c r="OX10" s="952"/>
      <x:c r="OY10" s="952"/>
      <x:c r="OZ10" s="952"/>
      <x:c r="PA10" s="952"/>
      <x:c r="PB10" s="952"/>
      <x:c r="PC10" s="952"/>
      <x:c r="PD10" s="952"/>
      <x:c r="PE10" s="952"/>
      <x:c r="PF10" s="952"/>
      <x:c r="PG10" s="952"/>
      <x:c r="PH10" s="952"/>
      <x:c r="PI10" s="952"/>
      <x:c r="PJ10" s="952"/>
      <x:c r="PK10" s="952"/>
      <x:c r="PL10" s="952"/>
      <x:c r="PM10" s="952"/>
      <x:c r="PN10" s="952"/>
      <x:c r="PO10" s="952"/>
      <x:c r="PP10" s="952"/>
      <x:c r="PQ10" s="952"/>
      <x:c r="PR10" s="952"/>
      <x:c r="PS10" s="952"/>
      <x:c r="PT10" s="952"/>
      <x:c r="PU10" s="952"/>
      <x:c r="PV10" s="952"/>
      <x:c r="PW10" s="952"/>
      <x:c r="PX10" s="952"/>
      <x:c r="PY10" s="952"/>
      <x:c r="PZ10" s="952"/>
      <x:c r="QA10" s="952"/>
      <x:c r="QB10" s="952"/>
      <x:c r="QC10" s="952"/>
      <x:c r="QD10" s="952"/>
      <x:c r="QE10" s="952"/>
    </x:row>
    <x:row r="11" s="953" customFormat="1" ht="70" customHeight="1">
      <x:c r="A11" s="951"/>
      <x:c r="B11" s="1804" t="inlineStr">
        <x:is>
          <x:t xml:space="preserve">3.5</x:t>
        </x:is>
      </x:c>
      <x:c r="C11" s="1796" t="inlineStr">
        <x:is>
          <x:t xml:space="preserve">Améliorer les conditions de travail des personnes qui travaillent dans le numérique.</x:t>
        </x:is>
      </x:c>
      <x:c r="D11" s="1798"/>
      <x:c r="E11" s="1802"/>
      <x:c r="F11" s="1802"/>
      <x:c r="G11" s="1798"/>
      <x:c r="H11" s="1802"/>
      <x:c r="I11" s="1798"/>
      <x:c r="J11" s="1806" t="str">
        <x:f t="shared" si="0">S11</x:f>
      </x:c>
      <x:c r="K11" s="1783" t="str">
        <x:f t="shared" si="4">IF(IF(ISNUMBER(E11),AND(E11&gt;=0,E11&lt;=3,MOD(E11,1)=0),FALSE),IF(E11=0,0,IF(IF(ISNUMBER(F11),AND(F11&gt;=1,F11&lt;=4,MOD(F11,1)=0),FALSE),E11*10+F11,"")),"")</x:f>
      </x:c>
      <x:c r="L11" s="1783" t="b">
        <x:f t="shared" si="5">IF(ISNUMBER(K11),K11=31,FALSE)</x:f>
        <x:v>0</x:v>
      </x:c>
      <x:c r="M11" s="1783" t="b">
        <x:f t="shared" si="6">IF(ISNUMBER(K11),OR(K11=21,K11=32),FALSE)</x:f>
        <x:v>0</x:v>
      </x:c>
      <x:c r="N11" s="1783" t="b">
        <x:f t="shared" si="7">IF(ISNUMBER(K11),OR(K11=22,K11=33),FALSE)</x:f>
        <x:v>0</x:v>
      </x:c>
      <x:c r="O11" s="1783" t="b">
        <x:f t="shared" si="8">IF(ISNUMBER(K11),OR(K11=11,K11=12),FALSE)</x:f>
        <x:v>0</x:v>
      </x:c>
      <x:c r="P11" s="1783" t="b">
        <x:f t="shared" si="9">IF(ISNUMBER(K11),OR(K11=23,K11=34),FALSE)</x:f>
        <x:v>0</x:v>
      </x:c>
      <x:c r="Q11" s="1783" t="b">
        <x:f t="shared" si="10">IF(ISNUMBER(K11),OR(K11=13,K11=14,K11=24),FALSE)</x:f>
        <x:v>0</x:v>
      </x:c>
      <x:c r="R11" s="1783" t="b">
        <x:f t="shared" si="11">IF(ISNUMBER(K11),K11=0,FALSE)</x:f>
        <x:v>0</x:v>
      </x:c>
      <x:c r="S11" s="1783" t="str">
        <x:f t="shared" si="1">IF(ISNUMBER(T11),INDEX($L$5:$R$5,1,7-T11),"")</x:f>
      </x:c>
      <x:c r="T11" s="1783" t="str">
        <x:f t="shared" si="2">IF(ISNUMBER(K11),IF(L11,6,IF(M11,5,IF(N11,4,IF(O11,3,IF(P11,2,IF(Q11,1,0)))))),"")</x:f>
      </x:c>
      <x:c r="U11" s="1783" t="str">
        <x:f t="shared" si="3">IF(AND(ISNUMBER(T11),ISNUMBER(H11)),IF(AND(H11&gt;=1,H11&lt;=4,MOD(H11,1)=0),T11*10+H11,""),"")</x:f>
      </x:c>
      <x:c r="V11" s="1798"/>
      <x:c r="W11" s="1112"/>
      <x:c r="X11" s="1108"/>
      <x:c r="Y11" s="952"/>
      <x:c r="Z11" s="952"/>
      <x:c r="AA11" s="952"/>
      <x:c r="AB11" s="952"/>
      <x:c r="AC11" s="952"/>
      <x:c r="AD11" s="952"/>
      <x:c r="AE11" s="952"/>
      <x:c r="AF11" s="952"/>
      <x:c r="AG11" s="952"/>
      <x:c r="AH11" s="952"/>
      <x:c r="AI11" s="952"/>
      <x:c r="AJ11" s="952"/>
      <x:c r="AK11" s="952"/>
      <x:c r="AL11" s="952"/>
      <x:c r="AM11" s="952"/>
      <x:c r="AN11" s="952"/>
      <x:c r="AO11" s="952"/>
      <x:c r="AP11" s="952"/>
      <x:c r="AQ11" s="952"/>
      <x:c r="AR11" s="952"/>
      <x:c r="AS11" s="952"/>
      <x:c r="AT11" s="952"/>
      <x:c r="AU11" s="952"/>
      <x:c r="AV11" s="952"/>
      <x:c r="AW11" s="952"/>
      <x:c r="AX11" s="952"/>
      <x:c r="AY11" s="952"/>
      <x:c r="AZ11" s="952"/>
      <x:c r="BA11" s="952"/>
      <x:c r="BB11" s="952"/>
      <x:c r="BC11" s="952"/>
      <x:c r="BD11" s="952"/>
      <x:c r="BE11" s="952"/>
      <x:c r="BF11" s="952"/>
      <x:c r="BG11" s="952"/>
      <x:c r="BH11" s="952"/>
      <x:c r="BI11" s="952"/>
      <x:c r="BJ11" s="952"/>
      <x:c r="BK11" s="952"/>
      <x:c r="BL11" s="952"/>
      <x:c r="BM11" s="952"/>
      <x:c r="BN11" s="952"/>
      <x:c r="BO11" s="952"/>
      <x:c r="BP11" s="952"/>
      <x:c r="BQ11" s="952"/>
      <x:c r="BR11" s="952"/>
      <x:c r="BS11" s="952"/>
      <x:c r="BT11" s="952"/>
      <x:c r="BU11" s="952"/>
      <x:c r="BV11" s="952"/>
      <x:c r="BW11" s="952"/>
      <x:c r="BX11" s="952"/>
      <x:c r="BY11" s="952"/>
      <x:c r="BZ11" s="952"/>
      <x:c r="CA11" s="952"/>
      <x:c r="CB11" s="952"/>
      <x:c r="CC11" s="952"/>
      <x:c r="CD11" s="952"/>
      <x:c r="CE11" s="952"/>
      <x:c r="CF11" s="952"/>
      <x:c r="CG11" s="952"/>
      <x:c r="CH11" s="952"/>
      <x:c r="CI11" s="952"/>
      <x:c r="CJ11" s="952"/>
      <x:c r="CK11" s="952"/>
      <x:c r="CL11" s="952"/>
      <x:c r="CM11" s="952"/>
      <x:c r="CN11" s="952"/>
      <x:c r="CO11" s="952"/>
      <x:c r="CP11" s="952"/>
      <x:c r="CQ11" s="952"/>
      <x:c r="CR11" s="952"/>
      <x:c r="CS11" s="952"/>
      <x:c r="CT11" s="952"/>
      <x:c r="CU11" s="952"/>
      <x:c r="CV11" s="952"/>
      <x:c r="CW11" s="952"/>
      <x:c r="CX11" s="952"/>
      <x:c r="CY11" s="952"/>
      <x:c r="CZ11" s="952"/>
      <x:c r="DA11" s="952"/>
      <x:c r="DB11" s="952"/>
      <x:c r="DC11" s="952"/>
      <x:c r="DD11" s="952"/>
      <x:c r="DE11" s="952"/>
      <x:c r="DF11" s="952"/>
      <x:c r="DG11" s="952"/>
      <x:c r="DH11" s="952"/>
      <x:c r="DI11" s="952"/>
      <x:c r="DJ11" s="952"/>
      <x:c r="DK11" s="952"/>
      <x:c r="DL11" s="952"/>
      <x:c r="DM11" s="952"/>
      <x:c r="DN11" s="952"/>
      <x:c r="DO11" s="952"/>
      <x:c r="DP11" s="952"/>
      <x:c r="DQ11" s="952"/>
      <x:c r="DR11" s="952"/>
      <x:c r="DS11" s="952"/>
      <x:c r="DT11" s="952"/>
      <x:c r="DU11" s="952"/>
      <x:c r="DV11" s="952"/>
      <x:c r="DW11" s="952"/>
      <x:c r="DX11" s="952"/>
      <x:c r="DY11" s="952"/>
      <x:c r="DZ11" s="952"/>
      <x:c r="EA11" s="952"/>
      <x:c r="EB11" s="952"/>
      <x:c r="EC11" s="952"/>
      <x:c r="ED11" s="952"/>
      <x:c r="EE11" s="952"/>
      <x:c r="EF11" s="952"/>
      <x:c r="EG11" s="952"/>
      <x:c r="EH11" s="952"/>
      <x:c r="EI11" s="952"/>
      <x:c r="EJ11" s="952"/>
      <x:c r="EK11" s="952"/>
      <x:c r="EL11" s="952"/>
      <x:c r="EM11" s="952"/>
      <x:c r="EN11" s="952"/>
      <x:c r="EO11" s="952"/>
      <x:c r="EP11" s="952"/>
      <x:c r="EQ11" s="952"/>
      <x:c r="ER11" s="952"/>
      <x:c r="ES11" s="952"/>
      <x:c r="ET11" s="952"/>
      <x:c r="EU11" s="952"/>
      <x:c r="EV11" s="952"/>
      <x:c r="EW11" s="952"/>
      <x:c r="EX11" s="952"/>
      <x:c r="EY11" s="952"/>
      <x:c r="EZ11" s="952"/>
      <x:c r="FA11" s="952"/>
      <x:c r="FB11" s="952"/>
      <x:c r="FC11" s="952"/>
      <x:c r="FD11" s="952"/>
      <x:c r="FE11" s="952"/>
      <x:c r="FF11" s="952"/>
      <x:c r="FG11" s="952"/>
      <x:c r="FH11" s="952"/>
      <x:c r="FI11" s="952"/>
      <x:c r="FJ11" s="952"/>
      <x:c r="FK11" s="952"/>
      <x:c r="FL11" s="952"/>
      <x:c r="FM11" s="952"/>
      <x:c r="FN11" s="952"/>
      <x:c r="FO11" s="952"/>
      <x:c r="FP11" s="952"/>
      <x:c r="FQ11" s="952"/>
      <x:c r="FR11" s="952"/>
      <x:c r="FS11" s="952"/>
      <x:c r="FT11" s="952"/>
      <x:c r="FU11" s="952"/>
      <x:c r="FV11" s="952"/>
      <x:c r="FW11" s="952"/>
      <x:c r="FX11" s="952"/>
      <x:c r="FY11" s="952"/>
      <x:c r="FZ11" s="952"/>
      <x:c r="GA11" s="952"/>
      <x:c r="GB11" s="952"/>
      <x:c r="GC11" s="952"/>
      <x:c r="GD11" s="952"/>
      <x:c r="GE11" s="952"/>
      <x:c r="GF11" s="952"/>
      <x:c r="GG11" s="952"/>
      <x:c r="GH11" s="952"/>
      <x:c r="GI11" s="952"/>
      <x:c r="GJ11" s="952"/>
      <x:c r="GK11" s="952"/>
      <x:c r="GL11" s="952"/>
      <x:c r="GM11" s="952"/>
      <x:c r="GN11" s="952"/>
      <x:c r="GO11" s="952"/>
      <x:c r="GP11" s="952"/>
      <x:c r="GQ11" s="952"/>
      <x:c r="GR11" s="952"/>
      <x:c r="GS11" s="952"/>
      <x:c r="GT11" s="952"/>
      <x:c r="GU11" s="952"/>
      <x:c r="GV11" s="952"/>
      <x:c r="GW11" s="952"/>
      <x:c r="GX11" s="952"/>
      <x:c r="GY11" s="952"/>
      <x:c r="GZ11" s="952"/>
      <x:c r="HA11" s="952"/>
      <x:c r="HB11" s="952"/>
      <x:c r="HC11" s="952"/>
      <x:c r="HD11" s="952"/>
      <x:c r="HE11" s="952"/>
      <x:c r="HF11" s="952"/>
      <x:c r="HG11" s="952"/>
      <x:c r="HH11" s="952"/>
      <x:c r="HI11" s="952"/>
      <x:c r="HJ11" s="952"/>
      <x:c r="HK11" s="952"/>
      <x:c r="HL11" s="952"/>
      <x:c r="HM11" s="952"/>
      <x:c r="HN11" s="952"/>
      <x:c r="HO11" s="952"/>
      <x:c r="HP11" s="952"/>
      <x:c r="HQ11" s="952"/>
      <x:c r="HR11" s="952"/>
      <x:c r="HS11" s="952"/>
      <x:c r="HT11" s="952"/>
      <x:c r="HU11" s="952"/>
      <x:c r="HV11" s="952"/>
      <x:c r="HW11" s="952"/>
      <x:c r="HX11" s="952"/>
      <x:c r="HY11" s="952"/>
      <x:c r="HZ11" s="952"/>
      <x:c r="IA11" s="952"/>
      <x:c r="IB11" s="952"/>
      <x:c r="IC11" s="952"/>
      <x:c r="ID11" s="952"/>
      <x:c r="IE11" s="952"/>
      <x:c r="IF11" s="952"/>
      <x:c r="IG11" s="952"/>
      <x:c r="IH11" s="952"/>
      <x:c r="II11" s="952"/>
      <x:c r="IJ11" s="952"/>
      <x:c r="IK11" s="952"/>
      <x:c r="IL11" s="952"/>
      <x:c r="IM11" s="952"/>
      <x:c r="IN11" s="952"/>
      <x:c r="IO11" s="952"/>
      <x:c r="IP11" s="952"/>
      <x:c r="IQ11" s="952"/>
      <x:c r="IR11" s="952"/>
      <x:c r="IS11" s="952"/>
      <x:c r="IT11" s="952"/>
      <x:c r="IU11" s="952"/>
      <x:c r="IV11" s="952"/>
      <x:c r="IW11" s="952"/>
      <x:c r="IX11" s="952"/>
      <x:c r="IY11" s="952"/>
      <x:c r="IZ11" s="952"/>
      <x:c r="JA11" s="952"/>
      <x:c r="JB11" s="952"/>
      <x:c r="JC11" s="952"/>
      <x:c r="JD11" s="952"/>
      <x:c r="JE11" s="952"/>
      <x:c r="JF11" s="952"/>
      <x:c r="JG11" s="952"/>
      <x:c r="JH11" s="952"/>
      <x:c r="JI11" s="952"/>
      <x:c r="JJ11" s="952"/>
      <x:c r="JK11" s="952"/>
      <x:c r="JL11" s="952"/>
      <x:c r="JM11" s="952"/>
      <x:c r="JN11" s="952"/>
      <x:c r="JO11" s="952"/>
      <x:c r="JP11" s="952"/>
      <x:c r="JQ11" s="952"/>
      <x:c r="JR11" s="952"/>
      <x:c r="JS11" s="952"/>
      <x:c r="JT11" s="952"/>
      <x:c r="JU11" s="952"/>
      <x:c r="JV11" s="952"/>
      <x:c r="JW11" s="952"/>
      <x:c r="JX11" s="952"/>
      <x:c r="JY11" s="952"/>
      <x:c r="JZ11" s="952"/>
      <x:c r="KA11" s="952"/>
      <x:c r="KB11" s="952"/>
      <x:c r="KC11" s="952"/>
      <x:c r="KD11" s="952"/>
      <x:c r="KE11" s="952"/>
      <x:c r="KF11" s="952"/>
      <x:c r="KG11" s="952"/>
      <x:c r="KH11" s="952"/>
      <x:c r="KI11" s="952"/>
      <x:c r="KJ11" s="952"/>
      <x:c r="KK11" s="952"/>
      <x:c r="KL11" s="952"/>
      <x:c r="KM11" s="952"/>
      <x:c r="KN11" s="952"/>
      <x:c r="KO11" s="952"/>
      <x:c r="KP11" s="952"/>
      <x:c r="KQ11" s="952"/>
      <x:c r="KR11" s="952"/>
      <x:c r="KS11" s="952"/>
      <x:c r="KT11" s="952"/>
      <x:c r="KU11" s="952"/>
      <x:c r="KV11" s="952"/>
      <x:c r="KW11" s="952"/>
      <x:c r="KX11" s="952"/>
      <x:c r="KY11" s="952"/>
      <x:c r="KZ11" s="952"/>
      <x:c r="LA11" s="952"/>
      <x:c r="LB11" s="952"/>
      <x:c r="LC11" s="952"/>
      <x:c r="LD11" s="952"/>
      <x:c r="LE11" s="952"/>
      <x:c r="LF11" s="952"/>
      <x:c r="LG11" s="952"/>
      <x:c r="LH11" s="952"/>
      <x:c r="LI11" s="952"/>
      <x:c r="LJ11" s="952"/>
      <x:c r="LK11" s="952"/>
      <x:c r="LL11" s="952"/>
      <x:c r="LM11" s="952"/>
      <x:c r="LN11" s="952"/>
      <x:c r="LO11" s="952"/>
      <x:c r="LP11" s="952"/>
      <x:c r="LQ11" s="952"/>
      <x:c r="LR11" s="952"/>
      <x:c r="LS11" s="952"/>
      <x:c r="LT11" s="952"/>
      <x:c r="LU11" s="952"/>
      <x:c r="LV11" s="952"/>
      <x:c r="LW11" s="952"/>
      <x:c r="LX11" s="952"/>
      <x:c r="LY11" s="952"/>
      <x:c r="LZ11" s="952"/>
      <x:c r="MA11" s="952"/>
      <x:c r="MB11" s="952"/>
      <x:c r="MC11" s="952"/>
      <x:c r="MD11" s="952"/>
      <x:c r="ME11" s="952"/>
      <x:c r="MF11" s="952"/>
      <x:c r="MG11" s="952"/>
      <x:c r="MH11" s="952"/>
      <x:c r="MI11" s="952"/>
      <x:c r="MJ11" s="952"/>
      <x:c r="MK11" s="952"/>
      <x:c r="ML11" s="952"/>
      <x:c r="MM11" s="952"/>
      <x:c r="MN11" s="952"/>
      <x:c r="MO11" s="952"/>
      <x:c r="MP11" s="952"/>
      <x:c r="MQ11" s="952"/>
      <x:c r="MR11" s="952"/>
      <x:c r="MS11" s="952"/>
      <x:c r="MT11" s="952"/>
      <x:c r="MU11" s="952"/>
      <x:c r="MV11" s="952"/>
      <x:c r="MW11" s="952"/>
      <x:c r="MX11" s="952"/>
      <x:c r="MY11" s="952"/>
      <x:c r="MZ11" s="952"/>
      <x:c r="NA11" s="952"/>
      <x:c r="NB11" s="952"/>
      <x:c r="NC11" s="952"/>
      <x:c r="ND11" s="952"/>
      <x:c r="NE11" s="952"/>
      <x:c r="NF11" s="952"/>
      <x:c r="NG11" s="952"/>
      <x:c r="NH11" s="952"/>
      <x:c r="NI11" s="952"/>
      <x:c r="NJ11" s="952"/>
      <x:c r="NK11" s="952"/>
      <x:c r="NL11" s="952"/>
      <x:c r="NM11" s="952"/>
      <x:c r="NN11" s="952"/>
      <x:c r="NO11" s="952"/>
      <x:c r="NP11" s="952"/>
      <x:c r="NQ11" s="952"/>
      <x:c r="NR11" s="952"/>
      <x:c r="NS11" s="952"/>
      <x:c r="NT11" s="952"/>
      <x:c r="NU11" s="952"/>
      <x:c r="NV11" s="952"/>
      <x:c r="NW11" s="952"/>
      <x:c r="NX11" s="952"/>
      <x:c r="NY11" s="952"/>
      <x:c r="NZ11" s="952"/>
      <x:c r="OA11" s="952"/>
      <x:c r="OB11" s="952"/>
      <x:c r="OC11" s="952"/>
      <x:c r="OD11" s="952"/>
      <x:c r="OE11" s="952"/>
      <x:c r="OF11" s="952"/>
      <x:c r="OG11" s="952"/>
      <x:c r="OH11" s="952"/>
      <x:c r="OI11" s="952"/>
      <x:c r="OJ11" s="952"/>
      <x:c r="OK11" s="952"/>
      <x:c r="OL11" s="952"/>
      <x:c r="OM11" s="952"/>
      <x:c r="ON11" s="952"/>
      <x:c r="OO11" s="952"/>
      <x:c r="OP11" s="952"/>
      <x:c r="OQ11" s="952"/>
      <x:c r="OR11" s="952"/>
      <x:c r="OS11" s="952"/>
      <x:c r="OT11" s="952"/>
      <x:c r="OU11" s="952"/>
      <x:c r="OV11" s="952"/>
      <x:c r="OW11" s="952"/>
      <x:c r="OX11" s="952"/>
      <x:c r="OY11" s="952"/>
      <x:c r="OZ11" s="952"/>
      <x:c r="PA11" s="952"/>
      <x:c r="PB11" s="952"/>
      <x:c r="PC11" s="952"/>
      <x:c r="PD11" s="952"/>
      <x:c r="PE11" s="952"/>
      <x:c r="PF11" s="952"/>
      <x:c r="PG11" s="952"/>
      <x:c r="PH11" s="952"/>
      <x:c r="PI11" s="952"/>
      <x:c r="PJ11" s="952"/>
      <x:c r="PK11" s="952"/>
      <x:c r="PL11" s="952"/>
      <x:c r="PM11" s="952"/>
      <x:c r="PN11" s="952"/>
      <x:c r="PO11" s="952"/>
      <x:c r="PP11" s="952"/>
      <x:c r="PQ11" s="952"/>
      <x:c r="PR11" s="952"/>
      <x:c r="PS11" s="952"/>
      <x:c r="PT11" s="952"/>
      <x:c r="PU11" s="952"/>
      <x:c r="PV11" s="952"/>
      <x:c r="PW11" s="952"/>
      <x:c r="PX11" s="952"/>
      <x:c r="PY11" s="952"/>
      <x:c r="PZ11" s="952"/>
      <x:c r="QA11" s="952"/>
      <x:c r="QB11" s="952"/>
      <x:c r="QC11" s="952"/>
      <x:c r="QD11" s="952"/>
      <x:c r="QE11" s="952"/>
    </x:row>
    <x:row r="12" s="952" customFormat="1" ht="76" customHeight="1">
      <x:c r="A12" s="951"/>
      <x:c r="B12" s="1804" t="inlineStr">
        <x:is>
          <x:t xml:space="preserve">3.6</x:t>
        </x:is>
      </x:c>
      <x:c r="C12" s="1796" t="inlineStr">
        <x:is>
          <x:t xml:space="preserve">Fixer et appliquer des règles éthiques pour utiliser les algorithmes, en particulier l’intelligence artificielle. Encadrer l’utilisation des données et assurer leur protection.</x:t>
        </x:is>
      </x:c>
      <x:c r="D12" s="1798"/>
      <x:c r="E12" s="1802"/>
      <x:c r="F12" s="1802"/>
      <x:c r="G12" s="1798"/>
      <x:c r="H12" s="1802"/>
      <x:c r="I12" s="1798"/>
      <x:c r="J12" s="1806" t="str">
        <x:f t="shared" si="0">S12</x:f>
      </x:c>
      <x:c r="K12" s="1786" t="str">
        <x:f t="shared" si="4">IF(IF(ISNUMBER(E12),AND(E12&gt;=0,E12&lt;=3,MOD(E12,1)=0),FALSE),IF(E12=0,0,IF(IF(ISNUMBER(F12),AND(F12&gt;=1,F12&lt;=4,MOD(F12,1)=0),FALSE),E12*10+F12,"")),"")</x:f>
      </x:c>
      <x:c r="L12" s="1786" t="b">
        <x:f t="shared" si="5">IF(ISNUMBER(K12),K12=31,FALSE)</x:f>
        <x:v>0</x:v>
      </x:c>
      <x:c r="M12" s="1786" t="b">
        <x:f t="shared" si="6">IF(ISNUMBER(K12),OR(K12=21,K12=32),FALSE)</x:f>
        <x:v>0</x:v>
      </x:c>
      <x:c r="N12" s="1786" t="b">
        <x:f t="shared" si="7">IF(ISNUMBER(K12),OR(K12=22,K12=33),FALSE)</x:f>
        <x:v>0</x:v>
      </x:c>
      <x:c r="O12" s="1786" t="b">
        <x:f t="shared" si="8">IF(ISNUMBER(K12),OR(K12=11,K12=12),FALSE)</x:f>
        <x:v>0</x:v>
      </x:c>
      <x:c r="P12" s="1786" t="b">
        <x:f t="shared" si="9">IF(ISNUMBER(K12),OR(K12=23,K12=34),FALSE)</x:f>
        <x:v>0</x:v>
      </x:c>
      <x:c r="Q12" s="1786" t="b">
        <x:f t="shared" si="10">IF(ISNUMBER(K12),OR(K12=13,K12=14,K12=24),FALSE)</x:f>
        <x:v>0</x:v>
      </x:c>
      <x:c r="R12" s="1786" t="b">
        <x:f t="shared" si="11">IF(ISNUMBER(K12),K12=0,FALSE)</x:f>
        <x:v>0</x:v>
      </x:c>
      <x:c r="S12" s="1786" t="str">
        <x:f t="shared" si="1">IF(ISNUMBER(T12),INDEX($L$5:$R$5,1,7-T12),"")</x:f>
      </x:c>
      <x:c r="T12" s="1786" t="str">
        <x:f t="shared" si="2">IF(ISNUMBER(K12),IF(L12,6,IF(M12,5,IF(N12,4,IF(O12,3,IF(P12,2,IF(Q12,1,0)))))),"")</x:f>
      </x:c>
      <x:c r="U12" s="1790" t="str">
        <x:f t="shared" si="3">IF(AND(ISNUMBER(T12),ISNUMBER(H12)),IF(AND(H12&gt;=1,H12&lt;=4,MOD(H12,1)=0),T12*10+H12,""),"")</x:f>
      </x:c>
      <x:c r="V12" s="1798"/>
      <x:c r="W12" s="1132"/>
      <x:c r="X12" s="1114"/>
    </x:row>
    <x:row r="13" s="952" customFormat="1" ht="76" customHeight="1">
      <x:c r="A13" s="951"/>
      <x:c r="B13" s="1804" t="inlineStr">
        <x:is>
          <x:t xml:space="preserve">3.7</x:t>
        </x:is>
      </x:c>
      <x:c r="C13" s="1796" t="inlineStr">
        <x:is>
          <x:t xml:space="preserve">Mettre en place et faire connaître les actions de responsabilité sociétale (RSE), qui prennent en compte les effets de l’organisation sur la société et l’environnement.</x:t>
        </x:is>
      </x:c>
      <x:c r="D13" s="1798"/>
      <x:c r="E13" s="1802"/>
      <x:c r="F13" s="1802"/>
      <x:c r="G13" s="1798"/>
      <x:c r="H13" s="1802"/>
      <x:c r="I13" s="1798"/>
      <x:c r="J13" s="1806" t="str">
        <x:f t="shared" si="0">S13</x:f>
      </x:c>
      <x:c r="K13" s="1786" t="str">
        <x:f t="shared" si="4">IF(IF(ISNUMBER(E13),AND(E13&gt;=0,E13&lt;=3,MOD(E13,1)=0),FALSE),IF(E13=0,0,IF(IF(ISNUMBER(F13),AND(F13&gt;=1,F13&lt;=4,MOD(F13,1)=0),FALSE),E13*10+F13,"")),"")</x:f>
      </x:c>
      <x:c r="L13" s="1786" t="b">
        <x:f t="shared" si="5">IF(ISNUMBER(K13),K13=31,FALSE)</x:f>
        <x:v>0</x:v>
      </x:c>
      <x:c r="M13" s="1786" t="b">
        <x:f t="shared" si="6">IF(ISNUMBER(K13),OR(K13=21,K13=32),FALSE)</x:f>
        <x:v>0</x:v>
      </x:c>
      <x:c r="N13" s="1786" t="b">
        <x:f t="shared" si="7">IF(ISNUMBER(K13),OR(K13=22,K13=33),FALSE)</x:f>
        <x:v>0</x:v>
      </x:c>
      <x:c r="O13" s="1786" t="b">
        <x:f t="shared" si="8">IF(ISNUMBER(K13),OR(K13=11,K13=12),FALSE)</x:f>
        <x:v>0</x:v>
      </x:c>
      <x:c r="P13" s="1786" t="b">
        <x:f t="shared" si="9">IF(ISNUMBER(K13),OR(K13=23,K13=34),FALSE)</x:f>
        <x:v>0</x:v>
      </x:c>
      <x:c r="Q13" s="1786" t="b">
        <x:f t="shared" si="10">IF(ISNUMBER(K13),OR(K13=13,K13=14,K13=24),FALSE)</x:f>
        <x:v>0</x:v>
      </x:c>
      <x:c r="R13" s="1786" t="b">
        <x:f t="shared" si="11">IF(ISNUMBER(K13),K13=0,FALSE)</x:f>
        <x:v>0</x:v>
      </x:c>
      <x:c r="S13" s="1786" t="str">
        <x:f t="shared" si="1">IF(ISNUMBER(T13),INDEX($L$5:$R$5,1,7-T13),"")</x:f>
      </x:c>
      <x:c r="T13" s="1786" t="str">
        <x:f t="shared" si="2">IF(ISNUMBER(K13),IF(L13,6,IF(M13,5,IF(N13,4,IF(O13,3,IF(P13,2,IF(Q13,1,0)))))),"")</x:f>
      </x:c>
      <x:c r="U13" s="1790" t="str">
        <x:f t="shared" si="3">IF(AND(ISNUMBER(T13),ISNUMBER(H13)),IF(AND(H13&gt;=1,H13&lt;=4,MOD(H13,1)=0),T13*10+H13,""),"")</x:f>
      </x:c>
      <x:c r="V13" s="1798"/>
      <x:c r="W13" s="1111"/>
      <x:c r="X13" s="1108"/>
    </x:row>
    <x:row r="14" s="952" customFormat="1" ht="76" customHeight="1">
      <x:c r="A14" s="951"/>
      <x:c r="B14" s="1804" t="inlineStr">
        <x:is>
          <x:t xml:space="preserve">3.8</x:t>
        </x:is>
      </x:c>
      <x:c r="C14" s="1796" t="inlineStr">
        <x:is>
          <x:t xml:space="preserve">Indiquer quand une intelligence artificielle répond et expliquer comment elle prend ses décisions. Garder un contrôle humain sur les sujets sensibles.</x:t>
        </x:is>
      </x:c>
      <x:c r="D14" s="1798"/>
      <x:c r="E14" s="1802"/>
      <x:c r="F14" s="1802"/>
      <x:c r="G14" s="1798"/>
      <x:c r="H14" s="1802"/>
      <x:c r="I14" s="1798"/>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11"/>
      <x:c r="X14" s="1108"/>
    </x:row>
  </x:sheetData>
  <x:mergeCells>
    <x:mergeCell ref="B6:W6"/>
    <x:mergeCell ref="B4:C5"/>
    <x:mergeCell ref="D4:E4"/>
    <x:mergeCell ref="F4:G4"/>
    <x:mergeCell ref="H4:I4"/>
    <x:mergeCell ref="V4:X4"/>
    <x:mergeCell ref="B2:J3"/>
  </x:mergeCells>
  <x:conditionalFormatting sqref="J7:J14">
    <x:cfRule type="expression" dxfId="1640" priority="5595">
      <x:formula>AND(ISNUMBER($T7),$T7=6)</x:formula>
    </x:cfRule>
    <x:cfRule type="expression" dxfId="1641" priority="5596">
      <x:formula>AND(ISNUMBER($T7),$T7=5)</x:formula>
    </x:cfRule>
    <x:cfRule type="expression" dxfId="1642" priority="5597">
      <x:formula>AND(ISNUMBER($T7),$T7=4)</x:formula>
    </x:cfRule>
    <x:cfRule type="expression" dxfId="1643" priority="5598">
      <x:formula>AND(ISNUMBER($T7),$T7=3)</x:formula>
    </x:cfRule>
    <x:cfRule type="expression" dxfId="1644" priority="5599">
      <x:formula>AND(ISNUMBER($T7),$T7=2)</x:formula>
    </x:cfRule>
    <x:cfRule type="expression" dxfId="1645" priority="5600">
      <x:formula>AND(ISNUMBER($T7),$T7=1)</x:formula>
    </x:cfRule>
    <x:cfRule type="expression" dxfId="1646" priority="5601">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7.xml><?xml version="1.0" encoding="utf-8"?>
<x:worksheet xmlns:x="http://schemas.openxmlformats.org/spreadsheetml/2006/main">
  <x:sheetPr>
    <x:tabColor rgb="FF00B0F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4.33203125" style="871" hidden="1" customWidth="1"/>
    <x:col min="24" max="24" width="48.3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4 : Résilience et stratégie · Utiliser le numérique responsable pour aider l’organisation à faire face aux difficultés et à s’adapter</x:v>
      </x:c>
      <x:c r="C2" s="1716"/>
      <x:c r="D2" s="1716"/>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6"/>
      <x:c r="W3" s="1173"/>
    </x:row>
    <x:row r="4" ht="27" customHeight="1">
      <x:c r="A4" s="861"/>
      <x:c r="B4" s="1884" t="str">
        <x:v>Cibles à évaluer</x:v>
      </x:c>
      <x:c r="C4" s="1885"/>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86"/>
      <x:c r="C5" s="1887"/>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6" customHeight="1">
      <x:c r="A7" s="951"/>
      <x:c r="B7" s="1804" t="inlineStr">
        <x:is>
          <x:t xml:space="preserve">4.1</x:t>
        </x:is>
      </x:c>
      <x:c r="C7" s="1796" t="inlineStr">
        <x:is>
          <x:t xml:space="preserve">Suivre des normes communes pour recueillir, regrouper, analyser et partager les données sur les effets des technologies de l’information et de la communication (TIC).</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9" si="1">IF(ISNUMBER(T7),INDEX($L$5:$R$5,1,7-T7),"")</x:f>
      </x:c>
      <x:c r="T7" s="1783" t="str">
        <x:f t="shared" ref="T7:T9" si="2">IF(ISNUMBER(K7),IF(L7,6,IF(M7,5,IF(N7,4,IF(O7,3,IF(P7,2,IF(Q7,1,0)))))),"")</x:f>
      </x:c>
      <x:c r="U7" s="1783" t="str">
        <x:f t="shared" ref="U7:U9" si="3">IF(AND(ISNUMBER(T7),ISNUMBER(H7)),IF(AND(H7&gt;=1,H7&lt;=4,MOD(H7,1)=0),T7*10+H7,""),"")</x:f>
      </x:c>
      <x:c r="V7" s="1798"/>
      <x:c r="W7" s="1110"/>
      <x:c r="X7" s="1108"/>
    </x:row>
    <x:row r="8" s="952" customFormat="1" ht="70" customHeight="1">
      <x:c r="A8" s="951"/>
      <x:c r="B8" s="1804" t="inlineStr">
        <x:is>
          <x:t xml:space="preserve">4.2</x:t>
        </x:is>
      </x:c>
      <x:c r="C8" s="1796" t="inlineStr">
        <x:is>
          <x:t xml:space="preserve">Évaluer les services numériques au fil du temps et partager les résultats.</x:t>
        </x:is>
      </x:c>
      <x:c r="D8" s="1798"/>
      <x:c r="E8" s="1802"/>
      <x:c r="F8" s="1802"/>
      <x:c r="G8" s="1798"/>
      <x:c r="H8" s="1802"/>
      <x:c r="I8" s="1798"/>
      <x:c r="J8" s="1806" t="str">
        <x:f t="shared" si="0">S8</x:f>
      </x:c>
      <x:c r="K8" s="1777" t="str">
        <x:f t="shared" ref="K8:K9" si="4">IF(IF(ISNUMBER(E8),AND(E8&gt;=0,E8&lt;=3,MOD(E8,1)=0),FALSE),IF(E8=0,0,IF(IF(ISNUMBER(F8),AND(F8&gt;=1,F8&lt;=4,MOD(F8,1)=0),FALSE),E8*10+F8,"")),"")</x:f>
      </x:c>
      <x:c r="L8" s="1777" t="b">
        <x:f t="shared" ref="L8:L9" si="5">IF(ISNUMBER(K8),K8=31,FALSE)</x:f>
        <x:v>0</x:v>
      </x:c>
      <x:c r="M8" s="1777" t="b">
        <x:f t="shared" ref="M8:M9" si="6">IF(ISNUMBER(K8),OR(K8=21,K8=32),FALSE)</x:f>
        <x:v>0</x:v>
      </x:c>
      <x:c r="N8" s="1777" t="b">
        <x:f t="shared" ref="N8:N9" si="7">IF(ISNUMBER(K8),OR(K8=22,K8=33),FALSE)</x:f>
        <x:v>0</x:v>
      </x:c>
      <x:c r="O8" s="1777" t="b">
        <x:f t="shared" ref="O8:O9" si="8">IF(ISNUMBER(K8),OR(K8=11,K8=12),FALSE)</x:f>
        <x:v>0</x:v>
      </x:c>
      <x:c r="P8" s="1777" t="b">
        <x:f t="shared" ref="P8:P9" si="9">IF(ISNUMBER(K8),OR(K8=23,K8=34),FALSE)</x:f>
        <x:v>0</x:v>
      </x:c>
      <x:c r="Q8" s="1777" t="b">
        <x:f t="shared" ref="Q8:Q9" si="10">IF(ISNUMBER(K8),OR(K8=13,K8=14,K8=24),FALSE)</x:f>
        <x:v>0</x:v>
      </x:c>
      <x:c r="R8" s="1777" t="b">
        <x:f t="shared" ref="R8:R9" si="11">IF(ISNUMBER(K8),K8=0,FALSE)</x:f>
        <x:v>0</x:v>
      </x:c>
      <x:c r="S8" s="1777" t="str">
        <x:f t="shared" si="1">IF(ISNUMBER(T8),INDEX($L$5:$R$5,1,7-T8),"")</x:f>
      </x:c>
      <x:c r="T8" s="1777" t="str">
        <x:f t="shared" si="2">IF(ISNUMBER(K8),IF(L8,6,IF(M8,5,IF(N8,4,IF(O8,3,IF(P8,2,IF(Q8,1,0)))))),"")</x:f>
      </x:c>
      <x:c r="U8" s="1790" t="str">
        <x:f t="shared" si="3">IF(AND(ISNUMBER(T8),ISNUMBER(H8)),IF(AND(H8&gt;=1,H8&lt;=4,MOD(H8,1)=0),T8*10+H8,""),"")</x:f>
      </x:c>
      <x:c r="V8" s="1798"/>
      <x:c r="W8" s="1109"/>
      <x:c r="X8" s="1108"/>
    </x:row>
    <x:row r="9" s="952" customFormat="1" ht="70" customHeight="1">
      <x:c r="A9" s="951"/>
      <x:c r="B9" s="1804" t="inlineStr">
        <x:is>
          <x:t xml:space="preserve">4.3</x:t>
        </x:is>
      </x:c>
      <x:c r="C9" s="1796" t="inlineStr">
        <x:is>
          <x:t xml:space="preserve">Innover en utilisant de nouveaux outils numériques. Évaluer leurs effets et expliquer les résultats aux personnes qui les utilisent.</x:t>
        </x:is>
      </x:c>
      <x:c r="D9" s="1798"/>
      <x:c r="E9" s="1802"/>
      <x:c r="F9" s="1802"/>
      <x:c r="G9" s="1798"/>
      <x:c r="H9" s="1802"/>
      <x:c r="I9" s="1798"/>
      <x:c r="J9" s="1806" t="str">
        <x:f t="shared" si="0">S9</x:f>
      </x:c>
      <x:c r="K9" s="1783" t="str">
        <x:f t="shared" si="4">IF(IF(ISNUMBER(E9),AND(E9&gt;=0,E9&lt;=3,MOD(E9,1)=0),FALSE),IF(E9=0,0,IF(IF(ISNUMBER(F9),AND(F9&gt;=1,F9&lt;=4,MOD(F9,1)=0),FALSE),E9*10+F9,"")),"")</x:f>
      </x:c>
      <x:c r="L9" s="1783" t="b">
        <x:f t="shared" si="5">IF(ISNUMBER(K9),K9=31,FALSE)</x:f>
        <x:v>0</x:v>
      </x:c>
      <x:c r="M9" s="1783" t="b">
        <x:f t="shared" si="6">IF(ISNUMBER(K9),OR(K9=21,K9=32),FALSE)</x:f>
        <x:v>0</x:v>
      </x:c>
      <x:c r="N9" s="1783" t="b">
        <x:f t="shared" si="7">IF(ISNUMBER(K9),OR(K9=22,K9=33),FALSE)</x:f>
        <x:v>0</x:v>
      </x:c>
      <x:c r="O9" s="1783" t="b">
        <x:f t="shared" si="8">IF(ISNUMBER(K9),OR(K9=11,K9=12),FALSE)</x:f>
        <x:v>0</x:v>
      </x:c>
      <x:c r="P9" s="1783" t="b">
        <x:f t="shared" si="9">IF(ISNUMBER(K9),OR(K9=23,K9=34),FALSE)</x:f>
        <x:v>0</x:v>
      </x:c>
      <x:c r="Q9" s="1783" t="b">
        <x:f t="shared" si="10">IF(ISNUMBER(K9),OR(K9=13,K9=14,K9=24),FALSE)</x:f>
        <x:v>0</x:v>
      </x:c>
      <x:c r="R9" s="1783" t="b">
        <x:f t="shared" si="11">IF(ISNUMBER(K9),K9=0,FALSE)</x:f>
        <x:v>0</x:v>
      </x:c>
      <x:c r="S9" s="1783" t="str">
        <x:f t="shared" si="1">IF(ISNUMBER(T9),INDEX($L$5:$R$5,1,7-T9),"")</x:f>
      </x:c>
      <x:c r="T9" s="1783" t="str">
        <x:f t="shared" si="2">IF(ISNUMBER(K9),IF(L9,6,IF(M9,5,IF(N9,4,IF(O9,3,IF(P9,2,IF(Q9,1,0)))))),"")</x:f>
      </x:c>
      <x:c r="U9" s="1783" t="str">
        <x:f t="shared" si="3">IF(AND(ISNUMBER(T9),ISNUMBER(H9)),IF(AND(H9&gt;=1,H9&lt;=4,MOD(H9,1)=0),T9*10+H9,""),"")</x:f>
      </x:c>
      <x:c r="V9" s="1798"/>
      <x:c r="W9" s="1122"/>
      <x:c r="X9" s="1114"/>
    </x:row>
    <x:row r="10" ht="70" customHeight="1">
      <x:c r="B10" s="1804" t="inlineStr">
        <x:is>
          <x:t xml:space="preserve">4.4</x:t>
        </x:is>
      </x:c>
      <x:c r="C10" s="1796" t="inlineStr">
        <x:is>
          <x:t xml:space="preserve">Renforcer la souveraineté numérique : garder la maîtrise de nos choix, de nos outils et de nos données.</x:t>
        </x:is>
      </x:c>
      <x:c r="D10" s="1798"/>
      <x:c r="E10" s="1802"/>
      <x:c r="F10" s="1802"/>
      <x:c r="G10" s="1798"/>
      <x:c r="H10" s="1802"/>
      <x:c r="I10" s="1798"/>
      <x:c r="J10" s="1806" t="n">
        <x:f t="shared" ref="J10" si="12">S10</x:f>
        <x:v>0</x:v>
      </x:c>
      <x:c r="K10" s="1783" t="str">
        <x:f t="shared" ref="K10" si="13">IF(IF(ISNUMBER(E10),AND(E10&gt;=0,E10&lt;=3,MOD(E10,1)=0),FALSE),IF(E10=0,0,IF(IF(ISNUMBER(F10),AND(F10&gt;=1,F10&lt;=4,MOD(F10,1)=0),FALSE),E10*10+F10,"")),"")</x:f>
      </x:c>
      <x:c r="L10" s="1783" t="b">
        <x:f t="shared" ref="L10" si="14">IF(ISNUMBER(K10),K10=31,FALSE)</x:f>
        <x:v>0</x:v>
      </x:c>
      <x:c r="M10" s="1783" t="b">
        <x:f t="shared" ref="M10" si="15">IF(ISNUMBER(K10),OR(K10=21,K10=32),FALSE)</x:f>
        <x:v>0</x:v>
      </x:c>
      <x:c r="N10" s="1783" t="b">
        <x:f t="shared" ref="N10" si="16">IF(ISNUMBER(K10),OR(K10=22,K10=33),FALSE)</x:f>
        <x:v>0</x:v>
      </x:c>
      <x:c r="O10" s="1783" t="b">
        <x:f t="shared" ref="O10" si="17">IF(ISNUMBER(K10),OR(K10=11,K10=12),FALSE)</x:f>
        <x:v>0</x:v>
      </x:c>
      <x:c r="P10" s="1783" t="b">
        <x:f t="shared" ref="P10" si="18">IF(ISNUMBER(K10),OR(K10=23,K10=34),FALSE)</x:f>
        <x:v>0</x:v>
      </x:c>
      <x:c r="Q10" s="1783" t="b">
        <x:f t="shared" ref="Q10" si="19">IF(ISNUMBER(K10),OR(K10=13,K10=14,K10=24),FALSE)</x:f>
        <x:v>0</x:v>
      </x:c>
      <x:c r="R10" s="1783" t="b">
        <x:f t="shared" ref="R10" si="20">IF(ISNUMBER(K10),K10=0,FALSE)</x:f>
        <x:v>0</x:v>
      </x:c>
      <x:c r="S10" s="1783" t="str">
        <x:f t="shared" ref="S10" si="21">IF(ISNUMBER(T10),INDEX($L$5:$R$5,1,7-T10),"")</x:f>
      </x:c>
      <x:c r="T10" s="1783" t="str">
        <x:f t="shared" ref="T10" si="22">IF(ISNUMBER(K10),IF(L10,6,IF(M10,5,IF(N10,4,IF(O10,3,IF(P10,2,IF(Q10,1,0)))))),"")</x:f>
      </x:c>
      <x:c r="U10" s="1783" t="str">
        <x:f t="shared" ref="U10" si="23">IF(AND(ISNUMBER(T10),ISNUMBER(H10)),IF(AND(H10&gt;=1,H10&lt;=4,MOD(H10,1)=0),T10*10+H10,""),"")</x:f>
      </x:c>
      <x:c r="V10" s="1798"/>
      <x:c r="W10" s="1122"/>
      <x:c r="X10" s="1114"/>
    </x:row>
  </x:sheetData>
  <x:mergeCells>
    <x:mergeCell ref="B6:W6"/>
    <x:mergeCell ref="B4:C5"/>
    <x:mergeCell ref="D4:E4"/>
    <x:mergeCell ref="F4:G4"/>
    <x:mergeCell ref="H4:I4"/>
    <x:mergeCell ref="V4:X4"/>
    <x:mergeCell ref="B2:J3"/>
  </x:mergeCells>
  <x:conditionalFormatting sqref="J7:J10">
    <x:cfRule type="expression" dxfId="1647" priority="407">
      <x:formula>AND(ISNUMBER($T7),$T7=6)</x:formula>
    </x:cfRule>
    <x:cfRule type="expression" dxfId="1648" priority="408">
      <x:formula>AND(ISNUMBER($T7),$T7=5)</x:formula>
    </x:cfRule>
    <x:cfRule type="expression" dxfId="1649" priority="409">
      <x:formula>AND(ISNUMBER($T7),$T7=4)</x:formula>
    </x:cfRule>
    <x:cfRule type="expression" dxfId="1650" priority="410">
      <x:formula>AND(ISNUMBER($T7),$T7=3)</x:formula>
    </x:cfRule>
    <x:cfRule type="expression" dxfId="1651" priority="411">
      <x:formula>AND(ISNUMBER($T7),$T7=2)</x:formula>
    </x:cfRule>
    <x:cfRule type="expression" dxfId="1652" priority="412">
      <x:formula>AND(ISNUMBER($T7),$T7=1)</x:formula>
    </x:cfRule>
    <x:cfRule type="expression" dxfId="1653" priority="413">
      <x:formula>AND(ISNUMBER($T7),$T7=0)</x:formula>
    </x:cfRule>
  </x:conditionalFormatting>
  <x:dataValidations count="3">
    <x:dataValidation type="list" allowBlank="1" showInputMessage="1" showErrorMessage="1" errorStyle="stop" showDropDown="0" sqref="E7:E10"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0"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0"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8.xml><?xml version="1.0" encoding="utf-8"?>
<x:worksheet xmlns:x="http://schemas.openxmlformats.org/spreadsheetml/2006/main">
  <x:sheetPr>
    <x:tabColor rgb="FF7030A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2.33203125" style="871" hidden="1" customWidth="1"/>
    <x:col min="24" max="24" width="64.8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5 : Management · Donner du sens au travail et préserver les personnes et les ressources nécessaires à nos activités</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912" t="str">
        <x:v>Cibles à évaluer</x:v>
      </x:c>
      <x:c r="C4" s="191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914"/>
      <x:c r="C5" s="1915"/>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0" customHeight="1">
      <x:c r="A7" s="951"/>
      <x:c r="B7" s="1804" t="inlineStr">
        <x:is>
          <x:t xml:space="preserve">5.1</x:t>
        </x:is>
      </x:c>
      <x:c r="C7" s="1796" t="inlineStr">
        <x:is>
          <x:t xml:space="preserve">Concevoir les systèmes et les services numériques en intégrant de nouvelles façons de répondre aux besoins sociaux.</x:t>
        </x:is>
      </x:c>
      <x:c r="D7" s="1799"/>
      <x:c r="E7" s="1802"/>
      <x:c r="F7" s="1802"/>
      <x:c r="G7" s="1798"/>
      <x:c r="H7" s="1921"/>
      <x:c r="I7" s="1798"/>
      <x:c r="J7" s="1806" t="str">
        <x:f t="shared" ref="J7" si="0">S7</x:f>
      </x:c>
      <x:c r="K7" s="1777" t="str">
        <x:f t="shared" ref="K7" si="1">IF(IF(ISNUMBER(E7),AND(E7&gt;=0,E7&lt;=3,MOD(E7,1)=0),FALSE),IF(E7=0,0,IF(IF(ISNUMBER(F7),AND(F7&gt;=1,F7&lt;=4,MOD(F7,1)=0),FALSE),E7*10+F7,"")),"")</x:f>
      </x:c>
      <x:c r="L7" s="1777" t="b">
        <x:f t="shared" ref="L7" si="2">IF(ISNUMBER(K7),K7=31,FALSE)</x:f>
        <x:v>0</x:v>
      </x:c>
      <x:c r="M7" s="1777" t="b">
        <x:f t="shared" ref="M7" si="3">IF(ISNUMBER(K7),OR(K7=21,K7=32),FALSE)</x:f>
        <x:v>0</x:v>
      </x:c>
      <x:c r="N7" s="1777" t="b">
        <x:f t="shared" ref="N7" si="4">IF(ISNUMBER(K7),OR(K7=22,K7=33),FALSE)</x:f>
        <x:v>0</x:v>
      </x:c>
      <x:c r="O7" s="1777" t="b">
        <x:f t="shared" ref="O7" si="5">IF(ISNUMBER(K7),OR(K7=11,K7=12),FALSE)</x:f>
        <x:v>0</x:v>
      </x:c>
      <x:c r="P7" s="1777" t="b">
        <x:f t="shared" ref="P7" si="6">IF(ISNUMBER(K7),OR(K7=23,K7=34),FALSE)</x:f>
        <x:v>0</x:v>
      </x:c>
      <x:c r="Q7" s="1777" t="b">
        <x:f t="shared" ref="Q7" si="7">IF(ISNUMBER(K7),OR(K7=13,K7=14,K7=24),FALSE)</x:f>
        <x:v>0</x:v>
      </x:c>
      <x:c r="R7" s="1777" t="b">
        <x:f t="shared" ref="R7" si="8">IF(ISNUMBER(K7),K7=0,FALSE)</x:f>
        <x:v>0</x:v>
      </x:c>
      <x:c r="S7" s="1777" t="str">
        <x:f t="shared" ref="S7" si="9">IF(ISNUMBER(T7),INDEX($L$5:$R$5,1,7-T7),"")</x:f>
      </x:c>
      <x:c r="T7" s="1777" t="str">
        <x:f t="shared" ref="T7" si="10">IF(ISNUMBER(K7),IF(L7,6,IF(M7,5,IF(N7,4,IF(O7,3,IF(P7,2,IF(Q7,1,0)))))),"")</x:f>
      </x:c>
      <x:c r="U7" s="1790" t="str">
        <x:f t="shared" ref="U7" si="11">IF(AND(ISNUMBER(T7),ISNUMBER(H7)),IF(AND(H7&gt;=1,H7&lt;=4,MOD(H7,1)=0),T7*10+H7,""),"")</x:f>
      </x:c>
      <x:c r="V7" s="1798"/>
      <x:c r="W7" s="1050"/>
      <x:c r="X7" s="1114"/>
    </x:row>
    <x:row r="8" s="952" customFormat="1" ht="70" customHeight="1">
      <x:c r="A8" s="951"/>
      <x:c r="B8" s="1804" t="inlineStr">
        <x:is>
          <x:t xml:space="preserve">5.2</x:t>
        </x:is>
      </x:c>
      <x:c r="C8" s="1796" t="inlineStr">
        <x:is>
          <x:t xml:space="preserve">Faire connaître et soutenir les initiatives des équipes qui encouragent l’engagement, la coopération entre services et le bien-être au travail.</x:t>
        </x:is>
      </x:c>
      <x:c r="D8" s="1799"/>
      <x:c r="E8" s="1802"/>
      <x:c r="F8" s="1802"/>
      <x:c r="G8" s="1798"/>
      <x:c r="H8" s="1921"/>
      <x:c r="I8" s="1798"/>
      <x:c r="J8" s="1806" t="str">
        <x:f t="shared" ref="J8:J10" si="12">S8</x:f>
      </x:c>
      <x:c r="K8" s="1777" t="str">
        <x:f t="shared" ref="K8:K10" si="13">IF(IF(ISNUMBER(E8),AND(E8&gt;=0,E8&lt;=3,MOD(E8,1)=0),FALSE),IF(E8=0,0,IF(IF(ISNUMBER(F8),AND(F8&gt;=1,F8&lt;=4,MOD(F8,1)=0),FALSE),E8*10+F8,"")),"")</x:f>
      </x:c>
      <x:c r="L8" s="1777" t="b">
        <x:f t="shared" ref="L8:L10" si="14">IF(ISNUMBER(K8),K8=31,FALSE)</x:f>
        <x:v>0</x:v>
      </x:c>
      <x:c r="M8" s="1777" t="b">
        <x:f t="shared" ref="M8:M10" si="15">IF(ISNUMBER(K8),OR(K8=21,K8=32),FALSE)</x:f>
        <x:v>0</x:v>
      </x:c>
      <x:c r="N8" s="1777" t="b">
        <x:f t="shared" ref="N8:N10" si="16">IF(ISNUMBER(K8),OR(K8=22,K8=33),FALSE)</x:f>
        <x:v>0</x:v>
      </x:c>
      <x:c r="O8" s="1777" t="b">
        <x:f t="shared" ref="O8:O10" si="17">IF(ISNUMBER(K8),OR(K8=11,K8=12),FALSE)</x:f>
        <x:v>0</x:v>
      </x:c>
      <x:c r="P8" s="1777" t="b">
        <x:f t="shared" ref="P8:P10" si="18">IF(ISNUMBER(K8),OR(K8=23,K8=34),FALSE)</x:f>
        <x:v>0</x:v>
      </x:c>
      <x:c r="Q8" s="1777" t="b">
        <x:f t="shared" ref="Q8:Q10" si="19">IF(ISNUMBER(K8),OR(K8=13,K8=14,K8=24),FALSE)</x:f>
        <x:v>0</x:v>
      </x:c>
      <x:c r="R8" s="1777" t="b">
        <x:f t="shared" ref="R8:R10" si="20">IF(ISNUMBER(K8),K8=0,FALSE)</x:f>
        <x:v>0</x:v>
      </x:c>
      <x:c r="S8" s="1777" t="str">
        <x:f t="shared" ref="S8:S10" si="21">IF(ISNUMBER(T8),INDEX($L$5:$R$5,1,7-T8),"")</x:f>
      </x:c>
      <x:c r="T8" s="1777" t="str">
        <x:f t="shared" ref="T8:T10" si="22">IF(ISNUMBER(K8),IF(L8,6,IF(M8,5,IF(N8,4,IF(O8,3,IF(P8,2,IF(Q8,1,0)))))),"")</x:f>
      </x:c>
      <x:c r="U8" s="1790" t="str">
        <x:f t="shared" ref="U8:U10" si="23">IF(AND(ISNUMBER(T8),ISNUMBER(H8)),IF(AND(H8&gt;=1,H8&lt;=4,MOD(H8,1)=0),T8*10+H8,""),"")</x:f>
      </x:c>
      <x:c r="V8" s="1798"/>
      <x:c r="W8" s="1050"/>
      <x:c r="X8" s="1114"/>
    </x:row>
    <x:row r="9" s="952" customFormat="1" ht="76" customHeight="1">
      <x:c r="A9" s="951"/>
      <x:c r="B9" s="1804" t="inlineStr">
        <x:is>
          <x:t xml:space="preserve">5.3</x:t>
        </x:is>
      </x:c>
      <x:c r="C9" s="1796" t="inlineStr">
        <x:is>
          <x:t xml:space="preserve">Faire participer les personnes et les organisations concernées. S’appuyer sur leurs connaissances des questions d’environnement, de conditions de vie et de société.</x:t>
        </x:is>
      </x:c>
      <x:c r="D9" s="1799"/>
      <x:c r="E9" s="1802"/>
      <x:c r="F9" s="1802"/>
      <x:c r="G9" s="1798"/>
      <x:c r="H9" s="1921"/>
      <x:c r="I9" s="1798"/>
      <x:c r="J9" s="1806" t="str">
        <x:f t="shared" si="12">S9</x:f>
      </x:c>
      <x:c r="K9" s="1777" t="str">
        <x:f t="shared" si="13">IF(IF(ISNUMBER(E9),AND(E9&gt;=0,E9&lt;=3,MOD(E9,1)=0),FALSE),IF(E9=0,0,IF(IF(ISNUMBER(F9),AND(F9&gt;=1,F9&lt;=4,MOD(F9,1)=0),FALSE),E9*10+F9,"")),"")</x:f>
      </x:c>
      <x:c r="L9" s="1777" t="b">
        <x:f t="shared" si="14">IF(ISNUMBER(K9),K9=31,FALSE)</x:f>
        <x:v>0</x:v>
      </x:c>
      <x:c r="M9" s="1777" t="b">
        <x:f t="shared" si="15">IF(ISNUMBER(K9),OR(K9=21,K9=32),FALSE)</x:f>
        <x:v>0</x:v>
      </x:c>
      <x:c r="N9" s="1777" t="b">
        <x:f t="shared" si="16">IF(ISNUMBER(K9),OR(K9=22,K9=33),FALSE)</x:f>
        <x:v>0</x:v>
      </x:c>
      <x:c r="O9" s="1777" t="b">
        <x:f t="shared" si="17">IF(ISNUMBER(K9),OR(K9=11,K9=12),FALSE)</x:f>
        <x:v>0</x:v>
      </x:c>
      <x:c r="P9" s="1777" t="b">
        <x:f t="shared" si="18">IF(ISNUMBER(K9),OR(K9=23,K9=34),FALSE)</x:f>
        <x:v>0</x:v>
      </x:c>
      <x:c r="Q9" s="1777" t="b">
        <x:f t="shared" si="19">IF(ISNUMBER(K9),OR(K9=13,K9=14,K9=24),FALSE)</x:f>
        <x:v>0</x:v>
      </x:c>
      <x:c r="R9" s="1777" t="b">
        <x:f t="shared" si="20">IF(ISNUMBER(K9),K9=0,FALSE)</x:f>
        <x:v>0</x:v>
      </x:c>
      <x:c r="S9" s="1777" t="str">
        <x:f t="shared" si="21">IF(ISNUMBER(T9),INDEX($L$5:$R$5,1,7-T9),"")</x:f>
      </x:c>
      <x:c r="T9" s="1777" t="str">
        <x:f t="shared" si="22">IF(ISNUMBER(K9),IF(L9,6,IF(M9,5,IF(N9,4,IF(O9,3,IF(P9,2,IF(Q9,1,0)))))),"")</x:f>
      </x:c>
      <x:c r="U9" s="1790" t="str">
        <x:f t="shared" si="23">IF(AND(ISNUMBER(T9),ISNUMBER(H9)),IF(AND(H9&gt;=1,H9&lt;=4,MOD(H9,1)=0),T9*10+H9,""),"")</x:f>
      </x:c>
      <x:c r="V9" s="1798"/>
      <x:c r="W9" s="1050"/>
      <x:c r="X9" s="1114"/>
    </x:row>
    <x:row r="10" s="952" customFormat="1" ht="70" customHeight="1">
      <x:c r="A10" s="951"/>
      <x:c r="B10" s="1804" t="inlineStr">
        <x:is>
          <x:t xml:space="preserve">5.4</x:t>
        </x:is>
      </x:c>
      <x:c r="C10" s="1796" t="inlineStr">
        <x:is>
          <x:t xml:space="preserve">Permettre aux générations futures d’innover pour mieux vivre ensemble, s’ouvrir aux autres et préserver l’équilibre de la nature.</x:t>
        </x:is>
      </x:c>
      <x:c r="D10" s="1799"/>
      <x:c r="E10" s="1802"/>
      <x:c r="F10" s="1802"/>
      <x:c r="G10" s="1798"/>
      <x:c r="H10" s="1921"/>
      <x:c r="I10" s="1798"/>
      <x:c r="J10" s="1806" t="str">
        <x:f t="shared" si="12">S10</x:f>
      </x:c>
      <x:c r="K10" s="1777" t="str">
        <x:f t="shared" si="13">IF(IF(ISNUMBER(E10),AND(E10&gt;=0,E10&lt;=3,MOD(E10,1)=0),FALSE),IF(E10=0,0,IF(IF(ISNUMBER(F10),AND(F10&gt;=1,F10&lt;=4,MOD(F10,1)=0),FALSE),E10*10+F10,"")),"")</x:f>
      </x:c>
      <x:c r="L10" s="1777" t="b">
        <x:f t="shared" si="14">IF(ISNUMBER(K10),K10=31,FALSE)</x:f>
        <x:v>0</x:v>
      </x:c>
      <x:c r="M10" s="1777" t="b">
        <x:f t="shared" si="15">IF(ISNUMBER(K10),OR(K10=21,K10=32),FALSE)</x:f>
        <x:v>0</x:v>
      </x:c>
      <x:c r="N10" s="1777" t="b">
        <x:f t="shared" si="16">IF(ISNUMBER(K10),OR(K10=22,K10=33),FALSE)</x:f>
        <x:v>0</x:v>
      </x:c>
      <x:c r="O10" s="1777" t="b">
        <x:f t="shared" si="17">IF(ISNUMBER(K10),OR(K10=11,K10=12),FALSE)</x:f>
        <x:v>0</x:v>
      </x:c>
      <x:c r="P10" s="1777" t="b">
        <x:f t="shared" si="18">IF(ISNUMBER(K10),OR(K10=23,K10=34),FALSE)</x:f>
        <x:v>0</x:v>
      </x:c>
      <x:c r="Q10" s="1777" t="b">
        <x:f t="shared" si="19">IF(ISNUMBER(K10),OR(K10=13,K10=14,K10=24),FALSE)</x:f>
        <x:v>0</x:v>
      </x:c>
      <x:c r="R10" s="1777" t="b">
        <x:f t="shared" si="20">IF(ISNUMBER(K10),K10=0,FALSE)</x:f>
        <x:v>0</x:v>
      </x:c>
      <x:c r="S10" s="1777" t="str">
        <x:f t="shared" si="21">IF(ISNUMBER(T10),INDEX($L$5:$R$5,1,7-T10),"")</x:f>
      </x:c>
      <x:c r="T10" s="1777" t="str">
        <x:f t="shared" si="22">IF(ISNUMBER(K10),IF(L10,6,IF(M10,5,IF(N10,4,IF(O10,3,IF(P10,2,IF(Q10,1,0)))))),"")</x:f>
      </x:c>
      <x:c r="U10" s="1790" t="str">
        <x:f t="shared" si="23">IF(AND(ISNUMBER(T10),ISNUMBER(H10)),IF(AND(H10&gt;=1,H10&lt;=4,MOD(H10,1)=0),T10*10+H10,""),"")</x:f>
      </x:c>
      <x:c r="V10" s="1798"/>
      <x:c r="W10" s="1050"/>
      <x:c r="X10" s="1114"/>
    </x:row>
    <x:row r="11" s="952" customFormat="1" ht="70" customHeight="1">
      <x:c r="A11" s="951"/>
      <x:c r="B11" s="1804" t="inlineStr">
        <x:is>
          <x:t xml:space="preserve">5.5</x:t>
        </x:is>
      </x:c>
      <x:c r="C11" s="1796" t="inlineStr">
        <x:is>
          <x:t xml:space="preserve">Suivre les résultats obtenus et le respect des règles à l’aide d’indicateurs.</x:t>
        </x:is>
      </x:c>
      <x:c r="D11" s="1799"/>
      <x:c r="E11" s="1802"/>
      <x:c r="F11" s="1802"/>
      <x:c r="G11" s="1798"/>
      <x:c r="H11" s="1921"/>
      <x:c r="I11" s="1798"/>
      <x:c r="J11" s="1806" t="str">
        <x:f t="shared" ref="J11:J12" si="24">S11</x:f>
      </x:c>
      <x:c r="K11" s="1777" t="str">
        <x:f t="shared" ref="K11:K12" si="25">IF(IF(ISNUMBER(E11),AND(E11&gt;=0,E11&lt;=3,MOD(E11,1)=0),FALSE),IF(E11=0,0,IF(IF(ISNUMBER(F11),AND(F11&gt;=1,F11&lt;=4,MOD(F11,1)=0),FALSE),E11*10+F11,"")),"")</x:f>
      </x:c>
      <x:c r="L11" s="1777" t="b">
        <x:f t="shared" ref="L11:L12" si="26">IF(ISNUMBER(K11),K11=31,FALSE)</x:f>
        <x:v>0</x:v>
      </x:c>
      <x:c r="M11" s="1777" t="b">
        <x:f t="shared" ref="M11:M12" si="27">IF(ISNUMBER(K11),OR(K11=21,K11=32),FALSE)</x:f>
        <x:v>0</x:v>
      </x:c>
      <x:c r="N11" s="1777" t="b">
        <x:f t="shared" ref="N11:N12" si="28">IF(ISNUMBER(K11),OR(K11=22,K11=33),FALSE)</x:f>
        <x:v>0</x:v>
      </x:c>
      <x:c r="O11" s="1777" t="b">
        <x:f t="shared" ref="O11:O12" si="29">IF(ISNUMBER(K11),OR(K11=11,K11=12),FALSE)</x:f>
        <x:v>0</x:v>
      </x:c>
      <x:c r="P11" s="1777" t="b">
        <x:f t="shared" ref="P11:P12" si="30">IF(ISNUMBER(K11),OR(K11=23,K11=34),FALSE)</x:f>
        <x:v>0</x:v>
      </x:c>
      <x:c r="Q11" s="1777" t="b">
        <x:f t="shared" ref="Q11:Q12" si="31">IF(ISNUMBER(K11),OR(K11=13,K11=14,K11=24),FALSE)</x:f>
        <x:v>0</x:v>
      </x:c>
      <x:c r="R11" s="1777" t="b">
        <x:f t="shared" ref="R11:R12" si="32">IF(ISNUMBER(K11),K11=0,FALSE)</x:f>
        <x:v>0</x:v>
      </x:c>
      <x:c r="S11" s="1777" t="str">
        <x:f t="shared" ref="S11:S12" si="33">IF(ISNUMBER(T11),INDEX($L$5:$R$5,1,7-T11),"")</x:f>
      </x:c>
      <x:c r="T11" s="1777" t="str">
        <x:f t="shared" ref="T11:T12" si="34">IF(ISNUMBER(K11),IF(L11,6,IF(M11,5,IF(N11,4,IF(O11,3,IF(P11,2,IF(Q11,1,0)))))),"")</x:f>
      </x:c>
      <x:c r="U11" s="1790" t="str">
        <x:f t="shared" ref="U11:U12" si="35">IF(AND(ISNUMBER(T11),ISNUMBER(H11)),IF(AND(H11&gt;=1,H11&lt;=4,MOD(H11,1)=0),T11*10+H11,""),"")</x:f>
      </x:c>
      <x:c r="V11" s="1798"/>
      <x:c r="W11" s="1050"/>
      <x:c r="X11" s="1114"/>
    </x:row>
    <x:row r="12" s="953" customFormat="1" ht="70" customHeight="1">
      <x:c r="A12" s="951"/>
      <x:c r="B12" s="1804" t="inlineStr">
        <x:is>
          <x:t xml:space="preserve">5.6</x:t>
        </x:is>
      </x:c>
      <x:c r="C12" s="1796" t="inlineStr">
        <x:is>
          <x:t xml:space="preserve">Proposer des améliorations et de nouvelles idées pour un numérique responsable, y compris des solutions sans outils numériques.</x:t>
        </x:is>
      </x:c>
      <x:c r="D12" s="1799"/>
      <x:c r="E12" s="1802"/>
      <x:c r="F12" s="1802"/>
      <x:c r="G12" s="1798"/>
      <x:c r="H12" s="1921"/>
      <x:c r="I12" s="1798"/>
      <x:c r="J12" s="1806" t="str">
        <x:f t="shared" si="24">S12</x:f>
      </x:c>
      <x:c r="K12" s="1777" t="str">
        <x:f t="shared" si="25">IF(IF(ISNUMBER(E12),AND(E12&gt;=0,E12&lt;=3,MOD(E12,1)=0),FALSE),IF(E12=0,0,IF(IF(ISNUMBER(F12),AND(F12&gt;=1,F12&lt;=4,MOD(F12,1)=0),FALSE),E12*10+F12,"")),"")</x:f>
      </x:c>
      <x:c r="L12" s="1777" t="b">
        <x:f t="shared" si="26">IF(ISNUMBER(K12),K12=31,FALSE)</x:f>
        <x:v>0</x:v>
      </x:c>
      <x:c r="M12" s="1777" t="b">
        <x:f t="shared" si="27">IF(ISNUMBER(K12),OR(K12=21,K12=32),FALSE)</x:f>
        <x:v>0</x:v>
      </x:c>
      <x:c r="N12" s="1777" t="b">
        <x:f t="shared" si="28">IF(ISNUMBER(K12),OR(K12=22,K12=33),FALSE)</x:f>
        <x:v>0</x:v>
      </x:c>
      <x:c r="O12" s="1777" t="b">
        <x:f t="shared" si="29">IF(ISNUMBER(K12),OR(K12=11,K12=12),FALSE)</x:f>
        <x:v>0</x:v>
      </x:c>
      <x:c r="P12" s="1777" t="b">
        <x:f t="shared" si="30">IF(ISNUMBER(K12),OR(K12=23,K12=34),FALSE)</x:f>
        <x:v>0</x:v>
      </x:c>
      <x:c r="Q12" s="1777" t="b">
        <x:f t="shared" si="31">IF(ISNUMBER(K12),OR(K12=13,K12=14,K12=24),FALSE)</x:f>
        <x:v>0</x:v>
      </x:c>
      <x:c r="R12" s="1777" t="b">
        <x:f t="shared" si="32">IF(ISNUMBER(K12),K12=0,FALSE)</x:f>
        <x:v>0</x:v>
      </x:c>
      <x:c r="S12" s="1777" t="str">
        <x:f t="shared" si="33">IF(ISNUMBER(T12),INDEX($L$5:$R$5,1,7-T12),"")</x:f>
      </x:c>
      <x:c r="T12" s="1777" t="str">
        <x:f t="shared" si="34">IF(ISNUMBER(K12),IF(L12,6,IF(M12,5,IF(N12,4,IF(O12,3,IF(P12,2,IF(Q12,1,0)))))),"")</x:f>
      </x:c>
      <x:c r="U12" s="1790" t="str">
        <x:f t="shared" si="35">IF(AND(ISNUMBER(T12),ISNUMBER(H12)),IF(AND(H12&gt;=1,H12&lt;=4,MOD(H12,1)=0),T12*10+H12,""),"")</x:f>
      </x:c>
      <x:c r="V12" s="1798"/>
      <x:c r="W12" s="1067"/>
      <x:c r="X12" s="1115"/>
    </x:row>
    <x:row r="13" s="953" customFormat="1" ht="70" customHeight="1">
      <x:c r="A13" s="951"/>
      <x:c r="B13" s="1804" t="inlineStr">
        <x:is>
          <x:t xml:space="preserve">5.7</x:t>
        </x:is>
      </x:c>
      <x:c r="C13" s="1796" t="inlineStr">
        <x:is>
          <x:t xml:space="preserve">Décider avec les équipes comment utiliser l’intelligence artificielle. Les former à ses limites et préserver le sens de leur travail.</x:t>
        </x:is>
      </x:c>
      <x:c r="D13" s="1799"/>
      <x:c r="E13" s="1802"/>
      <x:c r="F13" s="1802"/>
      <x:c r="G13" s="1798"/>
      <x:c r="H13" s="1921"/>
      <x:c r="I13" s="1798"/>
      <x:c r="J13" s="1806" t="n">
        <x:f>S13</x:f>
        <x:v>0</x:v>
      </x:c>
      <x:c r="K13" s="1777" t="str">
        <x:f>IF(IF(ISNUMBER(E13),AND(E13&gt;=0,E13&lt;=3,MOD(E13,1)=0),FALSE),IF(E13=0,0,IF(IF(ISNUMBER(F13),AND(F13&gt;=1,F13&lt;=4,MOD(F13,1)=0),FALSE),E13*10+F13,"")),"")</x:f>
      </x:c>
      <x:c r="L13" s="1777" t="b">
        <x:f>IF(ISNUMBER(K13),K13=31,FALSE)</x:f>
        <x:v>0</x:v>
      </x:c>
      <x:c r="M13" s="1777" t="b">
        <x:f>IF(ISNUMBER(K13),OR(K13=21,K13=32),FALSE)</x:f>
        <x:v>0</x:v>
      </x:c>
      <x:c r="N13" s="1777" t="b">
        <x:f>IF(ISNUMBER(K13),OR(K13=22,K13=33),FALSE)</x:f>
        <x:v>0</x:v>
      </x:c>
      <x:c r="O13" s="1777" t="b">
        <x:f>IF(ISNUMBER(K13),OR(K13=11,K13=12),FALSE)</x:f>
        <x:v>0</x:v>
      </x:c>
      <x:c r="P13" s="1777" t="b">
        <x:f>IF(ISNUMBER(K13),OR(K13=23,K13=34),FALSE)</x:f>
        <x:v>0</x:v>
      </x:c>
      <x:c r="Q13" s="1777" t="b">
        <x:f>IF(ISNUMBER(K13),OR(K13=13,K13=14,K13=24),FALSE)</x:f>
        <x:v>0</x:v>
      </x:c>
      <x:c r="R13" s="1777" t="b">
        <x:f>IF(ISNUMBER(K13),K13=0,FALSE)</x:f>
        <x:v>0</x:v>
      </x:c>
      <x:c r="S13" s="1777" t="str">
        <x:f>IF(ISNUMBER(T13),INDEX($L$5:$R$5,1,7-T13),"")</x:f>
      </x:c>
      <x:c r="T13" s="1777" t="str">
        <x:f>IF(ISNUMBER(K13),IF(L13,6,IF(M13,5,IF(N13,4,IF(O13,3,IF(P13,2,IF(Q13,1,0)))))),"")</x:f>
      </x:c>
      <x:c r="U13" s="1790" t="str">
        <x:f>IF(AND(ISNUMBER(T13),ISNUMBER(H13)),IF(AND(H13&gt;=1,H13&lt;=4,MOD(H13,1)=0),T13*10+H13,""),"")</x:f>
      </x:c>
      <x:c r="V13" s="1798"/>
      <x:c r="W13" s="1067"/>
      <x:c r="X13" s="1115"/>
    </x:row>
  </x:sheetData>
  <x:mergeCells>
    <x:mergeCell ref="B6:W6"/>
    <x:mergeCell ref="B4:C5"/>
    <x:mergeCell ref="D4:E4"/>
    <x:mergeCell ref="F4:G4"/>
    <x:mergeCell ref="H4:I4"/>
    <x:mergeCell ref="V4:X4"/>
    <x:mergeCell ref="B2:J3"/>
  </x:mergeCells>
  <x:conditionalFormatting sqref="J7:J13">
    <x:cfRule type="expression" dxfId="1654" priority="314">
      <x:formula>AND(ISNUMBER($T7),$T7=6)</x:formula>
    </x:cfRule>
    <x:cfRule type="expression" dxfId="1655" priority="315">
      <x:formula>AND(ISNUMBER($T7),$T7=5)</x:formula>
    </x:cfRule>
    <x:cfRule type="expression" dxfId="1656" priority="316">
      <x:formula>AND(ISNUMBER($T7),$T7=4)</x:formula>
    </x:cfRule>
    <x:cfRule type="expression" dxfId="1657" priority="317">
      <x:formula>AND(ISNUMBER($T7),$T7=3)</x:formula>
    </x:cfRule>
    <x:cfRule type="expression" dxfId="1658" priority="318">
      <x:formula>AND(ISNUMBER($T7),$T7=2)</x:formula>
    </x:cfRule>
    <x:cfRule type="expression" dxfId="1659" priority="319">
      <x:formula>AND(ISNUMBER($T7),$T7=1)</x:formula>
    </x:cfRule>
    <x:cfRule type="expression" dxfId="1660" priority="320">
      <x:formula>AND(ISNUMBER($T7),$T7=0)</x:formula>
    </x:cfRule>
  </x:conditionalFormatting>
  <x:dataValidations count="3">
    <x:dataValidation type="list" allowBlank="1" showInputMessage="1" showErrorMessage="1" errorStyle="stop" showDropDown="0" sqref="E7:E13"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3"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3"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9" t="s">
        <v>95</v>
      </c>
      <c r="C2" s="359"/>
      <c r="D2" s="359"/>
      <c r="E2" s="359"/>
      <c r="F2" s="359"/>
      <c r="G2" s="1"/>
      <c r="H2" s="1"/>
      <c r="I2" s="1"/>
      <c r="J2" s="1"/>
      <c r="K2" s="1"/>
    </row>
    <row r="3" spans="1:11" ht="22" thickBot="1">
      <c r="A3" s="1"/>
      <c r="B3" s="2"/>
      <c r="C3" s="1"/>
      <c r="D3" s="1"/>
      <c r="E3" s="1"/>
      <c r="F3" s="1"/>
      <c r="G3" s="1"/>
      <c r="H3" s="1"/>
      <c r="I3" s="1"/>
      <c r="J3" s="1"/>
      <c r="K3" s="1"/>
    </row>
    <row r="4" spans="1:11" ht="59.25" customHeight="1">
      <c r="A4" s="360" t="s">
        <v>11</v>
      </c>
      <c r="B4" s="3">
        <v>3</v>
      </c>
      <c r="C4" s="4"/>
      <c r="D4" s="26"/>
      <c r="E4" s="5"/>
      <c r="F4" s="6"/>
      <c r="G4" s="7"/>
      <c r="H4" s="8" t="s">
        <v>23</v>
      </c>
      <c r="I4" s="9" t="s">
        <v>27</v>
      </c>
      <c r="J4" s="1"/>
      <c r="K4" s="1"/>
    </row>
    <row r="5" spans="1:11" ht="59.25" customHeight="1">
      <c r="A5" s="360"/>
      <c r="B5" s="10">
        <v>2</v>
      </c>
      <c r="C5" s="28"/>
      <c r="D5" s="11"/>
      <c r="E5" s="30"/>
      <c r="F5" s="13"/>
      <c r="G5" s="7"/>
      <c r="H5" s="27" t="s">
        <v>24</v>
      </c>
      <c r="I5" s="15" t="s">
        <v>28</v>
      </c>
      <c r="J5" s="1"/>
      <c r="K5" s="1"/>
    </row>
    <row r="6" spans="1:11" ht="59.25" customHeight="1">
      <c r="A6" s="360"/>
      <c r="B6" s="10">
        <v>1</v>
      </c>
      <c r="C6" s="29"/>
      <c r="D6" s="12"/>
      <c r="E6" s="16"/>
      <c r="F6" s="13"/>
      <c r="G6" s="7"/>
      <c r="H6" s="14" t="s">
        <v>25</v>
      </c>
      <c r="I6" s="18" t="s">
        <v>29</v>
      </c>
      <c r="J6" s="1"/>
      <c r="K6" s="1"/>
    </row>
    <row r="7" spans="1:11" ht="59.25" customHeight="1">
      <c r="A7" s="360"/>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61" t="s">
        <v>96</v>
      </c>
      <c r="D9" s="361"/>
      <c r="E9" s="361"/>
      <c r="F9" s="361"/>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M40"/>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 min="39" max="39" width="12" hidden="1" customWidth="1"/>
  </cols>
  <sheetData>
    <row r="1" spans="1:38" s="50" customFormat="1" ht="13" thickBot="1">
      <c r="B1" s="47"/>
      <c r="C1" s="217"/>
      <c r="L1" s="50">
        <v>0</v>
      </c>
      <c r="M1" s="50">
        <v>1</v>
      </c>
      <c r="N1" s="50">
        <v>2</v>
      </c>
      <c r="O1" s="50">
        <v>3</v>
      </c>
      <c r="P1" s="50">
        <v>4</v>
      </c>
      <c r="Q1" s="50">
        <v>5</v>
      </c>
    </row>
    <row r="2" spans="1:38" ht="16">
      <c r="A2" s="50"/>
      <c r="B2" s="367" t="s">
        <v>97</v>
      </c>
      <c r="C2" s="368"/>
      <c r="D2" s="371"/>
      <c r="E2" s="372"/>
      <c r="F2" s="373"/>
      <c r="G2" s="374"/>
      <c r="H2" s="375"/>
      <c r="I2" s="376"/>
      <c r="J2" s="111"/>
      <c r="K2" s="112"/>
      <c r="L2" s="112"/>
      <c r="M2" s="112"/>
      <c r="N2" s="112"/>
      <c r="O2" s="112"/>
      <c r="P2" s="112"/>
      <c r="Q2" s="112"/>
      <c r="R2" s="112"/>
      <c r="S2" s="112"/>
      <c r="T2" s="112"/>
      <c r="U2" s="112"/>
      <c r="V2" s="377" t="s">
        <v>98</v>
      </c>
      <c r="W2" s="378"/>
      <c r="X2" s="379"/>
      <c r="Y2" s="365" t="s">
        <v>99</v>
      </c>
      <c r="Z2" s="366"/>
    </row>
    <row r="3" spans="1:38" s="114" customFormat="1" ht="218" thickBot="1">
      <c r="A3" s="113"/>
      <c r="B3" s="369"/>
      <c r="C3" s="370"/>
      <c r="D3" s="265" t="s">
        <v>100</v>
      </c>
      <c r="E3" s="266" t="str">
        <f>'ONR 1'!E5</f>
        <v>Importance</v>
      </c>
      <c r="F3" s="273" t="str">
        <f>'ONR 1'!F5</f>
        <v>Niveau actuel</v>
      </c>
      <c r="G3" s="120" t="str">
        <f>'ONR 1'!G5</f>
        <v>Ce qui est déjà fait et ce qui justifie la note</v>
      </c>
      <c r="H3" s="121" t="str">
        <f>'ONR 1'!H5</f>
        <v>Compétences nécessaires</v>
      </c>
      <c r="I3" s="122" t="str">
        <f>'ONR 1'!I5</f>
        <v>Points forts et points faibles</v>
      </c>
      <c r="J3" s="123" t="str">
        <f>'ONR 1'!J5</f>
        <v>Niveau de priorité</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tr">
        <v>ONR</v>
      </c>
      <c r="AC3" s="192" t="s">
        <v>106</v>
      </c>
      <c r="AD3" s="192" t="s">
        <v>107</v>
      </c>
      <c r="AE3" s="192" t="str">
        <v>Cibles à évaluer</v>
      </c>
      <c r="AF3" s="193" t="s">
        <v>109</v>
      </c>
      <c r="AG3" s="194" t="s">
        <v>110</v>
      </c>
      <c r="AH3" s="195" t="s">
        <v>111</v>
      </c>
      <c r="AI3" s="196" t="s">
        <v>112</v>
      </c>
      <c r="AJ3" s="197" t="s">
        <v>113</v>
      </c>
      <c r="AK3" s="198" t="s">
        <v>114</v>
      </c>
      <c r="AL3" s="192" t="str">
        <v>Cibles non applicables</v>
      </c>
      <c r="AM3" t="str">
        <v>Piste d’action renseignée</v>
      </c>
    </row>
    <row r="4" spans="1:38" s="116" customFormat="1" ht="23" thickBot="1">
      <c r="A4" s="115"/>
      <c r="B4" s="382" t="str">
        <f>'ONR 1'!B2</f>
        <v>ONR 1 : Sobriété · Utiliser les outils numériques pour consommer moins de ressources et réduire leurs effets sur l’environnement</v>
      </c>
      <c r="C4" s="383"/>
      <c r="D4" s="383"/>
      <c r="E4" s="383"/>
      <c r="F4" s="383"/>
      <c r="G4" s="383"/>
      <c r="H4" s="383"/>
      <c r="I4" s="383"/>
      <c r="J4" s="383"/>
      <c r="K4" s="383"/>
      <c r="L4" s="383"/>
      <c r="M4" s="383"/>
      <c r="N4" s="383"/>
      <c r="O4" s="383"/>
      <c r="P4" s="383"/>
      <c r="Q4" s="383"/>
      <c r="R4" s="383"/>
      <c r="S4" s="383"/>
      <c r="T4" s="383"/>
      <c r="U4" s="383"/>
      <c r="V4" s="383"/>
      <c r="W4" s="383"/>
      <c r="X4" s="383"/>
      <c r="Y4" s="383"/>
      <c r="Z4" s="384"/>
      <c r="AB4" s="116" t="str">
        <f>B4</f>
        <v>ONR 1 : Sobriété · Utiliser les outils numériques pour consommer moins de ressources et réduire leurs effets sur l’environnement</v>
      </c>
      <c r="AC4" s="116" t="n">
        <f>COUNTA('ONR 1'!B7:B14)</f>
        <v>8</v>
      </c>
      <c r="AD4" s="116" t="n">
        <f>COUNT(T5:T12)</f>
        <v>0</v>
      </c>
      <c r="AE4" s="117" t="n">
        <f>SUM(AE5:AE12)</f>
        <v>8</v>
      </c>
      <c r="AF4" s="117" t="n">
        <f>SUM(AF5:AF12)</f>
        <v>0</v>
      </c>
      <c r="AG4" s="117" t="n">
        <f>SUM(AG5:AG12)</f>
        <v>0</v>
      </c>
      <c r="AH4" s="117" t="n">
        <f>SUM(AH5:AH12)</f>
        <v>0</v>
      </c>
      <c r="AI4" s="117" t="n">
        <f>SUM(AI5:AI12)</f>
        <v>0</v>
      </c>
      <c r="AJ4" s="117" t="n">
        <f>SUM(AJ5:AJ12)</f>
        <v>0</v>
      </c>
      <c r="AK4" s="117" t="n">
        <f>SUM(AK5:AK12)</f>
        <v>0</v>
      </c>
      <c r="AL4" s="117" t="n">
        <f>SUM(AL5:AL12)</f>
        <v>0</v>
      </c>
    </row>
    <row r="5" spans="1:38" s="205" customFormat="1" ht="38">
      <c r="A5" s="199"/>
      <c r="B5" s="218" t="str">
        <f>IF(ISBLANK('ONR 1'!B7),"",'ONR 1'!B7)</f>
        <v>1.1</v>
      </c>
      <c r="C5" s="218" t="str">
        <f>IF(ISBLANK('ONR 1'!C7),"",'ONR 1'!C7)</f>
        <v>Prendre en compte toutes les étapes de la vie des équipements et des logiciels, de leur création à leur fin de vie, pour contribuer à la transition énergétique.</v>
      </c>
      <c r="D5" s="223" t="str">
        <f>IF(ISBLANK('ONR 1'!D7),"",'ONR 1'!D7)</f>
      </c>
      <c r="E5" s="267" t="str">
        <f>IF(ISBLANK('ONR 1'!E7),"",'ONR 1'!E7)</f>
      </c>
      <c r="F5" s="274" t="str">
        <f>IF(ISBLANK('ONR 1'!F7),"",'ONR 1'!F7)</f>
      </c>
      <c r="G5" s="200" t="str">
        <f>IF(ISBLANK('ONR 1'!G7),"",'ONR 1'!G7)</f>
      </c>
      <c r="H5" s="201" t="str">
        <f>IF(ISBLANK('ONR 1'!H7),"",'ONR 1'!H7)</f>
      </c>
      <c r="I5" s="225" t="str">
        <f>IF(ISBLANK('ONR 1'!I7),"",'ONR 1'!I7)</f>
      </c>
      <c r="J5" s="226" t="str">
        <f>IF(ISBLANK('ONR 1'!J7),"",'ONR 1'!J7)</f>
      </c>
      <c r="K5" s="227" t="str">
        <f t="shared" ref="K5:K9" si="1">IF(ISBLANK('ONR 1'!K7),"",'ONR 1'!K7)</f>
      </c>
      <c r="L5" s="227" t="b">
        <f>IF(ISBLANK('ONR 1'!L7),"",'ONR 1'!L7)</f>
        <v>0</v>
      </c>
      <c r="M5" s="227" t="b">
        <f>IF(ISBLANK('ONR 1'!M7),"",'ONR 1'!M7)</f>
        <v>0</v>
      </c>
      <c r="N5" s="227" t="b">
        <f>IF(ISBLANK('ONR 1'!N7),"",'ONR 1'!N7)</f>
        <v>0</v>
      </c>
      <c r="O5" s="227" t="b">
        <f>IF(ISBLANK('ONR 1'!O7),"",'ONR 1'!O7)</f>
        <v>0</v>
      </c>
      <c r="P5" s="227" t="b">
        <f>IF(ISBLANK('ONR 1'!P7),"",'ONR 1'!P7)</f>
        <v>0</v>
      </c>
      <c r="Q5" s="227" t="b">
        <f>IF(ISBLANK('ONR 1'!Q7),"",'ONR 1'!Q7)</f>
        <v>0</v>
      </c>
      <c r="R5" s="227" t="b">
        <f>IF(ISBLANK('ONR 1'!R7),"",'ONR 1'!R7)</f>
        <v>0</v>
      </c>
      <c r="S5" s="228" t="str">
        <f t="shared" ref="S5:S9" si="2">IF(ISBLANK('ONR 1'!S7),"",'ONR 1'!S7)</f>
      </c>
      <c r="T5" s="226" t="str">
        <f t="shared" ref="T5:T9" si="3">IF(ISBLANK('ONR 1'!T7),"",'ONR 1'!T7)</f>
      </c>
      <c r="U5" s="227" t="str">
        <f t="shared" ref="U5:U9" si="4">IF(ISBLANK('ONR 1'!U7),"",'ONR 1'!U7)</f>
      </c>
      <c r="V5" s="229" t="str">
        <f t="shared" ref="V5:V11" si="5">IF(ISBLANK('ONR 1'!G7),"",'ONR 1'!G7)</f>
      </c>
      <c r="W5" s="203" t="str">
        <f>IF(ISBLANK('ONR 1'!V7),"",'ONR 1'!V7)</f>
      </c>
      <c r="X5" s="204" t="str">
        <f>IF(ISBLANK('ONR 1'!W7),"",'ONR 1'!W7)</f>
      </c>
      <c r="Y5" s="230" t="str">
        <f t="shared" ref="Y5:Y11" si="6">IF(ISBLANK('ONR 1'!I7),"",'ONR 1'!I7)</f>
      </c>
      <c r="Z5" s="230" t="str">
        <f t="shared" ref="Z5:Z11" si="7">IF(ISBLANK('ONR 1'!D7),"",'ONR 1'!D7)</f>
      </c>
      <c r="AE5" s="206" t="n">
        <f t="shared" ref="AE5:AE11" si="8">IF(ISNUMBER(T5),0,1)</f>
        <v>1</v>
      </c>
      <c r="AF5" s="206" t="n">
        <f t="shared" ref="AF5:AL11" si="9">IF(L5=TRUE,1,0)</f>
        <v>0</v>
      </c>
      <c r="AG5" s="206" t="n">
        <f t="shared" si="9">IF(M5=TRUE,1,0)</f>
        <v>0</v>
      </c>
      <c r="AH5" s="206" t="n">
        <f t="shared" si="9">IF(N5=TRUE,1,0)</f>
        <v>0</v>
      </c>
      <c r="AI5" s="206" t="n">
        <f t="shared" si="9">IF(O5=TRUE,1,0)</f>
        <v>0</v>
      </c>
      <c r="AJ5" s="206" t="n">
        <f t="shared" si="9">IF(P5=TRUE,1,0)</f>
        <v>0</v>
      </c>
      <c r="AK5" s="206" t="n">
        <f t="shared" si="9">IF(Q5=TRUE,1,0)</f>
        <v>0</v>
      </c>
      <c r="AL5" s="206" t="n">
        <f t="shared" si="9">IF(R5=TRUE,1,0)</f>
        <v>0</v>
      </c>
      <c r="AM5" t="n">
        <f>IF(LEN(TRIM(W5))&gt;0,1,0)</f>
        <v>0</v>
      </c>
    </row>
    <row r="6" spans="1:38" s="205" customFormat="1" ht="57">
      <c r="A6" s="199"/>
      <c r="B6" s="219" t="str">
        <f>IF(ISBLANK('ONR 1'!B8),"",'ONR 1'!B8)</f>
        <v>1.2</v>
      </c>
      <c r="C6" s="219" t="str">
        <f>IF(ISBLANK('ONR 1'!C8),"",'ONR 1'!C8)</f>
        <v>Utiliser les équipements plus longtemps, même après la fin de leur amortissement, c’est-à-dire la période sur laquelle leur coût est réparti dans les comptes.</v>
      </c>
      <c r="D6" s="231" t="str">
        <f>IF(ISBLANK('ONR 1'!D8),"",'ONR 1'!D8)</f>
      </c>
      <c r="E6" s="268" t="str">
        <f>IF(ISBLANK('ONR 1'!E8),"",'ONR 1'!E8)</f>
      </c>
      <c r="F6" s="275" t="str">
        <f>IF(ISBLANK('ONR 1'!F8),"",'ONR 1'!F8)</f>
      </c>
      <c r="G6" s="207" t="str">
        <f>IF(ISBLANK('ONR 1'!G8),"",'ONR 1'!G8)</f>
      </c>
      <c r="H6" s="201" t="str">
        <f>IF(ISBLANK('ONR 1'!H8),"",'ONR 1'!H8)</f>
      </c>
      <c r="I6" s="225" t="str">
        <f>IF(ISBLANK('ONR 1'!I8),"",'ONR 1'!I8)</f>
      </c>
      <c r="J6" s="232" t="str">
        <f t="shared" ref="J6:J9" si="10">IF(ISBLANK('ONR 1'!J8),"",'ONR 1'!J8)</f>
      </c>
      <c r="K6" s="233" t="str">
        <f t="shared" si="1">IF(ISBLANK('ONR 1'!K8),"",'ONR 1'!K8)</f>
      </c>
      <c r="L6" s="233" t="b">
        <f t="shared" ref="L6:L9" si="11">IF(ISBLANK('ONR 1'!L8),"",'ONR 1'!L8)</f>
        <v>0</v>
      </c>
      <c r="M6" s="233" t="b">
        <f t="shared" ref="M6:M9" si="12">IF(ISBLANK('ONR 1'!M8),"",'ONR 1'!M8)</f>
        <v>0</v>
      </c>
      <c r="N6" s="233" t="b">
        <f t="shared" ref="N6:N9" si="13">IF(ISBLANK('ONR 1'!N8),"",'ONR 1'!N8)</f>
        <v>0</v>
      </c>
      <c r="O6" s="233" t="b">
        <f t="shared" ref="O6:O9" si="14">IF(ISBLANK('ONR 1'!O8),"",'ONR 1'!O8)</f>
        <v>0</v>
      </c>
      <c r="P6" s="233" t="b">
        <f t="shared" ref="P6:P9" si="15">IF(ISBLANK('ONR 1'!P8),"",'ONR 1'!P8)</f>
        <v>0</v>
      </c>
      <c r="Q6" s="233" t="b">
        <f t="shared" ref="Q6:Q9" si="16">IF(ISBLANK('ONR 1'!Q8),"",'ONR 1'!Q8)</f>
        <v>0</v>
      </c>
      <c r="R6" s="233" t="b">
        <f t="shared" ref="R6:R9" si="17">IF(ISBLANK('ONR 1'!R8),"",'ONR 1'!R8)</f>
        <v>0</v>
      </c>
      <c r="S6" s="234" t="str">
        <f t="shared" si="2">IF(ISBLANK('ONR 1'!S8),"",'ONR 1'!S8)</f>
      </c>
      <c r="T6" s="232" t="str">
        <f t="shared" si="3">IF(ISBLANK('ONR 1'!T8),"",'ONR 1'!T8)</f>
      </c>
      <c r="U6" s="233" t="str">
        <f t="shared" si="4">IF(ISBLANK('ONR 1'!U8),"",'ONR 1'!U8)</f>
      </c>
      <c r="V6" s="235" t="str">
        <f t="shared" si="5">IF(ISBLANK('ONR 1'!G8),"",'ONR 1'!G8)</f>
      </c>
      <c r="W6" s="235" t="str">
        <f>IF(ISBLANK('ONR 1'!V8),"",'ONR 1'!V8)</f>
      </c>
      <c r="X6" s="204" t="str">
        <f>IF(ISBLANK('ONR 1'!W8),"",'ONR 1'!W8)</f>
      </c>
      <c r="Y6" s="236" t="str">
        <f t="shared" si="6">IF(ISBLANK('ONR 1'!I8),"",'ONR 1'!I8)</f>
      </c>
      <c r="Z6" s="236" t="str">
        <f t="shared" si="7">IF(ISBLANK('ONR 1'!D8),"",'ONR 1'!D8)</f>
      </c>
      <c r="AE6" s="206" t="n">
        <f t="shared" si="8">IF(ISNUMBER(T6),0,1)</f>
        <v>1</v>
      </c>
      <c r="AF6" s="206" t="n">
        <f t="shared" si="9">IF(L6=TRUE,1,0)</f>
        <v>0</v>
      </c>
      <c r="AG6" s="206" t="n">
        <f t="shared" si="9">IF(M6=TRUE,1,0)</f>
        <v>0</v>
      </c>
      <c r="AH6" s="206" t="n">
        <f t="shared" si="9">IF(N6=TRUE,1,0)</f>
        <v>0</v>
      </c>
      <c r="AI6" s="206" t="n">
        <f t="shared" si="9">IF(O6=TRUE,1,0)</f>
        <v>0</v>
      </c>
      <c r="AJ6" s="206" t="n">
        <f t="shared" si="9">IF(P6=TRUE,1,0)</f>
        <v>0</v>
      </c>
      <c r="AK6" s="206" t="n">
        <f t="shared" si="9">IF(Q6=TRUE,1,0)</f>
        <v>0</v>
      </c>
      <c r="AL6" s="206" t="n">
        <f t="shared" si="9">IF(R6=TRUE,1,0)</f>
        <v>0</v>
      </c>
      <c r="AM6" t="n">
        <f>IF(LEN(TRIM(W6))&gt;0,1,0)</f>
        <v>0</v>
      </c>
    </row>
    <row r="7" spans="1:38" s="205" customFormat="1" ht="57">
      <c r="A7" s="199"/>
      <c r="B7" s="219" t="str">
        <f>IF(ISBLANK('ONR 1'!B9),"",'ONR 1'!B9)</f>
        <v>1.3</v>
      </c>
      <c r="C7" s="219" t="str">
        <f>IF(ISBLANK('ONR 1'!C9),"",'ONR 1'!C9)</f>
        <v>Concevoir des services numériques qui limitent leurs effets sur l’environnement. Choisir des technologies qui contribuent aux Objectifs de développement durable (ODD).</v>
      </c>
      <c r="D7" s="231" t="str">
        <f>IF(ISBLANK('ONR 1'!D9),"",'ONR 1'!D9)</f>
      </c>
      <c r="E7" s="268" t="str">
        <f>IF(ISBLANK('ONR 1'!E9),"",'ONR 1'!E9)</f>
      </c>
      <c r="F7" s="275" t="str">
        <f>IF(ISBLANK('ONR 1'!F9),"",'ONR 1'!F9)</f>
      </c>
      <c r="G7" s="207" t="str">
        <f>IF(ISBLANK('ONR 1'!G9),"",'ONR 1'!G9)</f>
      </c>
      <c r="H7" s="201" t="str">
        <f>IF(ISBLANK('ONR 1'!H9),"",'ONR 1'!H9)</f>
      </c>
      <c r="I7" s="225" t="str">
        <f>IF(ISBLANK('ONR 1'!I9),"",'ONR 1'!I9)</f>
      </c>
      <c r="J7" s="232" t="str">
        <f t="shared" si="10">IF(ISBLANK('ONR 1'!J9),"",'ONR 1'!J9)</f>
      </c>
      <c r="K7" s="233" t="str">
        <f t="shared" si="1">IF(ISBLANK('ONR 1'!K9),"",'ONR 1'!K9)</f>
      </c>
      <c r="L7" s="233" t="b">
        <f t="shared" si="11">IF(ISBLANK('ONR 1'!L9),"",'ONR 1'!L9)</f>
        <v>0</v>
      </c>
      <c r="M7" s="233" t="b">
        <f t="shared" si="12">IF(ISBLANK('ONR 1'!M9),"",'ONR 1'!M9)</f>
        <v>0</v>
      </c>
      <c r="N7" s="233" t="b">
        <f t="shared" si="13">IF(ISBLANK('ONR 1'!N9),"",'ONR 1'!N9)</f>
        <v>0</v>
      </c>
      <c r="O7" s="233" t="b">
        <f t="shared" si="14">IF(ISBLANK('ONR 1'!O9),"",'ONR 1'!O9)</f>
        <v>0</v>
      </c>
      <c r="P7" s="233" t="b">
        <f t="shared" si="15">IF(ISBLANK('ONR 1'!P9),"",'ONR 1'!P9)</f>
        <v>0</v>
      </c>
      <c r="Q7" s="233" t="b">
        <f t="shared" si="16">IF(ISBLANK('ONR 1'!Q9),"",'ONR 1'!Q9)</f>
        <v>0</v>
      </c>
      <c r="R7" s="233" t="b">
        <f t="shared" si="17">IF(ISBLANK('ONR 1'!R9),"",'ONR 1'!R9)</f>
        <v>0</v>
      </c>
      <c r="S7" s="234" t="str">
        <f t="shared" si="2">IF(ISBLANK('ONR 1'!S9),"",'ONR 1'!S9)</f>
      </c>
      <c r="T7" s="232" t="str">
        <f t="shared" si="3">IF(ISBLANK('ONR 1'!T9),"",'ONR 1'!T9)</f>
      </c>
      <c r="U7" s="233" t="str">
        <f t="shared" si="4">IF(ISBLANK('ONR 1'!U9),"",'ONR 1'!U9)</f>
      </c>
      <c r="V7" s="235" t="str">
        <f t="shared" si="5">IF(ISBLANK('ONR 1'!G9),"",'ONR 1'!G9)</f>
      </c>
      <c r="W7" s="142" t="str">
        <f>IF(ISBLANK('ONR 1'!V9),"",'ONR 1'!V9)</f>
      </c>
      <c r="X7" s="204" t="str">
        <f>IF(ISBLANK('ONR 1'!W9),"",'ONR 1'!W9)</f>
      </c>
      <c r="Y7" s="236" t="str">
        <f t="shared" si="6">IF(ISBLANK('ONR 1'!I9),"",'ONR 1'!I9)</f>
      </c>
      <c r="Z7" s="236" t="str">
        <f t="shared" si="7">IF(ISBLANK('ONR 1'!D9),"",'ONR 1'!D9)</f>
      </c>
      <c r="AE7" s="206" t="n">
        <f t="shared" si="8">IF(ISNUMBER(T7),0,1)</f>
        <v>1</v>
      </c>
      <c r="AF7" s="206" t="n">
        <f t="shared" si="9">IF(L7=TRUE,1,0)</f>
        <v>0</v>
      </c>
      <c r="AG7" s="206" t="n">
        <f t="shared" si="9">IF(M7=TRUE,1,0)</f>
        <v>0</v>
      </c>
      <c r="AH7" s="206" t="n">
        <f t="shared" si="9">IF(N7=TRUE,1,0)</f>
        <v>0</v>
      </c>
      <c r="AI7" s="206" t="n">
        <f t="shared" si="9">IF(O7=TRUE,1,0)</f>
        <v>0</v>
      </c>
      <c r="AJ7" s="206" t="n">
        <f t="shared" si="9">IF(P7=TRUE,1,0)</f>
        <v>0</v>
      </c>
      <c r="AK7" s="206" t="n">
        <f t="shared" si="9">IF(Q7=TRUE,1,0)</f>
        <v>0</v>
      </c>
      <c r="AL7" s="206" t="n">
        <f t="shared" si="9">IF(R7=TRUE,1,0)</f>
        <v>0</v>
      </c>
      <c r="AM7" t="n">
        <f>IF(LEN(TRIM(W7))&gt;0,1,0)</f>
        <v>0</v>
      </c>
    </row>
    <row r="8" spans="1:38" s="205" customFormat="1" ht="38">
      <c r="A8" s="199"/>
      <c r="B8" s="219" t="str">
        <f>IF(ISBLANK('ONR 1'!B10),"",'ONR 1'!B10)</f>
        <v>1.4</v>
      </c>
      <c r="C8" s="219" t="str">
        <f>IF(ISBLANK('ONR 1'!C10),"",'ONR 1'!C10)</f>
        <v>Adopter des pratiques qui consomment moins de matériel, de ressources, d’énergie et de consommables, comme le papier ou l’encre.</v>
      </c>
      <c r="D8" s="237" t="str">
        <f>IF(ISBLANK('ONR 1'!D10),"",'ONR 1'!D10)</f>
      </c>
      <c r="E8" s="269" t="str">
        <f>IF(ISBLANK('ONR 1'!E10),"",'ONR 1'!E10)</f>
      </c>
      <c r="F8" s="276" t="str">
        <f>IF(ISBLANK('ONR 1'!F10),"",'ONR 1'!F10)</f>
      </c>
      <c r="G8" s="208" t="str">
        <f>IF(ISBLANK('ONR 1'!G10),"",'ONR 1'!G10)</f>
      </c>
      <c r="H8" s="209" t="str">
        <f>IF(ISBLANK('ONR 1'!H10),"",'ONR 1'!H10)</f>
      </c>
      <c r="I8" s="225" t="str">
        <f>IF(ISBLANK('ONR 1'!I10),"",'ONR 1'!I10)</f>
      </c>
      <c r="J8" s="232" t="str">
        <f t="shared" si="10">IF(ISBLANK('ONR 1'!J10),"",'ONR 1'!J10)</f>
      </c>
      <c r="K8" s="233" t="str">
        <f t="shared" si="1">IF(ISBLANK('ONR 1'!K10),"",'ONR 1'!K10)</f>
      </c>
      <c r="L8" s="233" t="b">
        <f t="shared" si="11">IF(ISBLANK('ONR 1'!L10),"",'ONR 1'!L10)</f>
        <v>0</v>
      </c>
      <c r="M8" s="233" t="b">
        <f t="shared" si="12">IF(ISBLANK('ONR 1'!M10),"",'ONR 1'!M10)</f>
        <v>0</v>
      </c>
      <c r="N8" s="233" t="b">
        <f t="shared" si="13">IF(ISBLANK('ONR 1'!N10),"",'ONR 1'!N10)</f>
        <v>0</v>
      </c>
      <c r="O8" s="233" t="b">
        <f t="shared" si="14">IF(ISBLANK('ONR 1'!O10),"",'ONR 1'!O10)</f>
        <v>0</v>
      </c>
      <c r="P8" s="233" t="b">
        <f t="shared" si="15">IF(ISBLANK('ONR 1'!P10),"",'ONR 1'!P10)</f>
        <v>0</v>
      </c>
      <c r="Q8" s="233" t="b">
        <f t="shared" si="16">IF(ISBLANK('ONR 1'!Q10),"",'ONR 1'!Q10)</f>
        <v>0</v>
      </c>
      <c r="R8" s="233" t="b">
        <f t="shared" si="17">IF(ISBLANK('ONR 1'!R10),"",'ONR 1'!R10)</f>
        <v>0</v>
      </c>
      <c r="S8" s="234" t="str">
        <f t="shared" si="2">IF(ISBLANK('ONR 1'!S10),"",'ONR 1'!S10)</f>
      </c>
      <c r="T8" s="232" t="str">
        <f t="shared" si="3">IF(ISBLANK('ONR 1'!T10),"",'ONR 1'!T10)</f>
      </c>
      <c r="U8" s="233" t="str">
        <f t="shared" si="4">IF(ISBLANK('ONR 1'!U10),"",'ONR 1'!U10)</f>
      </c>
      <c r="V8" s="239" t="str">
        <f t="shared" si="5">IF(ISBLANK('ONR 1'!G10),"",'ONR 1'!G10)</f>
      </c>
      <c r="W8" s="210" t="str">
        <f>IF(ISBLANK('ONR 1'!V10),"",'ONR 1'!V10)</f>
      </c>
      <c r="X8" s="204" t="str">
        <f>IF(ISBLANK('ONR 1'!W10),"",'ONR 1'!W10)</f>
      </c>
      <c r="Y8" s="236" t="str">
        <f t="shared" si="6">IF(ISBLANK('ONR 1'!I10),"",'ONR 1'!I10)</f>
      </c>
      <c r="Z8" s="236" t="str">
        <f t="shared" si="7">IF(ISBLANK('ONR 1'!D10),"",'ONR 1'!D10)</f>
      </c>
      <c r="AE8" s="206" t="n">
        <f t="shared" si="8">IF(ISNUMBER(T8),0,1)</f>
        <v>1</v>
      </c>
      <c r="AF8" s="206" t="n">
        <f t="shared" si="9">IF(L8=TRUE,1,0)</f>
        <v>0</v>
      </c>
      <c r="AG8" s="206" t="n">
        <f t="shared" si="9">IF(M8=TRUE,1,0)</f>
        <v>0</v>
      </c>
      <c r="AH8" s="206" t="n">
        <f t="shared" si="9">IF(N8=TRUE,1,0)</f>
        <v>0</v>
      </c>
      <c r="AI8" s="206" t="n">
        <f t="shared" si="9">IF(O8=TRUE,1,0)</f>
        <v>0</v>
      </c>
      <c r="AJ8" s="206" t="n">
        <f t="shared" si="9">IF(P8=TRUE,1,0)</f>
        <v>0</v>
      </c>
      <c r="AK8" s="206" t="n">
        <f t="shared" si="9">IF(Q8=TRUE,1,0)</f>
        <v>0</v>
      </c>
      <c r="AL8" s="206" t="n">
        <f t="shared" si="9">IF(R8=TRUE,1,0)</f>
        <v>0</v>
      </c>
      <c r="AM8" t="n">
        <f>IF(LEN(TRIM(W8))&gt;0,1,0)</f>
        <v>0</v>
      </c>
    </row>
    <row r="9" spans="1:38" s="205" customFormat="1" ht="57">
      <c r="A9" s="199"/>
      <c r="B9" s="219" t="str">
        <f>IF(ISBLANK('ONR 1'!B11),"",'ONR 1'!B11)</f>
        <v>1.5</v>
      </c>
      <c r="C9" s="219" t="str">
        <f>IF(ISBLANK('ONR 1'!C11),"",'ONR 1'!C11)</f>
        <v>Réutiliser ou recycler les déchets pour en faire de nouvelles ressources. Soutenir les emplois liés à leur traitement et à l’économie circulaire.</v>
      </c>
      <c r="D9" s="240" t="str">
        <f>IF(ISBLANK('ONR 1'!D11),"",'ONR 1'!D11)</f>
      </c>
      <c r="E9" s="270" t="str">
        <f>IF(ISBLANK('ONR 1'!E11),"",'ONR 1'!E11)</f>
      </c>
      <c r="F9" s="277" t="str">
        <f>IF(ISBLANK('ONR 1'!F11),"",'ONR 1'!F11)</f>
      </c>
      <c r="G9" s="211" t="str">
        <f>IF(ISBLANK('ONR 1'!G11),"",'ONR 1'!G11)</f>
      </c>
      <c r="H9" s="212" t="str">
        <f>IF(ISBLANK('ONR 1'!H11),"",'ONR 1'!H11)</f>
      </c>
      <c r="I9" s="225" t="str">
        <f>IF(ISBLANK('ONR 1'!I11),"",'ONR 1'!I11)</f>
      </c>
      <c r="J9" s="232" t="str">
        <f t="shared" si="10">IF(ISBLANK('ONR 1'!J11),"",'ONR 1'!J11)</f>
      </c>
      <c r="K9" s="233" t="str">
        <f t="shared" si="1">IF(ISBLANK('ONR 1'!K11),"",'ONR 1'!K11)</f>
      </c>
      <c r="L9" s="233" t="b">
        <f t="shared" si="11">IF(ISBLANK('ONR 1'!L11),"",'ONR 1'!L11)</f>
        <v>0</v>
      </c>
      <c r="M9" s="233" t="b">
        <f t="shared" si="12">IF(ISBLANK('ONR 1'!M11),"",'ONR 1'!M11)</f>
        <v>0</v>
      </c>
      <c r="N9" s="233" t="b">
        <f t="shared" si="13">IF(ISBLANK('ONR 1'!N11),"",'ONR 1'!N11)</f>
        <v>0</v>
      </c>
      <c r="O9" s="233" t="b">
        <f t="shared" si="14">IF(ISBLANK('ONR 1'!O11),"",'ONR 1'!O11)</f>
        <v>0</v>
      </c>
      <c r="P9" s="233" t="b">
        <f t="shared" si="15">IF(ISBLANK('ONR 1'!P11),"",'ONR 1'!P11)</f>
        <v>0</v>
      </c>
      <c r="Q9" s="233" t="b">
        <f t="shared" si="16">IF(ISBLANK('ONR 1'!Q11),"",'ONR 1'!Q11)</f>
        <v>0</v>
      </c>
      <c r="R9" s="233" t="b">
        <f t="shared" si="17">IF(ISBLANK('ONR 1'!R11),"",'ONR 1'!R11)</f>
        <v>0</v>
      </c>
      <c r="S9" s="234" t="str">
        <f t="shared" si="2">IF(ISBLANK('ONR 1'!S11),"",'ONR 1'!S11)</f>
      </c>
      <c r="T9" s="232" t="str">
        <f t="shared" si="3">IF(ISBLANK('ONR 1'!T11),"",'ONR 1'!T11)</f>
      </c>
      <c r="U9" s="233" t="str">
        <f t="shared" si="4">IF(ISBLANK('ONR 1'!U11),"",'ONR 1'!U11)</f>
      </c>
      <c r="V9" s="241" t="str">
        <f t="shared" si="5">IF(ISBLANK('ONR 1'!G11),"",'ONR 1'!G11)</f>
      </c>
      <c r="W9" s="241" t="str">
        <f>IF(ISBLANK('ONR 1'!V11),"",'ONR 1'!V11)</f>
      </c>
      <c r="X9" s="204" t="str">
        <f>IF(ISBLANK('ONR 1'!W11),"",'ONR 1'!W11)</f>
      </c>
      <c r="Y9" s="236" t="str">
        <f t="shared" si="6">IF(ISBLANK('ONR 1'!I11),"",'ONR 1'!I11)</f>
      </c>
      <c r="Z9" s="236" t="str">
        <f t="shared" si="7">IF(ISBLANK('ONR 1'!D11),"",'ONR 1'!D11)</f>
      </c>
      <c r="AE9" s="206" t="n">
        <f t="shared" si="8">IF(ISNUMBER(T9),0,1)</f>
        <v>1</v>
      </c>
      <c r="AF9" s="206" t="n">
        <f t="shared" si="9">IF(L9=TRUE,1,0)</f>
        <v>0</v>
      </c>
      <c r="AG9" s="206" t="n">
        <f t="shared" si="9">IF(M9=TRUE,1,0)</f>
        <v>0</v>
      </c>
      <c r="AH9" s="206" t="n">
        <f t="shared" si="9">IF(N9=TRUE,1,0)</f>
        <v>0</v>
      </c>
      <c r="AI9" s="206" t="n">
        <f t="shared" si="9">IF(O9=TRUE,1,0)</f>
        <v>0</v>
      </c>
      <c r="AJ9" s="206" t="n">
        <f t="shared" si="9">IF(P9=TRUE,1,0)</f>
        <v>0</v>
      </c>
      <c r="AK9" s="206" t="n">
        <f t="shared" si="9">IF(Q9=TRUE,1,0)</f>
        <v>0</v>
      </c>
      <c r="AL9" s="206" t="n">
        <f t="shared" si="9">IF(R9=TRUE,1,0)</f>
        <v>0</v>
      </c>
      <c r="AM9" t="n">
        <f>IF(LEN(TRIM(W9))&gt;0,1,0)</f>
        <v>0</v>
      </c>
    </row>
    <row r="10" spans="1:38" s="205" customFormat="1" ht="38">
      <c r="A10" s="199"/>
      <c r="B10" s="219" t="str">
        <f>IF(ISBLANK('ONR 1'!B12),"",'ONR 1'!B12)</f>
        <v>1.6</v>
      </c>
      <c r="C10" s="219" t="str">
        <f>IF(ISBLANK('ONR 1'!C12),"",'ONR 1'!C12)</f>
        <v>Choisir des énergies renouvelables et encourager leur utilisation.</v>
      </c>
      <c r="D10" s="240" t="str">
        <f>IF(ISBLANK('ONR 1'!D12),"",'ONR 1'!D12)</f>
      </c>
      <c r="E10" s="270" t="str">
        <f>IF(ISBLANK('ONR 1'!E12),"",'ONR 1'!E12)</f>
      </c>
      <c r="F10" s="277" t="str">
        <f>IF(ISBLANK('ONR 1'!F12),"",'ONR 1'!F12)</f>
      </c>
      <c r="G10" s="211" t="str">
        <f>IF(ISBLANK('ONR 1'!G12),"",'ONR 1'!G12)</f>
      </c>
      <c r="H10" s="212" t="str">
        <f>IF(ISBLANK('ONR 1'!H12),"",'ONR 1'!H12)</f>
      </c>
      <c r="I10" s="225" t="str">
        <f>IF(ISBLANK('ONR 1'!I12),"",'ONR 1'!I12)</f>
      </c>
      <c r="J10" s="232" t="str">
        <f t="shared" ref="J10:J11" si="18">IF(ISBLANK('ONR 1'!J12),"",'ONR 1'!J12)</f>
      </c>
      <c r="K10" s="233" t="str">
        <f t="shared" ref="K10:K11" si="19">IF(ISBLANK('ONR 1'!K12),"",'ONR 1'!K12)</f>
      </c>
      <c r="L10" s="233" t="b">
        <f t="shared" ref="L10:L11" si="20">IF(ISBLANK('ONR 1'!L12),"",'ONR 1'!L12)</f>
        <v>0</v>
      </c>
      <c r="M10" s="233" t="b">
        <f t="shared" ref="M10:M11" si="21">IF(ISBLANK('ONR 1'!M12),"",'ONR 1'!M12)</f>
        <v>0</v>
      </c>
      <c r="N10" s="233" t="b">
        <f t="shared" ref="N10:N11" si="22">IF(ISBLANK('ONR 1'!N12),"",'ONR 1'!N12)</f>
        <v>0</v>
      </c>
      <c r="O10" s="233" t="b">
        <f t="shared" ref="O10:O11" si="23">IF(ISBLANK('ONR 1'!O12),"",'ONR 1'!O12)</f>
        <v>0</v>
      </c>
      <c r="P10" s="233" t="b">
        <f t="shared" ref="P10:P11" si="24">IF(ISBLANK('ONR 1'!P12),"",'ONR 1'!P12)</f>
        <v>0</v>
      </c>
      <c r="Q10" s="233" t="b">
        <f t="shared" ref="Q10:Q11" si="25">IF(ISBLANK('ONR 1'!Q12),"",'ONR 1'!Q12)</f>
        <v>0</v>
      </c>
      <c r="R10" s="233" t="b">
        <f t="shared" ref="R10:R11" si="26">IF(ISBLANK('ONR 1'!R12),"",'ONR 1'!R12)</f>
        <v>0</v>
      </c>
      <c r="S10" s="234" t="str">
        <f t="shared" ref="S10:S11" si="27">IF(ISBLANK('ONR 1'!S12),"",'ONR 1'!S12)</f>
      </c>
      <c r="T10" s="232" t="str">
        <f t="shared" ref="T10:T11" si="28">IF(ISBLANK('ONR 1'!T12),"",'ONR 1'!T12)</f>
      </c>
      <c r="U10" s="233" t="str">
        <f t="shared" ref="U10:U11" si="29">IF(ISBLANK('ONR 1'!U12),"",'ONR 1'!U12)</f>
      </c>
      <c r="V10" s="241" t="str">
        <f t="shared" si="5">IF(ISBLANK('ONR 1'!G12),"",'ONR 1'!G12)</f>
      </c>
      <c r="W10" s="241" t="str">
        <f>IF(ISBLANK('ONR 1'!V12),"",'ONR 1'!V12)</f>
      </c>
      <c r="X10" s="204" t="str">
        <f>IF(ISBLANK('ONR 1'!W12),"",'ONR 1'!W12)</f>
      </c>
      <c r="Y10" s="236" t="str">
        <f t="shared" si="6">IF(ISBLANK('ONR 1'!I12),"",'ONR 1'!I12)</f>
      </c>
      <c r="Z10" s="236" t="str">
        <f t="shared" si="7">IF(ISBLANK('ONR 1'!D12),"",'ONR 1'!D12)</f>
      </c>
      <c r="AE10" s="206" t="n">
        <f t="shared" si="8">IF(ISNUMBER(T10),0,1)</f>
        <v>1</v>
      </c>
      <c r="AF10" s="206" t="n">
        <f t="shared" si="9">IF(L10=TRUE,1,0)</f>
        <v>0</v>
      </c>
      <c r="AG10" s="206" t="n">
        <f t="shared" si="9">IF(M10=TRUE,1,0)</f>
        <v>0</v>
      </c>
      <c r="AH10" s="206" t="n">
        <f t="shared" si="9">IF(N10=TRUE,1,0)</f>
        <v>0</v>
      </c>
      <c r="AI10" s="206" t="n">
        <f t="shared" si="9">IF(O10=TRUE,1,0)</f>
        <v>0</v>
      </c>
      <c r="AJ10" s="206" t="n">
        <f t="shared" si="9">IF(P10=TRUE,1,0)</f>
        <v>0</v>
      </c>
      <c r="AK10" s="206" t="n">
        <f t="shared" si="9">IF(Q10=TRUE,1,0)</f>
        <v>0</v>
      </c>
      <c r="AL10" s="206" t="n">
        <f t="shared" si="9">IF(R10=TRUE,1,0)</f>
        <v>0</v>
      </c>
      <c r="AM10" t="n">
        <f>IF(LEN(TRIM(W10))&gt;0,1,0)</f>
        <v>0</v>
      </c>
    </row>
    <row r="11" spans="1:38" s="205" customFormat="1" ht="39" thickBot="1">
      <c r="A11" s="199"/>
      <c r="B11" s="219" t="str">
        <f>IF(ISBLANK('ONR 1'!B13),"",'ONR 1'!B13)</f>
        <v>1.7</v>
      </c>
      <c r="C11" s="219" t="str">
        <f>IF(ISBLANK('ONR 1'!C13),"",'ONR 1'!C13)</f>
        <v>Réserver l’intelligence artificielle aux besoins qui la justifient et privilégier des solutions sobres en ressources.</v>
      </c>
      <c r="D11" s="240" t="str">
        <f>IF(ISBLANK('ONR 1'!D13),"",'ONR 1'!D13)</f>
      </c>
      <c r="E11" s="270" t="str">
        <f>IF(ISBLANK('ONR 1'!E13),"",'ONR 1'!E13)</f>
      </c>
      <c r="F11" s="277" t="str">
        <f>IF(ISBLANK('ONR 1'!F13),"",'ONR 1'!F13)</f>
      </c>
      <c r="G11" s="211" t="str">
        <f>IF(ISBLANK('ONR 1'!G13),"",'ONR 1'!G13)</f>
      </c>
      <c r="H11" s="212" t="str">
        <f>IF(ISBLANK('ONR 1'!H13),"",'ONR 1'!H13)</f>
      </c>
      <c r="I11" s="225" t="str">
        <f>IF(ISBLANK('ONR 1'!I13),"",'ONR 1'!I13)</f>
      </c>
      <c r="J11" s="232" t="str">
        <f t="shared" si="18">IF(ISBLANK('ONR 1'!J13),"",'ONR 1'!J13)</f>
      </c>
      <c r="K11" s="233" t="str">
        <f t="shared" si="19">IF(ISBLANK('ONR 1'!K13),"",'ONR 1'!K13)</f>
      </c>
      <c r="L11" s="233" t="b">
        <f t="shared" si="20">IF(ISBLANK('ONR 1'!L13),"",'ONR 1'!L13)</f>
        <v>0</v>
      </c>
      <c r="M11" s="233" t="b">
        <f t="shared" si="21">IF(ISBLANK('ONR 1'!M13),"",'ONR 1'!M13)</f>
        <v>0</v>
      </c>
      <c r="N11" s="233" t="b">
        <f t="shared" si="22">IF(ISBLANK('ONR 1'!N13),"",'ONR 1'!N13)</f>
        <v>0</v>
      </c>
      <c r="O11" s="233" t="b">
        <f t="shared" si="23">IF(ISBLANK('ONR 1'!O13),"",'ONR 1'!O13)</f>
        <v>0</v>
      </c>
      <c r="P11" s="233" t="b">
        <f t="shared" si="24">IF(ISBLANK('ONR 1'!P13),"",'ONR 1'!P13)</f>
        <v>0</v>
      </c>
      <c r="Q11" s="233" t="b">
        <f t="shared" si="25">IF(ISBLANK('ONR 1'!Q13),"",'ONR 1'!Q13)</f>
        <v>0</v>
      </c>
      <c r="R11" s="233" t="b">
        <f t="shared" si="26">IF(ISBLANK('ONR 1'!R13),"",'ONR 1'!R13)</f>
        <v>0</v>
      </c>
      <c r="S11" s="234" t="str">
        <f t="shared" si="27">IF(ISBLANK('ONR 1'!S13),"",'ONR 1'!S13)</f>
      </c>
      <c r="T11" s="232" t="str">
        <f t="shared" si="28">IF(ISBLANK('ONR 1'!T13),"",'ONR 1'!T13)</f>
      </c>
      <c r="U11" s="233" t="str">
        <f t="shared" si="29">IF(ISBLANK('ONR 1'!U13),"",'ONR 1'!U13)</f>
      </c>
      <c r="V11" s="241" t="str">
        <f t="shared" si="5">IF(ISBLANK('ONR 1'!G13),"",'ONR 1'!G13)</f>
      </c>
      <c r="W11" s="241" t="str">
        <f>IF(ISBLANK('ONR 1'!V13),"",'ONR 1'!V13)</f>
      </c>
      <c r="X11" s="204" t="str">
        <f>IF(ISBLANK('ONR 1'!W13),"",'ONR 1'!W13)</f>
      </c>
      <c r="Y11" s="236" t="str">
        <f t="shared" si="6">IF(ISBLANK('ONR 1'!I13),"",'ONR 1'!I13)</f>
      </c>
      <c r="Z11" s="236" t="str">
        <f t="shared" si="7">IF(ISBLANK('ONR 1'!D13),"",'ONR 1'!D13)</f>
      </c>
      <c r="AE11" s="206" t="n">
        <f t="shared" si="8">IF(ISNUMBER(T11),0,1)</f>
        <v>1</v>
      </c>
      <c r="AF11" s="206" t="n">
        <f t="shared" si="9">IF(L11=TRUE,1,0)</f>
        <v>0</v>
      </c>
      <c r="AG11" s="206" t="n">
        <f t="shared" si="9">IF(M11=TRUE,1,0)</f>
        <v>0</v>
      </c>
      <c r="AH11" s="206" t="n">
        <f t="shared" si="9">IF(N11=TRUE,1,0)</f>
        <v>0</v>
      </c>
      <c r="AI11" s="206" t="n">
        <f t="shared" si="9">IF(O11=TRUE,1,0)</f>
        <v>0</v>
      </c>
      <c r="AJ11" s="206" t="n">
        <f t="shared" si="9">IF(P11=TRUE,1,0)</f>
        <v>0</v>
      </c>
      <c r="AK11" s="206" t="n">
        <f t="shared" si="9">IF(Q11=TRUE,1,0)</f>
        <v>0</v>
      </c>
      <c r="AL11" s="206" t="n">
        <f t="shared" si="9">IF(R11=TRUE,1,0)</f>
        <v>0</v>
      </c>
      <c r="AM11" t="n">
        <f>IF(LEN(TRIM(W11))&gt;0,1,0)</f>
        <v>0</v>
      </c>
    </row>
    <row r="12" spans="1:38" s="205" customFormat="1" ht="39" thickBot="1">
      <c r="A12" s="199"/>
      <c r="B12" s="219" t="str">
        <f>IF(ISBLANK('ONR 1'!B14),"",'ONR 1'!B14)</f>
        <v>1.8</v>
      </c>
      <c r="C12" s="219" t="str">
        <f>IF(ISBLANK('ONR 1'!C14),"",'ONR 1'!C14)</f>
        <v>Mesurer et réduire ce que consomme l’intelligence artificielle, pendant son entraînement comme pendant son utilisation.</v>
      </c>
      <c r="D12" s="240" t="str">
        <f>IF(ISBLANK('ONR 1'!D14),"",'ONR 1'!D14)</f>
      </c>
      <c r="E12" s="270" t="str">
        <f>IF(ISBLANK('ONR 1'!E14),"",'ONR 1'!E14)</f>
      </c>
      <c r="F12" s="277" t="str">
        <f>IF(ISBLANK('ONR 1'!F14),"",'ONR 1'!F14)</f>
      </c>
      <c r="G12" s="211" t="str">
        <f>IF(ISBLANK('ONR 1'!G14),"",'ONR 1'!G14)</f>
      </c>
      <c r="H12" s="212" t="str">
        <f>IF(ISBLANK('ONR 1'!H14),"",'ONR 1'!H14)</f>
      </c>
      <c r="I12" s="225" t="str">
        <f>IF(ISBLANK('ONR 1'!I14),"",'ONR 1'!I14)</f>
      </c>
      <c r="J12" s="232" t="n">
        <f>IF(ISBLANK('ONR 1'!J14),"",'ONR 1'!J14)</f>
        <v>0</v>
      </c>
      <c r="K12" s="233" t="str">
        <f>IF(ISBLANK('ONR 1'!K14),"",'ONR 1'!K14)</f>
      </c>
      <c r="L12" s="233" t="b">
        <f>IF(ISBLANK('ONR 1'!L14),"",'ONR 1'!L14)</f>
        <v>0</v>
      </c>
      <c r="M12" s="233" t="b">
        <f>IF(ISBLANK('ONR 1'!M14),"",'ONR 1'!M14)</f>
        <v>0</v>
      </c>
      <c r="N12" s="233" t="b">
        <f>IF(ISBLANK('ONR 1'!N14),"",'ONR 1'!N14)</f>
        <v>0</v>
      </c>
      <c r="O12" s="233" t="b">
        <f>IF(ISBLANK('ONR 1'!O14),"",'ONR 1'!O14)</f>
        <v>0</v>
      </c>
      <c r="P12" s="233" t="b">
        <f>IF(ISBLANK('ONR 1'!P14),"",'ONR 1'!P14)</f>
        <v>0</v>
      </c>
      <c r="Q12" s="233" t="b">
        <f>IF(ISBLANK('ONR 1'!Q14),"",'ONR 1'!Q14)</f>
        <v>0</v>
      </c>
      <c r="R12" s="233" t="b">
        <f>IF(ISBLANK('ONR 1'!R14),"",'ONR 1'!R14)</f>
        <v>0</v>
      </c>
      <c r="S12" s="234" t="str">
        <f>IF(ISBLANK('ONR 1'!S14),"",'ONR 1'!S14)</f>
      </c>
      <c r="T12" s="232" t="str">
        <f>IF(ISBLANK('ONR 1'!T14),"",'ONR 1'!T14)</f>
      </c>
      <c r="U12" s="233" t="str">
        <f>IF(ISBLANK('ONR 1'!U14),"",'ONR 1'!U14)</f>
      </c>
      <c r="V12" s="241" t="str">
        <f>IF(ISBLANK('ONR 1'!G14),"",'ONR 1'!G14)</f>
      </c>
      <c r="W12" s="241" t="str">
        <f>IF(ISBLANK('ONR 1'!V14),"",'ONR 1'!V14)</f>
      </c>
      <c r="X12" s="204" t="str">
        <f>IF(ISBLANK('ONR 1'!W14),"",'ONR 1'!W14)</f>
      </c>
      <c r="Y12" s="236" t="str">
        <f>IF(ISBLANK('ONR 1'!I14),"",'ONR 1'!I14)</f>
      </c>
      <c r="Z12" s="236" t="str">
        <f>IF(ISBLANK('ONR 1'!D14),"",'ONR 1'!D14)</f>
      </c>
      <c r="AE12" s="206" t="n">
        <f>IF(ISNUMBER(T12),0,1)</f>
        <v>1</v>
      </c>
      <c r="AF12" s="206" t="n">
        <f>IF(L12=TRUE,1,0)</f>
        <v>0</v>
      </c>
      <c r="AG12" s="206" t="n">
        <f>IF(M12=TRUE,1,0)</f>
        <v>0</v>
      </c>
      <c r="AH12" s="206" t="n">
        <f>IF(N12=TRUE,1,0)</f>
        <v>0</v>
      </c>
      <c r="AI12" s="206" t="n">
        <f>IF(O12=TRUE,1,0)</f>
        <v>0</v>
      </c>
      <c r="AJ12" s="206" t="n">
        <f>IF(P12=TRUE,1,0)</f>
        <v>0</v>
      </c>
      <c r="AK12" s="206" t="n">
        <f>IF(Q12=TRUE,1,0)</f>
        <v>0</v>
      </c>
      <c r="AL12" s="206" t="n">
        <f>IF(R12=TRUE,1,0)</f>
        <v>0</v>
      </c>
      <c r="AM12" t="n">
        <f>IF(LEN(TRIM(W12))&gt;0,1,0)</f>
        <v>0</v>
      </c>
    </row>
    <row r="13" spans="1:38" s="116" customFormat="1" ht="23" thickBot="1">
      <c r="A13" s="115"/>
      <c r="B13" s="362" t="str">
        <f>'ONR 2'!B2</f>
        <v>ONR 2 : Inclusion · Développer des services numériques durables que toutes et tous peuvent utiliser</v>
      </c>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80"/>
      <c r="AB13" s="116" t="str">
        <f>B13</f>
        <v>ONR 2 : Inclusion · Développer des services numériques durables que toutes et tous peuvent utiliser</v>
      </c>
      <c r="AC13" s="116" t="n">
        <f>COUNTA('ONR 2'!B7:B11)</f>
        <v>5</v>
      </c>
      <c r="AD13" s="116" t="n">
        <f>COUNT(T14:T18)</f>
        <v>0</v>
      </c>
      <c r="AE13" s="117" t="n">
        <f>SUM(AE14:AE18)</f>
        <v>5</v>
      </c>
      <c r="AF13" s="117" t="n">
        <f>SUM(AF14:AF18)</f>
        <v>0</v>
      </c>
      <c r="AG13" s="117" t="n">
        <f>SUM(AG14:AG18)</f>
        <v>0</v>
      </c>
      <c r="AH13" s="117" t="n">
        <f>SUM(AH14:AH18)</f>
        <v>0</v>
      </c>
      <c r="AI13" s="117" t="n">
        <f>SUM(AI14:AI18)</f>
        <v>0</v>
      </c>
      <c r="AJ13" s="117" t="n">
        <f>SUM(AJ14:AJ18)</f>
        <v>0</v>
      </c>
      <c r="AK13" s="117" t="n">
        <f>SUM(AK14:AK18)</f>
        <v>0</v>
      </c>
      <c r="AL13" s="117" t="n">
        <f>SUM(AL14:AL18)</f>
        <v>0</v>
      </c>
    </row>
    <row r="14" spans="1:38" s="205" customFormat="1" ht="38">
      <c r="A14" s="199"/>
      <c r="B14" s="218" t="str">
        <f>IF(ISBLANK('ONR 2'!B7),"",'ONR 2'!B7)</f>
        <v>2.1</v>
      </c>
      <c r="C14" s="221" t="str">
        <f>IF(ISBLANK('ONR 2'!C7),"",'ONR 2'!C7)</f>
        <v>Intégrer dans tous les achats des exigences qui tiennent compte de leurs effets sur la société et l’environnement.</v>
      </c>
      <c r="D14" s="223" t="str">
        <f>IF(ISBLANK('ONR 2'!D7),"",'ONR 2'!D7)</f>
      </c>
      <c r="E14" s="267" t="str">
        <f>IF(ISBLANK('ONR 2'!E7),"",'ONR 2'!E7)</f>
      </c>
      <c r="F14" s="274" t="str">
        <f>IF(ISBLANK('ONR 2'!F7),"",'ONR 2'!F7)</f>
      </c>
      <c r="G14" s="200" t="str">
        <f>IF(ISBLANK('ONR 2'!G7),"",'ONR 2'!G7)</f>
      </c>
      <c r="H14" s="202" t="str">
        <f>IF(ISBLANK('ONR 2'!H7),"",'ONR 2'!H7)</f>
      </c>
      <c r="I14" s="225" t="str">
        <f>IF(ISBLANK('ONR 2'!I7),"",'ONR 2'!I7)</f>
      </c>
      <c r="J14" s="218" t="str">
        <f>IF(ISBLANK('ONR 2'!J7),"",'ONR 2'!J7)</f>
      </c>
      <c r="K14" s="227" t="str">
        <f t="shared" ref="K14" si="31">IF(ISBLANK('ONR 2'!K7),"",'ONR 2'!K7)</f>
      </c>
      <c r="L14" s="227" t="b">
        <f>IF(ISBLANK('ONR 2'!L7),"",'ONR 2'!L7)</f>
        <v>0</v>
      </c>
      <c r="M14" s="227" t="b">
        <f>IF(ISBLANK('ONR 2'!M7),"",'ONR 2'!M7)</f>
        <v>0</v>
      </c>
      <c r="N14" s="227" t="b">
        <f>IF(ISBLANK('ONR 2'!N7),"",'ONR 2'!N7)</f>
        <v>0</v>
      </c>
      <c r="O14" s="227" t="b">
        <f>IF(ISBLANK('ONR 2'!O7),"",'ONR 2'!O7)</f>
        <v>0</v>
      </c>
      <c r="P14" s="227" t="b">
        <f>IF(ISBLANK('ONR 2'!P7),"",'ONR 2'!P7)</f>
        <v>0</v>
      </c>
      <c r="Q14" s="227" t="b">
        <f>IF(ISBLANK('ONR 2'!Q7),"",'ONR 2'!Q7)</f>
        <v>0</v>
      </c>
      <c r="R14" s="227" t="b">
        <f>IF(ISBLANK('ONR 2'!R7),"",'ONR 2'!R7)</f>
        <v>0</v>
      </c>
      <c r="S14" s="228" t="str">
        <f t="shared" ref="S14" si="32">IF(ISBLANK('ONR 2'!S7),"",'ONR 2'!S7)</f>
      </c>
      <c r="T14" s="226" t="str">
        <f t="shared" ref="T14" si="33">IF(ISBLANK('ONR 2'!T7),"",'ONR 2'!T7)</f>
      </c>
      <c r="U14" s="242" t="str">
        <f t="shared" ref="U14" si="34">IF(ISBLANK('ONR 2'!U7),"",'ONR 2'!U7)</f>
      </c>
      <c r="V14" s="229" t="str">
        <f>IF(ISBLANK('ONR 2'!G7),"",'ONR 2'!G7)</f>
      </c>
      <c r="W14" s="229" t="str">
        <f>IF(ISBLANK('ONR 2'!V7),"",'ONR 2'!V7)</f>
      </c>
      <c r="X14" s="204" t="str">
        <f>IF(ISBLANK('ONR 2'!W7),"",'ONR 2'!W7)</f>
      </c>
      <c r="Y14" s="230" t="str">
        <f>IF(ISBLANK('ONR 2'!I7),"",'ONR 2'!I7)</f>
      </c>
      <c r="Z14" s="230" t="str">
        <f>IF(ISBLANK('ONR 2'!D7),"",'ONR 2'!D7)</f>
      </c>
      <c r="AE14" s="206" t="n">
        <f>IF(ISNUMBER(T14),0,1)</f>
        <v>1</v>
      </c>
      <c r="AF14" s="206" t="n">
        <f t="shared" ref="AF14:AL17" si="35">IF(L14=TRUE,1,0)</f>
        <v>0</v>
      </c>
      <c r="AG14" s="206" t="n">
        <f t="shared" si="35">IF(M14=TRUE,1,0)</f>
        <v>0</v>
      </c>
      <c r="AH14" s="206" t="n">
        <f t="shared" si="35">IF(N14=TRUE,1,0)</f>
        <v>0</v>
      </c>
      <c r="AI14" s="206" t="n">
        <f t="shared" si="35">IF(O14=TRUE,1,0)</f>
        <v>0</v>
      </c>
      <c r="AJ14" s="206" t="n">
        <f t="shared" si="35">IF(P14=TRUE,1,0)</f>
        <v>0</v>
      </c>
      <c r="AK14" s="206" t="n">
        <f t="shared" si="35">IF(Q14=TRUE,1,0)</f>
        <v>0</v>
      </c>
      <c r="AL14" s="206" t="n">
        <f t="shared" si="35">IF(R14=TRUE,1,0)</f>
        <v>0</v>
      </c>
      <c r="AM14" t="n">
        <f>IF(LEN(TRIM(W14))&gt;0,1,0)</f>
        <v>0</v>
      </c>
    </row>
    <row r="15" spans="1:38" s="205" customFormat="1" ht="57">
      <c r="A15" s="199"/>
      <c r="B15" s="218" t="str">
        <f>IF(ISBLANK('ONR 2'!B8),"",'ONR 2'!B8)</f>
        <v>2.2</v>
      </c>
      <c r="C15" s="221" t="str">
        <f>IF(ISBLANK('ONR 2'!C8),"",'ONR 2'!C8)</f>
        <v>Rendre les services numériques accessibles à toutes et tous. Mesurer leur respect du RGAA, le référentiel français sur l’accessibilité numérique.</v>
      </c>
      <c r="D15" s="223" t="str">
        <f>IF(ISBLANK('ONR 2'!D8),"",'ONR 2'!D8)</f>
      </c>
      <c r="E15" s="267" t="str">
        <f>IF(ISBLANK('ONR 2'!E8),"",'ONR 2'!E8)</f>
      </c>
      <c r="F15" s="274" t="str">
        <f>IF(ISBLANK('ONR 2'!F8),"",'ONR 2'!F8)</f>
      </c>
      <c r="G15" s="200" t="str">
        <f>IF(ISBLANK('ONR 2'!G8),"",'ONR 2'!G8)</f>
      </c>
      <c r="H15" s="202" t="str">
        <f>IF(ISBLANK('ONR 2'!H8),"",'ONR 2'!H8)</f>
      </c>
      <c r="I15" s="225" t="str">
        <f>IF(ISBLANK('ONR 2'!I8),"",'ONR 2'!I8)</f>
      </c>
      <c r="J15" s="218" t="str">
        <f t="shared" ref="J15:J17" si="36">IF(ISBLANK('ONR 2'!J8),"",'ONR 2'!J8)</f>
      </c>
      <c r="K15" s="227" t="str">
        <f t="shared" ref="K15:K17" si="37">IF(ISBLANK('ONR 2'!K8),"",'ONR 2'!K8)</f>
      </c>
      <c r="L15" s="227" t="b">
        <f t="shared" ref="L15:L17" si="38">IF(ISBLANK('ONR 2'!L8),"",'ONR 2'!L8)</f>
        <v>0</v>
      </c>
      <c r="M15" s="227" t="b">
        <f t="shared" ref="M15:M17" si="39">IF(ISBLANK('ONR 2'!M8),"",'ONR 2'!M8)</f>
        <v>0</v>
      </c>
      <c r="N15" s="227" t="b">
        <f t="shared" ref="N15:N17" si="40">IF(ISBLANK('ONR 2'!N8),"",'ONR 2'!N8)</f>
        <v>0</v>
      </c>
      <c r="O15" s="227" t="b">
        <f t="shared" ref="O15:O17" si="41">IF(ISBLANK('ONR 2'!O8),"",'ONR 2'!O8)</f>
        <v>0</v>
      </c>
      <c r="P15" s="227" t="b">
        <f t="shared" ref="P15:P17" si="42">IF(ISBLANK('ONR 2'!P8),"",'ONR 2'!P8)</f>
        <v>0</v>
      </c>
      <c r="Q15" s="227" t="b">
        <f t="shared" ref="Q15:Q17" si="43">IF(ISBLANK('ONR 2'!Q8),"",'ONR 2'!Q8)</f>
        <v>0</v>
      </c>
      <c r="R15" s="227" t="b">
        <f t="shared" ref="R15:R17" si="44">IF(ISBLANK('ONR 2'!R8),"",'ONR 2'!R8)</f>
        <v>0</v>
      </c>
      <c r="S15" s="228" t="str">
        <f t="shared" ref="S15:S17" si="45">IF(ISBLANK('ONR 2'!S8),"",'ONR 2'!S8)</f>
      </c>
      <c r="T15" s="226" t="str">
        <f t="shared" ref="T15:T17" si="46">IF(ISBLANK('ONR 2'!T8),"",'ONR 2'!T8)</f>
      </c>
      <c r="U15" s="242" t="str">
        <f t="shared" ref="U15:U17" si="47">IF(ISBLANK('ONR 2'!U8),"",'ONR 2'!U8)</f>
      </c>
      <c r="V15" s="229" t="str">
        <f>IF(ISBLANK('ONR 2'!G8),"",'ONR 2'!G8)</f>
      </c>
      <c r="W15" s="229" t="str">
        <f>IF(ISBLANK('ONR 2'!V8),"",'ONR 2'!V8)</f>
      </c>
      <c r="X15" s="204" t="str">
        <f>IF(ISBLANK('ONR 2'!W8),"",'ONR 2'!W8)</f>
      </c>
      <c r="Y15" s="230" t="str">
        <f>IF(ISBLANK('ONR 2'!I8),"",'ONR 2'!I8)</f>
      </c>
      <c r="Z15" s="230" t="str">
        <f>IF(ISBLANK('ONR 2'!D8),"",'ONR 2'!D8)</f>
      </c>
      <c r="AE15" s="206" t="n">
        <f>IF(ISNUMBER(T15),0,1)</f>
        <v>1</v>
      </c>
      <c r="AF15" s="206" t="n">
        <f t="shared" si="35">IF(L15=TRUE,1,0)</f>
        <v>0</v>
      </c>
      <c r="AG15" s="206" t="n">
        <f t="shared" si="35">IF(M15=TRUE,1,0)</f>
        <v>0</v>
      </c>
      <c r="AH15" s="206" t="n">
        <f t="shared" si="35">IF(N15=TRUE,1,0)</f>
        <v>0</v>
      </c>
      <c r="AI15" s="206" t="n">
        <f t="shared" si="35">IF(O15=TRUE,1,0)</f>
        <v>0</v>
      </c>
      <c r="AJ15" s="206" t="n">
        <f t="shared" si="35">IF(P15=TRUE,1,0)</f>
        <v>0</v>
      </c>
      <c r="AK15" s="206" t="n">
        <f t="shared" si="35">IF(Q15=TRUE,1,0)</f>
        <v>0</v>
      </c>
      <c r="AL15" s="206" t="n">
        <f t="shared" si="35">IF(R15=TRUE,1,0)</f>
        <v>0</v>
      </c>
      <c r="AM15" t="n">
        <f>IF(LEN(TRIM(W15))&gt;0,1,0)</f>
        <v>0</v>
      </c>
    </row>
    <row r="16" spans="1:38" s="205" customFormat="1" ht="57">
      <c r="A16" s="199"/>
      <c r="B16" s="218" t="str">
        <f>IF(ISBLANK('ONR 2'!B9),"",'ONR 2'!B9)</f>
        <v>2.3</v>
      </c>
      <c r="C16" s="221" t="str">
        <f>IF(ISBLANK('ONR 2'!C9),"",'ONR 2'!C9)</f>
        <v>Créer des applications utiles, faciles à utiliser et réellement utilisées : les « 3 U ». Les rendre accessibles pour permettre à chacun d’utiliser le numérique.</v>
      </c>
      <c r="D16" s="223" t="str">
        <f>IF(ISBLANK('ONR 2'!D9),"",'ONR 2'!D9)</f>
      </c>
      <c r="E16" s="267" t="str">
        <f>IF(ISBLANK('ONR 2'!E9),"",'ONR 2'!E9)</f>
      </c>
      <c r="F16" s="274" t="str">
        <f>IF(ISBLANK('ONR 2'!F9),"",'ONR 2'!F9)</f>
      </c>
      <c r="G16" s="200" t="str">
        <f>IF(ISBLANK('ONR 2'!G9),"",'ONR 2'!G9)</f>
      </c>
      <c r="H16" s="202" t="str">
        <f>IF(ISBLANK('ONR 2'!H9),"",'ONR 2'!H9)</f>
      </c>
      <c r="I16" s="225" t="str">
        <f>IF(ISBLANK('ONR 2'!I9),"",'ONR 2'!I9)</f>
      </c>
      <c r="J16" s="218" t="str">
        <f t="shared" si="36">IF(ISBLANK('ONR 2'!J9),"",'ONR 2'!J9)</f>
      </c>
      <c r="K17" s="227" t="str">
        <f t="shared" si="37">IF(ISBLANK('ONR 2'!K10),"",'ONR 2'!K10)</f>
      </c>
      <c r="K16" t="str" s="227">
        <f>IF(ISBLANK('ONR 2'!K9),"",'ONR 2'!K9)</f>
      </c>
      <c r="L17" s="227" t="b">
        <f t="shared" si="38">IF(ISBLANK('ONR 2'!L10),"",'ONR 2'!L10)</f>
        <v>0</v>
      </c>
      <c r="L16" t="b" s="227">
        <f>IF(ISBLANK('ONR 2'!L9),"",'ONR 2'!L9)</f>
        <v>0</v>
      </c>
      <c r="M17" s="227" t="b">
        <f t="shared" si="39">IF(ISBLANK('ONR 2'!M10),"",'ONR 2'!M10)</f>
        <v>0</v>
      </c>
      <c r="M16" t="b" s="227">
        <f>IF(ISBLANK('ONR 2'!M9),"",'ONR 2'!M9)</f>
        <v>0</v>
      </c>
      <c r="N17" s="227" t="b">
        <f t="shared" si="40">IF(ISBLANK('ONR 2'!N10),"",'ONR 2'!N10)</f>
        <v>0</v>
      </c>
      <c r="N16" t="b" s="227">
        <f>IF(ISBLANK('ONR 2'!N9),"",'ONR 2'!N9)</f>
        <v>0</v>
      </c>
      <c r="O17" s="227" t="b">
        <f t="shared" si="41">IF(ISBLANK('ONR 2'!O10),"",'ONR 2'!O10)</f>
        <v>0</v>
      </c>
      <c r="O16" t="b" s="227">
        <f>IF(ISBLANK('ONR 2'!O9),"",'ONR 2'!O9)</f>
        <v>0</v>
      </c>
      <c r="P17" s="227" t="b">
        <f t="shared" si="42">IF(ISBLANK('ONR 2'!P10),"",'ONR 2'!P10)</f>
        <v>0</v>
      </c>
      <c r="P16" t="b" s="227">
        <f>IF(ISBLANK('ONR 2'!P9),"",'ONR 2'!P9)</f>
        <v>0</v>
      </c>
      <c r="Q17" s="227" t="b">
        <f t="shared" si="43">IF(ISBLANK('ONR 2'!Q10),"",'ONR 2'!Q10)</f>
        <v>0</v>
      </c>
      <c r="Q16" t="b" s="227">
        <f>IF(ISBLANK('ONR 2'!Q9),"",'ONR 2'!Q9)</f>
        <v>0</v>
      </c>
      <c r="R17" s="227" t="b">
        <f t="shared" si="44">IF(ISBLANK('ONR 2'!R10),"",'ONR 2'!R10)</f>
        <v>0</v>
      </c>
      <c r="R16" t="b" s="227">
        <f>IF(ISBLANK('ONR 2'!R9),"",'ONR 2'!R9)</f>
        <v>0</v>
      </c>
      <c r="S17" s="228" t="str">
        <f t="shared" si="45">IF(ISBLANK('ONR 2'!S10),"",'ONR 2'!S10)</f>
      </c>
      <c r="S16" t="str" s="228">
        <f>IF(ISBLANK('ONR 2'!S9),"",'ONR 2'!S9)</f>
      </c>
      <c r="T17" s="226" t="str">
        <f t="shared" si="46">IF(ISBLANK('ONR 2'!T10),"",'ONR 2'!T10)</f>
      </c>
      <c r="T16" t="str" s="226">
        <f>IF(ISBLANK('ONR 2'!T9),"",'ONR 2'!T9)</f>
      </c>
      <c r="U17" s="242" t="str">
        <f t="shared" si="47">IF(ISBLANK('ONR 2'!U10),"",'ONR 2'!U10)</f>
      </c>
      <c r="U16" t="str" s="242">
        <f>IF(ISBLANK('ONR 2'!U9),"",'ONR 2'!U9)</f>
      </c>
      <c r="V17" s="229" t="str">
        <f>IF(ISBLANK('ONR 2'!G10),"",'ONR 2'!G10)</f>
      </c>
      <c r="V16" t="str" s="229">
        <f>IF(ISBLANK('ONR 2'!G9),"",'ONR 2'!G9)</f>
      </c>
      <c r="W16" s="229" t="str">
        <f>IF(ISBLANK('ONR 2'!V9),"",'ONR 2'!V9)</f>
      </c>
      <c r="X16" s="204" t="str">
        <f>IF(ISBLANK('ONR 2'!W9),"",'ONR 2'!W9)</f>
      </c>
      <c r="Y16" s="230" t="str">
        <f>IF(ISBLANK('ONR 2'!I9),"",'ONR 2'!I9)</f>
      </c>
      <c r="Z16" s="230" t="str">
        <f>IF(ISBLANK('ONR 2'!D9),"",'ONR 2'!D9)</f>
      </c>
      <c r="AE16" s="206" t="n">
        <f>IF(ISNUMBER(T16),0,1)</f>
        <v>1</v>
      </c>
      <c r="AF16" s="206" t="n">
        <f t="shared" si="35">IF(L16=TRUE,1,0)</f>
        <v>0</v>
      </c>
      <c r="AG16" s="206" t="n">
        <f t="shared" si="35">IF(M16=TRUE,1,0)</f>
        <v>0</v>
      </c>
      <c r="AH16" s="206" t="n">
        <f t="shared" si="35">IF(N16=TRUE,1,0)</f>
        <v>0</v>
      </c>
      <c r="AI16" s="206" t="n">
        <f t="shared" si="35">IF(O16=TRUE,1,0)</f>
        <v>0</v>
      </c>
      <c r="AJ16" s="206" t="n">
        <f t="shared" si="35">IF(P16=TRUE,1,0)</f>
        <v>0</v>
      </c>
      <c r="AK16" s="206" t="n">
        <f t="shared" si="35">IF(Q16=TRUE,1,0)</f>
        <v>0</v>
      </c>
      <c r="AL16" s="206" t="n">
        <f t="shared" si="35">IF(R16=TRUE,1,0)</f>
        <v>0</v>
      </c>
      <c r="AM16" t="n">
        <f>IF(LEN(TRIM(W16))&gt;0,1,0)</f>
        <v>0</v>
      </c>
    </row>
    <row r="17" spans="1:38" s="205" customFormat="1" ht="57">
      <c r="A17" s="199"/>
      <c r="B17" s="218" t="str">
        <f>IF(ISBLANK('ONR 2'!B10),"",'ONR 2'!B10)</f>
        <v>2.4</v>
      </c>
      <c r="C17" s="221" t="str">
        <f>IF(ISBLANK('ONR 2'!C10),"",'ONR 2'!C10)</f>
        <v>Concevoir les services avec leurs utilisateurs et utilisatrices, en se concentrant sur leurs besoins réels.</v>
      </c>
      <c r="D17" s="223" t="str">
        <f>IF(ISBLANK('ONR 2'!D10),"",'ONR 2'!D10)</f>
      </c>
      <c r="E17" s="267" t="str">
        <f>IF(ISBLANK('ONR 2'!E10),"",'ONR 2'!E10)</f>
      </c>
      <c r="F17" s="274" t="str">
        <f>IF(ISBLANK('ONR 2'!F10),"",'ONR 2'!F10)</f>
      </c>
      <c r="G17" s="200" t="str">
        <f>IF(ISBLANK('ONR 2'!G10),"",'ONR 2'!G10)</f>
      </c>
      <c r="H17" s="202" t="str">
        <f>IF(ISBLANK('ONR 2'!H10),"",'ONR 2'!H10)</f>
      </c>
      <c r="I17" s="225" t="str">
        <f>IF(ISBLANK('ONR 2'!I10),"",'ONR 2'!I10)</f>
      </c>
      <c r="J17" s="218" t="str">
        <f t="shared" si="36">IF(ISBLANK('ONR 2'!J10),"",'ONR 2'!J10)</f>
      </c>
      <c r="K19" s="227">
        <f t="shared" si="37"/>
      </c>
      <c r="L19" s="227">
        <f t="shared" si="38"/>
      </c>
      <c r="M19" s="227">
        <f t="shared" si="39"/>
      </c>
      <c r="N19" s="227">
        <f t="shared" si="40"/>
      </c>
      <c r="O19" s="227">
        <f t="shared" si="41"/>
      </c>
      <c r="P19" s="227">
        <f t="shared" si="42"/>
      </c>
      <c r="Q19" s="227">
        <f t="shared" si="43"/>
      </c>
      <c r="R19" s="227">
        <f t="shared" si="44"/>
      </c>
      <c r="S19" s="228">
        <f t="shared" si="45"/>
      </c>
      <c r="T19" s="226">
        <f t="shared" si="46"/>
      </c>
      <c r="U19" s="242">
        <f t="shared" si="47"/>
      </c>
      <c r="V19" s="229">
        <f>G17</f>
      </c>
      <c r="W17" s="229" t="str">
        <f>IF(ISBLANK('ONR 2'!V10),"",'ONR 2'!V10)</f>
      </c>
      <c r="X17" s="204" t="str">
        <f>IF(ISBLANK('ONR 2'!W10),"",'ONR 2'!W10)</f>
      </c>
      <c r="Y17" s="230" t="str">
        <f>IF(ISBLANK('ONR 2'!I10),"",'ONR 2'!I10)</f>
      </c>
      <c r="Z17" s="230" t="str">
        <f>IF(ISBLANK('ONR 2'!D10),"",'ONR 2'!D10)</f>
      </c>
      <c r="AE17" s="206" t="n">
        <f>IF(ISNUMBER(T17),0,1)</f>
        <v>1</v>
      </c>
      <c r="AF17" s="206" t="n">
        <f t="shared" si="35">IF(L17=TRUE,1,0)</f>
        <v>0</v>
      </c>
      <c r="AG17" s="206" t="n">
        <f t="shared" si="35">IF(M17=TRUE,1,0)</f>
        <v>0</v>
      </c>
      <c r="AH17" s="206" t="n">
        <f t="shared" si="35">IF(N17=TRUE,1,0)</f>
        <v>0</v>
      </c>
      <c r="AI17" s="206" t="n">
        <f t="shared" si="35">IF(O17=TRUE,1,0)</f>
        <v>0</v>
      </c>
      <c r="AJ17" s="206" t="n">
        <f t="shared" si="35">IF(P17=TRUE,1,0)</f>
        <v>0</v>
      </c>
      <c r="AK17" s="206" t="n">
        <f t="shared" si="35">IF(Q17=TRUE,1,0)</f>
        <v>0</v>
      </c>
      <c r="AL17" s="206" t="n">
        <f t="shared" si="35">IF(R17=TRUE,1,0)</f>
        <v>0</v>
      </c>
      <c r="AM17" t="n">
        <f>IF(LEN(TRIM(W17))&gt;0,1,0)</f>
        <v>0</v>
      </c>
    </row>
    <row r="18" spans="1:38" s="205" customFormat="1" ht="57">
      <c r="A18" s="199"/>
      <c r="B18" s="218" t="str">
        <f>IF(ISBLANK('ONR 2'!B11),"",'ONR 2'!B11)</f>
        <v>2.5</v>
      </c>
      <c r="C18" s="221" t="str">
        <f>IF(ISBLANK('ONR 2'!C11),"",'ONR 2'!C11)</f>
        <v>Vérifier que l’intelligence artificielle ne discrimine personne et que ses services peuvent être utilisés par toutes et tous.</v>
      </c>
      <c r="D18" s="223" t="str">
        <f>IF(ISBLANK('ONR 2'!D11),"",'ONR 2'!D11)</f>
      </c>
      <c r="E18" s="267" t="str">
        <f>IF(ISBLANK('ONR 2'!E11),"",'ONR 2'!E11)</f>
      </c>
      <c r="F18" s="274" t="str">
        <f>IF(ISBLANK('ONR 2'!F11),"",'ONR 2'!F11)</f>
      </c>
      <c r="G18" s="200" t="str">
        <f>IF(ISBLANK('ONR 2'!G11),"",'ONR 2'!G11)</f>
      </c>
      <c r="H18" s="202" t="str">
        <f>IF(ISBLANK('ONR 2'!H11),"",'ONR 2'!H11)</f>
      </c>
      <c r="I18" s="225" t="str">
        <f>IF(ISBLANK('ONR 2'!I11),"",'ONR 2'!I11)</f>
      </c>
      <c r="J18" s="218" t="n">
        <f>IF(ISBLANK('ONR 2'!J11),"",'ONR 2'!J11)</f>
        <v>0</v>
      </c>
      <c r="K18" s="227" t="str">
        <f>IF(ISBLANK('ONR 2'!K11),"",'ONR 2'!K11)</f>
      </c>
      <c r="L18" s="227" t="b">
        <f>IF(ISBLANK('ONR 2'!L11),"",'ONR 2'!L11)</f>
        <v>0</v>
      </c>
      <c r="M18" s="227" t="b">
        <f>IF(ISBLANK('ONR 2'!M11),"",'ONR 2'!M11)</f>
        <v>0</v>
      </c>
      <c r="N18" s="227" t="b">
        <f>IF(ISBLANK('ONR 2'!N11),"",'ONR 2'!N11)</f>
        <v>0</v>
      </c>
      <c r="O18" s="227" t="b">
        <f>IF(ISBLANK('ONR 2'!O11),"",'ONR 2'!O11)</f>
        <v>0</v>
      </c>
      <c r="P18" s="227" t="b">
        <f>IF(ISBLANK('ONR 2'!P11),"",'ONR 2'!P11)</f>
        <v>0</v>
      </c>
      <c r="Q18" s="227" t="b">
        <f>IF(ISBLANK('ONR 2'!Q11),"",'ONR 2'!Q11)</f>
        <v>0</v>
      </c>
      <c r="R18" s="227" t="b">
        <f>IF(ISBLANK('ONR 2'!R11),"",'ONR 2'!R11)</f>
        <v>0</v>
      </c>
      <c r="S18" s="228" t="str">
        <f>IF(ISBLANK('ONR 2'!S11),"",'ONR 2'!S11)</f>
      </c>
      <c r="T18" s="226" t="str">
        <f>IF(ISBLANK('ONR 2'!T11),"",'ONR 2'!T11)</f>
      </c>
      <c r="U18" s="242" t="str">
        <f>IF(ISBLANK('ONR 2'!U11),"",'ONR 2'!U11)</f>
      </c>
      <c r="V18" s="229" t="str">
        <f>IF(ISBLANK('ONR 2'!G11),"",'ONR 2'!G11)</f>
      </c>
      <c r="W18" s="229" t="str">
        <f>IF(ISBLANK('ONR 2'!V11),"",'ONR 2'!V11)</f>
      </c>
      <c r="X18" s="204" t="str">
        <f>IF(ISBLANK('ONR 2'!W11),"",'ONR 2'!W11)</f>
      </c>
      <c r="Y18" s="230" t="str">
        <f>IF(ISBLANK('ONR 2'!I11),"",'ONR 2'!I11)</f>
      </c>
      <c r="Z18" s="230" t="str">
        <f>IF(ISBLANK('ONR 2'!D11),"",'ONR 2'!D11)</f>
      </c>
      <c r="AE18" s="206" t="n">
        <f>IF(ISNUMBER(T18),0,1)</f>
        <v>1</v>
      </c>
      <c r="AF18" s="206" t="n">
        <f>IF(L18=TRUE,1,0)</f>
        <v>0</v>
      </c>
      <c r="AG18" s="206" t="n">
        <f>IF(M18=TRUE,1,0)</f>
        <v>0</v>
      </c>
      <c r="AH18" s="206" t="n">
        <f>IF(N18=TRUE,1,0)</f>
        <v>0</v>
      </c>
      <c r="AI18" s="206" t="n">
        <f>IF(O18=TRUE,1,0)</f>
        <v>0</v>
      </c>
      <c r="AJ18" s="206" t="n">
        <f>IF(P18=TRUE,1,0)</f>
        <v>0</v>
      </c>
      <c r="AK18" s="206" t="n">
        <f>IF(Q18=TRUE,1,0)</f>
        <v>0</v>
      </c>
      <c r="AL18" s="206" t="n">
        <f>IF(R18=TRUE,1,0)</f>
        <v>0</v>
      </c>
      <c r="AM18" t="n">
        <f>IF(LEN(TRIM(W18))&gt;0,1,0)</f>
        <v>0</v>
      </c>
    </row>
    <row r="19" spans="1:38" s="116" customFormat="1" ht="22">
      <c r="A19" s="115"/>
      <c r="B19" s="381" t="str">
        <f>'ONR 3'!B2</f>
        <v>ONR 3 : RSE · Utiliser le numérique de façon éthique et responsable</v>
      </c>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B19" s="116" t="str">
        <f>B19</f>
        <v>ONR 3 : RSE · Utiliser le numérique de façon éthique et responsable</v>
      </c>
      <c r="AC19" s="116" t="n">
        <f>COUNTA('ONR 3'!B7:B14)</f>
        <v>8</v>
      </c>
      <c r="AD19" s="116" t="n">
        <f>COUNT(T20:T27)</f>
        <v>0</v>
      </c>
      <c r="AE19" s="117" t="n">
        <f>SUM(AE20:AE27)</f>
        <v>8</v>
      </c>
      <c r="AF19" s="117" t="n">
        <f>SUM(AF20:AF27)</f>
        <v>0</v>
      </c>
      <c r="AG19" s="117" t="n">
        <f>SUM(AG20:AG27)</f>
        <v>0</v>
      </c>
      <c r="AH19" s="117" t="n">
        <f>SUM(AH20:AH27)</f>
        <v>0</v>
      </c>
      <c r="AI19" s="117" t="n">
        <f>SUM(AI20:AI27)</f>
        <v>0</v>
      </c>
      <c r="AJ19" s="117" t="n">
        <f>SUM(AJ20:AJ27)</f>
        <v>0</v>
      </c>
      <c r="AK19" s="117" t="n">
        <f>SUM(AK20:AK27)</f>
        <v>0</v>
      </c>
      <c r="AL19" s="117" t="n">
        <f>SUM(AL20:AL27)</f>
        <v>0</v>
      </c>
    </row>
    <row r="20" spans="1:38" s="205" customFormat="1" ht="57">
      <c r="A20" s="199"/>
      <c r="B20" s="219" t="str">
        <f>IF(ISBLANK('ONR 3'!B7),"",'ONR 3'!B7)</f>
        <v>3.1</v>
      </c>
      <c r="C20" s="219" t="str">
        <f>IF(ISBLANK('ONR 3'!C7),"",'ONR 3'!C7)</f>
        <v>Utiliser les données et les services numériques avec mesure, en respectant les personnes et l’environnement.</v>
      </c>
      <c r="D20" s="244" t="str">
        <f>IF(ISBLANK('ONR 3'!D7),"",'ONR 3'!D7)</f>
      </c>
      <c r="E20" s="271" t="str">
        <f>IF(ISBLANK('ONR 3'!E7),"",'ONR 3'!E7)</f>
      </c>
      <c r="F20" s="278" t="str">
        <f>IF(ISBLANK('ONR 3'!F7),"",'ONR 3'!F7)</f>
      </c>
      <c r="G20" s="213" t="str">
        <f>IF(ISBLANK('ONR 3'!G7),"",'ONR 3'!G7)</f>
      </c>
      <c r="H20" s="214" t="str">
        <f>IF(ISBLANK('ONR 3'!H7),"",'ONR 3'!H7)</f>
      </c>
      <c r="I20" s="245" t="str">
        <f>IF(ISBLANK('ONR 3'!I7),"",'ONR 3'!I7)</f>
      </c>
      <c r="J20" s="246" t="str">
        <f t="shared" ref="J20:J25" si="49">IF(ISBLANK('ONR 3'!J7),"",'ONR 3'!J7)</f>
      </c>
      <c r="K20" s="247" t="str">
        <f t="shared" ref="K20:K25" si="50">IF(ISBLANK('ONR 3'!K7),"",'ONR 3'!K7)</f>
      </c>
      <c r="L20" s="247" t="b">
        <f t="shared" ref="L20:L25" si="51">IF(ISBLANK('ONR 3'!L7),"",'ONR 3'!L7)</f>
        <v>0</v>
      </c>
      <c r="M20" s="247" t="b">
        <f t="shared" ref="M20:M25" si="52">IF(ISBLANK('ONR 3'!M7),"",'ONR 3'!M7)</f>
        <v>0</v>
      </c>
      <c r="N20" s="247" t="b">
        <f t="shared" ref="N20:N25" si="53">IF(ISBLANK('ONR 3'!N7),"",'ONR 3'!N7)</f>
        <v>0</v>
      </c>
      <c r="O20" s="247" t="b">
        <f t="shared" ref="O20:O25" si="54">IF(ISBLANK('ONR 3'!O7),"",'ONR 3'!O7)</f>
        <v>0</v>
      </c>
      <c r="P20" s="247" t="b">
        <f t="shared" ref="P20:P25" si="55">IF(ISBLANK('ONR 3'!P7),"",'ONR 3'!P7)</f>
        <v>0</v>
      </c>
      <c r="Q20" s="247" t="b">
        <f t="shared" ref="Q20:Q25" si="56">IF(ISBLANK('ONR 3'!Q7),"",'ONR 3'!Q7)</f>
        <v>0</v>
      </c>
      <c r="R20" s="247" t="b">
        <f t="shared" ref="R20:R25" si="57">IF(ISBLANK('ONR 3'!R7),"",'ONR 3'!R7)</f>
        <v>0</v>
      </c>
      <c r="S20" s="248" t="str">
        <f t="shared" ref="S20:S25" si="58">IF(ISBLANK('ONR 3'!S7),"",'ONR 3'!S7)</f>
      </c>
      <c r="T20" s="249" t="str">
        <f t="shared" ref="T20:T25" si="59">IF(ISBLANK('ONR 3'!T7),"",'ONR 3'!T7)</f>
      </c>
      <c r="U20" s="250" t="str">
        <f t="shared" ref="U20:U25" si="60">IF(ISBLANK('ONR 3'!U7),"",'ONR 3'!U7)</f>
      </c>
      <c r="V20" s="235" t="str">
        <f t="shared" ref="V20:V26" si="61">IF(ISBLANK('ONR 3'!G7),"",'ONR 3'!G7)</f>
      </c>
      <c r="W20" s="235" t="str">
        <f>IF(ISBLANK('ONR 3'!V7),"",'ONR 3'!V7)</f>
      </c>
      <c r="X20" s="183" t="str">
        <f>IF(ISBLANK('ONR 3'!W7),"",'ONR 3'!W7)</f>
      </c>
      <c r="Y20" s="236" t="str">
        <f t="shared" ref="Y20:Y26" si="62">IF(ISBLANK('ONR 3'!I7),"",'ONR 3'!I7)</f>
      </c>
      <c r="Z20" s="236" t="str">
        <f t="shared" ref="Z20:Z26" si="63">IF(ISBLANK('ONR 3'!D7),"",'ONR 3'!D7)</f>
      </c>
      <c r="AE20" s="206" t="n">
        <f t="shared" ref="AE20:AE26" si="64">IF(ISNUMBER(T20),0,1)</f>
        <v>1</v>
      </c>
      <c r="AF20" s="206" t="n">
        <f t="shared" ref="AF20:AL26" si="65">IF(L20=TRUE,1,0)</f>
        <v>0</v>
      </c>
      <c r="AG20" s="206" t="n">
        <f t="shared" si="65">IF(M20=TRUE,1,0)</f>
        <v>0</v>
      </c>
      <c r="AH20" s="206" t="n">
        <f t="shared" si="65">IF(N20=TRUE,1,0)</f>
        <v>0</v>
      </c>
      <c r="AI20" s="206" t="n">
        <f t="shared" si="65">IF(O20=TRUE,1,0)</f>
        <v>0</v>
      </c>
      <c r="AJ20" s="206" t="n">
        <f t="shared" si="65">IF(P20=TRUE,1,0)</f>
        <v>0</v>
      </c>
      <c r="AK20" s="206" t="n">
        <f t="shared" si="65">IF(Q20=TRUE,1,0)</f>
        <v>0</v>
      </c>
      <c r="AL20" s="206" t="n">
        <f t="shared" si="65">IF(R20=TRUE,1,0)</f>
        <v>0</v>
      </c>
      <c r="AM20" t="n">
        <f>IF(LEN(TRIM(W20))&gt;0,1,0)</f>
        <v>0</v>
      </c>
    </row>
    <row r="21" spans="1:38" s="205" customFormat="1" ht="57">
      <c r="A21" s="199"/>
      <c r="B21" s="219" t="str">
        <f>IF(ISBLANK('ONR 3'!B8),"",'ONR 3'!B8)</f>
        <v>3.2</v>
      </c>
      <c r="C21" s="219" t="str">
        <f>IF(ISBLANK('ONR 3'!C8),"",'ONR 3'!C8)</f>
        <v>Supprimer les pratiques et les interfaces qui trompent les utilisateurs sur les sites web, aussi appelées « dark patterns ». Respecter la réglementation.</v>
      </c>
      <c r="D21" s="244" t="str">
        <f>IF(ISBLANK('ONR 3'!D8),"",'ONR 3'!D8)</f>
      </c>
      <c r="E21" s="271" t="str">
        <f>IF(ISBLANK('ONR 3'!E8),"",'ONR 3'!E8)</f>
      </c>
      <c r="F21" s="278" t="str">
        <f>IF(ISBLANK('ONR 3'!F8),"",'ONR 3'!F8)</f>
      </c>
      <c r="G21" s="213" t="str">
        <f>IF(ISBLANK('ONR 3'!G8),"",'ONR 3'!G8)</f>
      </c>
      <c r="H21" s="214" t="str">
        <f>IF(ISBLANK('ONR 3'!H8),"",'ONR 3'!H8)</f>
      </c>
      <c r="I21" s="245" t="str">
        <f>IF(ISBLANK('ONR 3'!I8),"",'ONR 3'!I8)</f>
      </c>
      <c r="J21" s="246" t="str">
        <f t="shared" si="49">IF(ISBLANK('ONR 3'!J8),"",'ONR 3'!J8)</f>
      </c>
      <c r="K23" s="247" t="str">
        <f t="shared" si="50">IF(ISBLANK('ONR 3'!K10),"",'ONR 3'!K10)</f>
      </c>
      <c r="K21" t="str" s="247">
        <f>IF(ISBLANK('ONR 3'!K8),"",'ONR 3'!K8)</f>
      </c>
      <c r="L23" s="247" t="b">
        <f t="shared" si="51">IF(ISBLANK('ONR 3'!L10),"",'ONR 3'!L10)</f>
        <v>0</v>
      </c>
      <c r="L21" t="b" s="247">
        <f>IF(ISBLANK('ONR 3'!L8),"",'ONR 3'!L8)</f>
        <v>0</v>
      </c>
      <c r="M23" s="247" t="b">
        <f t="shared" si="52">IF(ISBLANK('ONR 3'!M10),"",'ONR 3'!M10)</f>
        <v>0</v>
      </c>
      <c r="M21" t="b" s="247">
        <f>IF(ISBLANK('ONR 3'!M8),"",'ONR 3'!M8)</f>
        <v>0</v>
      </c>
      <c r="N23" s="247" t="b">
        <f t="shared" si="53">IF(ISBLANK('ONR 3'!N10),"",'ONR 3'!N10)</f>
        <v>0</v>
      </c>
      <c r="N21" t="b" s="247">
        <f>IF(ISBLANK('ONR 3'!N8),"",'ONR 3'!N8)</f>
        <v>0</v>
      </c>
      <c r="O23" s="247" t="b">
        <f t="shared" si="54">IF(ISBLANK('ONR 3'!O10),"",'ONR 3'!O10)</f>
        <v>0</v>
      </c>
      <c r="O21" t="b" s="247">
        <f>IF(ISBLANK('ONR 3'!O8),"",'ONR 3'!O8)</f>
        <v>0</v>
      </c>
      <c r="P23" s="247" t="b">
        <f t="shared" si="55">IF(ISBLANK('ONR 3'!P10),"",'ONR 3'!P10)</f>
        <v>0</v>
      </c>
      <c r="P21" t="b" s="247">
        <f>IF(ISBLANK('ONR 3'!P8),"",'ONR 3'!P8)</f>
        <v>0</v>
      </c>
      <c r="Q23" s="247" t="b">
        <f t="shared" si="56">IF(ISBLANK('ONR 3'!Q10),"",'ONR 3'!Q10)</f>
        <v>0</v>
      </c>
      <c r="Q21" t="b" s="247">
        <f>IF(ISBLANK('ONR 3'!Q8),"",'ONR 3'!Q8)</f>
        <v>0</v>
      </c>
      <c r="R23" s="247" t="b">
        <f t="shared" si="57">IF(ISBLANK('ONR 3'!R10),"",'ONR 3'!R10)</f>
        <v>0</v>
      </c>
      <c r="R21" t="b" s="247">
        <f>IF(ISBLANK('ONR 3'!R8),"",'ONR 3'!R8)</f>
        <v>0</v>
      </c>
      <c r="S23" s="248" t="str">
        <f t="shared" si="58">IF(ISBLANK('ONR 3'!S10),"",'ONR 3'!S10)</f>
      </c>
      <c r="S21" t="str" s="248">
        <f>IF(ISBLANK('ONR 3'!S8),"",'ONR 3'!S8)</f>
      </c>
      <c r="T23" s="249" t="str">
        <f t="shared" si="59">IF(ISBLANK('ONR 3'!T10),"",'ONR 3'!T10)</f>
      </c>
      <c r="T21" t="str" s="249">
        <f>IF(ISBLANK('ONR 3'!T8),"",'ONR 3'!T8)</f>
      </c>
      <c r="U23" s="250" t="str">
        <f t="shared" si="60">IF(ISBLANK('ONR 3'!U10),"",'ONR 3'!U10)</f>
      </c>
      <c r="U21" t="str" s="250">
        <f>IF(ISBLANK('ONR 3'!U8),"",'ONR 3'!U8)</f>
      </c>
      <c r="V23" s="235" t="str">
        <f t="shared" si="61">IF(ISBLANK('ONR 3'!G10),"",'ONR 3'!G10)</f>
      </c>
      <c r="V21" t="str" s="235">
        <f>IF(ISBLANK('ONR 3'!G8),"",'ONR 3'!G8)</f>
      </c>
      <c r="W23" s="235" t="str">
        <f>IF(ISBLANK('ONR 3'!V10),"",'ONR 3'!V10)</f>
      </c>
      <c r="W21" t="str" s="235">
        <f>IF(ISBLANK('ONR 3'!V8),"",'ONR 3'!V8)</f>
      </c>
      <c r="X21" s="183" t="str">
        <f>IF(ISBLANK('ONR 3'!W8),"",'ONR 3'!W8)</f>
      </c>
      <c r="Y21" s="236" t="str">
        <f t="shared" si="62">IF(ISBLANK('ONR 3'!I8),"",'ONR 3'!I8)</f>
      </c>
      <c r="Z21" s="251" t="str">
        <f t="shared" si="63">IF(ISBLANK('ONR 3'!D8),"",'ONR 3'!D8)</f>
      </c>
      <c r="AE21" s="206" t="n">
        <f t="shared" si="64">IF(ISNUMBER(T21),0,1)</f>
        <v>1</v>
      </c>
      <c r="AF21" s="206" t="n">
        <f t="shared" si="65">IF(L21=TRUE,1,0)</f>
        <v>0</v>
      </c>
      <c r="AG21" s="206" t="n">
        <f t="shared" si="65">IF(M21=TRUE,1,0)</f>
        <v>0</v>
      </c>
      <c r="AH21" s="206" t="n">
        <f t="shared" si="65">IF(N21=TRUE,1,0)</f>
        <v>0</v>
      </c>
      <c r="AI21" s="206" t="n">
        <f t="shared" si="65">IF(O21=TRUE,1,0)</f>
        <v>0</v>
      </c>
      <c r="AJ21" s="206" t="n">
        <f t="shared" si="65">IF(P21=TRUE,1,0)</f>
        <v>0</v>
      </c>
      <c r="AK21" s="206" t="n">
        <f t="shared" si="65">IF(Q21=TRUE,1,0)</f>
        <v>0</v>
      </c>
      <c r="AL21" s="206" t="n">
        <f t="shared" si="65">IF(R21=TRUE,1,0)</f>
        <v>0</v>
      </c>
      <c r="AM21" t="n">
        <f>IF(LEN(TRIM(W21))&gt;0,1,0)</f>
        <v>0</v>
      </c>
    </row>
    <row r="22" spans="1:38" s="205" customFormat="1" ht="76">
      <c r="A22" s="199"/>
      <c r="B22" s="219" t="str">
        <f>IF(ISBLANK('ONR 3'!B9),"",'ONR 3'!B9)</f>
        <v>3.3</v>
      </c>
      <c r="C22" s="219" t="str">
        <f>IF(ISBLANK('ONR 3'!C9),"",'ONR 3'!C9)</f>
        <v>Collecter seulement les données nécessaires au service rendu. Protéger la vie privée, réduire les effets sur l’environnement et respecter le RGPD, le règlement sur la protection des données personnelles.</v>
      </c>
      <c r="D22" s="244" t="str">
        <f>IF(ISBLANK('ONR 3'!D9),"",'ONR 3'!D9)</f>
      </c>
      <c r="E22" s="271" t="str">
        <f>IF(ISBLANK('ONR 3'!E9),"",'ONR 3'!E9)</f>
      </c>
      <c r="F22" s="278" t="str">
        <f>IF(ISBLANK('ONR 3'!F9),"",'ONR 3'!F9)</f>
      </c>
      <c r="G22" s="213" t="str">
        <f>IF(ISBLANK('ONR 3'!G9),"",'ONR 3'!G9)</f>
      </c>
      <c r="H22" s="214" t="str">
        <f>IF(ISBLANK('ONR 3'!H9),"",'ONR 3'!H9)</f>
      </c>
      <c r="I22" s="245" t="str">
        <f>IF(ISBLANK('ONR 3'!I9),"",'ONR 3'!I9)</f>
      </c>
      <c r="J22" s="246" t="str">
        <f t="shared" si="49">IF(ISBLANK('ONR 3'!J9),"",'ONR 3'!J9)</f>
      </c>
      <c r="K24" s="247" t="str">
        <f t="shared" si="50">IF(ISBLANK('ONR 3'!K11),"",'ONR 3'!K11)</f>
      </c>
      <c r="K22" t="str" s="247">
        <f>IF(ISBLANK('ONR 3'!K9),"",'ONR 3'!K9)</f>
      </c>
      <c r="L24" s="247" t="b">
        <f t="shared" si="51">IF(ISBLANK('ONR 3'!L11),"",'ONR 3'!L11)</f>
        <v>0</v>
      </c>
      <c r="L22" t="b" s="247">
        <f>IF(ISBLANK('ONR 3'!L9),"",'ONR 3'!L9)</f>
        <v>0</v>
      </c>
      <c r="M24" s="247" t="b">
        <f t="shared" si="52">IF(ISBLANK('ONR 3'!M11),"",'ONR 3'!M11)</f>
        <v>0</v>
      </c>
      <c r="M22" t="b" s="247">
        <f>IF(ISBLANK('ONR 3'!M9),"",'ONR 3'!M9)</f>
        <v>0</v>
      </c>
      <c r="N24" s="247" t="b">
        <f t="shared" si="53">IF(ISBLANK('ONR 3'!N11),"",'ONR 3'!N11)</f>
        <v>0</v>
      </c>
      <c r="N22" t="b" s="247">
        <f>IF(ISBLANK('ONR 3'!N9),"",'ONR 3'!N9)</f>
        <v>0</v>
      </c>
      <c r="O24" s="247" t="b">
        <f t="shared" si="54">IF(ISBLANK('ONR 3'!O11),"",'ONR 3'!O11)</f>
        <v>0</v>
      </c>
      <c r="O22" t="b" s="247">
        <f>IF(ISBLANK('ONR 3'!O9),"",'ONR 3'!O9)</f>
        <v>0</v>
      </c>
      <c r="P24" s="247" t="b">
        <f t="shared" si="55">IF(ISBLANK('ONR 3'!P11),"",'ONR 3'!P11)</f>
        <v>0</v>
      </c>
      <c r="P22" t="b" s="247">
        <f>IF(ISBLANK('ONR 3'!P9),"",'ONR 3'!P9)</f>
        <v>0</v>
      </c>
      <c r="Q24" s="247" t="b">
        <f t="shared" si="56">IF(ISBLANK('ONR 3'!Q11),"",'ONR 3'!Q11)</f>
        <v>0</v>
      </c>
      <c r="Q22" t="b" s="247">
        <f>IF(ISBLANK('ONR 3'!Q9),"",'ONR 3'!Q9)</f>
        <v>0</v>
      </c>
      <c r="R24" s="247" t="b">
        <f t="shared" si="57">IF(ISBLANK('ONR 3'!R11),"",'ONR 3'!R11)</f>
        <v>0</v>
      </c>
      <c r="R22" t="b" s="247">
        <f>IF(ISBLANK('ONR 3'!R9),"",'ONR 3'!R9)</f>
        <v>0</v>
      </c>
      <c r="S24" s="248" t="str">
        <f t="shared" si="58">IF(ISBLANK('ONR 3'!S11),"",'ONR 3'!S11)</f>
      </c>
      <c r="S22" t="str" s="248">
        <f>IF(ISBLANK('ONR 3'!S9),"",'ONR 3'!S9)</f>
      </c>
      <c r="T24" s="249" t="str">
        <f t="shared" si="59">IF(ISBLANK('ONR 3'!T11),"",'ONR 3'!T11)</f>
      </c>
      <c r="T22" t="str" s="249">
        <f>IF(ISBLANK('ONR 3'!T9),"",'ONR 3'!T9)</f>
      </c>
      <c r="U24" s="250" t="str">
        <f t="shared" si="60">IF(ISBLANK('ONR 3'!U11),"",'ONR 3'!U11)</f>
      </c>
      <c r="U22" t="str" s="250">
        <f>IF(ISBLANK('ONR 3'!U9),"",'ONR 3'!U9)</f>
      </c>
      <c r="V24" s="235" t="str">
        <f t="shared" si="61">IF(ISBLANK('ONR 3'!G11),"",'ONR 3'!G11)</f>
      </c>
      <c r="V22" t="str" s="235">
        <f>IF(ISBLANK('ONR 3'!G9),"",'ONR 3'!G9)</f>
      </c>
      <c r="W24" s="235" t="str">
        <f>IF(ISBLANK('ONR 3'!V11),"",'ONR 3'!V11)</f>
      </c>
      <c r="W22" t="str" s="235">
        <f>IF(ISBLANK('ONR 3'!V9),"",'ONR 3'!V9)</f>
      </c>
      <c r="X22" s="183" t="str">
        <f>IF(ISBLANK('ONR 3'!W9),"",'ONR 3'!W9)</f>
      </c>
      <c r="Y22" s="236" t="str">
        <f t="shared" si="62">IF(ISBLANK('ONR 3'!I9),"",'ONR 3'!I9)</f>
      </c>
      <c r="Z22" s="251" t="str">
        <f t="shared" si="63">IF(ISBLANK('ONR 3'!D9),"",'ONR 3'!D9)</f>
      </c>
      <c r="AE22" s="206" t="n">
        <f t="shared" si="64">IF(ISNUMBER(T22),0,1)</f>
        <v>1</v>
      </c>
      <c r="AF22" s="206" t="n">
        <f t="shared" si="65">IF(L22=TRUE,1,0)</f>
        <v>0</v>
      </c>
      <c r="AG22" s="206" t="n">
        <f t="shared" si="65">IF(M22=TRUE,1,0)</f>
        <v>0</v>
      </c>
      <c r="AH22" s="206" t="n">
        <f t="shared" si="65">IF(N22=TRUE,1,0)</f>
        <v>0</v>
      </c>
      <c r="AI22" s="206" t="n">
        <f t="shared" si="65">IF(O22=TRUE,1,0)</f>
        <v>0</v>
      </c>
      <c r="AJ22" s="206" t="n">
        <f t="shared" si="65">IF(P22=TRUE,1,0)</f>
        <v>0</v>
      </c>
      <c r="AK22" s="206" t="n">
        <f t="shared" si="65">IF(Q22=TRUE,1,0)</f>
        <v>0</v>
      </c>
      <c r="AL22" s="206" t="n">
        <f t="shared" si="65">IF(R22=TRUE,1,0)</f>
        <v>0</v>
      </c>
      <c r="AM22" t="n">
        <f>IF(LEN(TRIM(W22))&gt;0,1,0)</f>
        <v>0</v>
      </c>
    </row>
    <row r="23" spans="1:38" s="205" customFormat="1" ht="19">
      <c r="A23" s="199"/>
      <c r="B23" s="238" t="str">
        <f>IF(ISBLANK('ONR 3'!B10),"",'ONR 3'!B10)</f>
        <v>3.4</v>
      </c>
      <c r="C23" s="219" t="str">
        <f>IF(ISBLANK('ONR 3'!C10),"",'ONR 3'!C10)</f>
        <v>Recruter des personnes aux profils variés dans les métiers du numérique.</v>
      </c>
      <c r="D23" s="244" t="str">
        <f>IF(ISBLANK('ONR 3'!D10),"",'ONR 3'!D10)</f>
      </c>
      <c r="E23" s="271" t="str">
        <f>IF(ISBLANK('ONR 3'!E10),"",'ONR 3'!E10)</f>
      </c>
      <c r="F23" s="278" t="str">
        <f>IF(ISBLANK('ONR 3'!F10),"",'ONR 3'!F10)</f>
      </c>
      <c r="G23" s="213" t="str">
        <f>IF(ISBLANK('ONR 3'!G10),"",'ONR 3'!G10)</f>
      </c>
      <c r="H23" s="214" t="str">
        <f>IF(ISBLANK('ONR 3'!H10),"",'ONR 3'!H10)</f>
      </c>
      <c r="I23" s="245" t="str">
        <f>IF(ISBLANK('ONR 3'!I10),"",'ONR 3'!I10)</f>
      </c>
      <c r="J23" s="246" t="str">
        <f t="shared" si="49">IF(ISBLANK('ONR 3'!J10),"",'ONR 3'!J10)</f>
      </c>
      <c r="K25" s="247" t="str">
        <f t="shared" si="50">IF(ISBLANK('ONR 3'!K12),"",'ONR 3'!K12)</f>
      </c>
      <c r="L25" s="247" t="b">
        <f t="shared" si="51">IF(ISBLANK('ONR 3'!L12),"",'ONR 3'!L12)</f>
        <v>0</v>
      </c>
      <c r="M25" s="247" t="b">
        <f t="shared" si="52">IF(ISBLANK('ONR 3'!M12),"",'ONR 3'!M12)</f>
        <v>0</v>
      </c>
      <c r="N25" s="247" t="b">
        <f t="shared" si="53">IF(ISBLANK('ONR 3'!N12),"",'ONR 3'!N12)</f>
        <v>0</v>
      </c>
      <c r="O25" s="247" t="b">
        <f t="shared" si="54">IF(ISBLANK('ONR 3'!O12),"",'ONR 3'!O12)</f>
        <v>0</v>
      </c>
      <c r="P25" s="247" t="b">
        <f t="shared" si="55">IF(ISBLANK('ONR 3'!P12),"",'ONR 3'!P12)</f>
        <v>0</v>
      </c>
      <c r="Q25" s="247" t="b">
        <f t="shared" si="56">IF(ISBLANK('ONR 3'!Q12),"",'ONR 3'!Q12)</f>
        <v>0</v>
      </c>
      <c r="R25" s="247" t="b">
        <f t="shared" si="57">IF(ISBLANK('ONR 3'!R12),"",'ONR 3'!R12)</f>
        <v>0</v>
      </c>
      <c r="S25" s="248" t="str">
        <f t="shared" si="58">IF(ISBLANK('ONR 3'!S12),"",'ONR 3'!S12)</f>
      </c>
      <c r="T25" s="249" t="str">
        <f t="shared" si="59">IF(ISBLANK('ONR 3'!T12),"",'ONR 3'!T12)</f>
      </c>
      <c r="U25" s="250" t="str">
        <f t="shared" si="60">IF(ISBLANK('ONR 3'!U12),"",'ONR 3'!U12)</f>
      </c>
      <c r="V25" s="252" t="str">
        <f t="shared" si="61">IF(ISBLANK('ONR 3'!G12),"",'ONR 3'!G12)</f>
      </c>
      <c r="W25" s="252" t="str">
        <f>IF(ISBLANK('ONR 3'!V12),"",'ONR 3'!V12)</f>
      </c>
      <c r="X23" s="183" t="str">
        <f>IF(ISBLANK('ONR 3'!W10),"",'ONR 3'!W10)</f>
      </c>
      <c r="Y23" s="253" t="str">
        <f t="shared" si="62">IF(ISBLANK('ONR 3'!I10),"",'ONR 3'!I10)</f>
      </c>
      <c r="Z23" s="251" t="str">
        <f t="shared" si="63">IF(ISBLANK('ONR 3'!D10),"",'ONR 3'!D10)</f>
      </c>
      <c r="AE23" s="206" t="n">
        <f t="shared" si="64">IF(ISNUMBER(T23),0,1)</f>
        <v>1</v>
      </c>
      <c r="AF23" s="206" t="n">
        <f t="shared" si="65">IF(L23=TRUE,1,0)</f>
        <v>0</v>
      </c>
      <c r="AG23" s="206" t="n">
        <f t="shared" si="65">IF(M23=TRUE,1,0)</f>
        <v>0</v>
      </c>
      <c r="AH23" s="206" t="n">
        <f t="shared" si="65">IF(N23=TRUE,1,0)</f>
        <v>0</v>
      </c>
      <c r="AI23" s="206" t="n">
        <f t="shared" si="65">IF(O23=TRUE,1,0)</f>
        <v>0</v>
      </c>
      <c r="AJ23" s="206" t="n">
        <f t="shared" si="65">IF(P23=TRUE,1,0)</f>
        <v>0</v>
      </c>
      <c r="AK23" s="206" t="n">
        <f t="shared" si="65">IF(Q23=TRUE,1,0)</f>
        <v>0</v>
      </c>
      <c r="AL23" s="206" t="n">
        <f t="shared" si="65">IF(R23=TRUE,1,0)</f>
        <v>0</v>
      </c>
      <c r="AM23" t="n">
        <f>IF(LEN(TRIM(W23))&gt;0,1,0)</f>
        <v>0</v>
      </c>
    </row>
    <row r="24" spans="1:38" s="205" customFormat="1" ht="19">
      <c r="A24" s="199"/>
      <c r="B24" s="238" t="str">
        <f>IF(ISBLANK('ONR 3'!B11),"",'ONR 3'!B11)</f>
        <v>3.5</v>
      </c>
      <c r="C24" s="219" t="str">
        <f>IF(ISBLANK('ONR 3'!C11),"",'ONR 3'!C11)</f>
        <v>Améliorer les conditions de travail des personnes qui travaillent dans le numérique.</v>
      </c>
      <c r="D24" s="244" t="str">
        <f>IF(ISBLANK('ONR 3'!D11),"",'ONR 3'!D11)</f>
      </c>
      <c r="E24" s="271" t="str">
        <f>IF(ISBLANK('ONR 3'!E11),"",'ONR 3'!E11)</f>
      </c>
      <c r="F24" s="278" t="str">
        <f>IF(ISBLANK('ONR 3'!F11),"",'ONR 3'!F11)</f>
      </c>
      <c r="G24" s="213" t="str">
        <f>IF(ISBLANK('ONR 3'!G11),"",'ONR 3'!G11)</f>
      </c>
      <c r="H24" s="214" t="str">
        <f>IF(ISBLANK('ONR 3'!H11),"",'ONR 3'!H11)</f>
      </c>
      <c r="I24" s="245" t="str">
        <f>IF(ISBLANK('ONR 3'!I11),"",'ONR 3'!I11)</f>
      </c>
      <c r="J24" s="246" t="str">
        <f t="shared" si="49">IF(ISBLANK('ONR 3'!J11),"",'ONR 3'!J11)</f>
      </c>
      <c r="K26" s="247" t="str">
        <f t="shared" si="50"/>
      </c>
      <c r="L26" s="247" t="b">
        <f t="shared" si="51"/>
        <v>0</v>
      </c>
      <c r="M26" s="247" t="b">
        <f t="shared" si="52"/>
        <v>0</v>
      </c>
      <c r="N26" s="247" t="b">
        <f t="shared" si="53"/>
        <v>0</v>
      </c>
      <c r="O26" s="247" t="b">
        <f t="shared" si="54"/>
        <v>0</v>
      </c>
      <c r="P26" s="247" t="b">
        <f t="shared" si="55"/>
        <v>0</v>
      </c>
      <c r="Q26" s="247" t="b">
        <f t="shared" si="56"/>
        <v>0</v>
      </c>
      <c r="R26" s="247" t="b">
        <f t="shared" si="57"/>
        <v>0</v>
      </c>
      <c r="S26" s="248" t="str">
        <f t="shared" si="58"/>
      </c>
      <c r="T26" s="249" t="str">
        <f t="shared" si="59"/>
      </c>
      <c r="U26" s="250" t="str">
        <f t="shared" si="60"/>
      </c>
      <c r="V26" s="252" t="str">
        <f t="shared" si="61"/>
      </c>
      <c r="W26" s="145" t="str">
        <f>IF(ISBLANK('ONR 3'!V13),"",'ONR 3'!V13)</f>
      </c>
      <c r="X24" s="183" t="str">
        <f>IF(ISBLANK('ONR 3'!W11),"",'ONR 3'!W11)</f>
      </c>
      <c r="Y24" s="253" t="str">
        <f t="shared" si="62">IF(ISBLANK('ONR 3'!I11),"",'ONR 3'!I11)</f>
      </c>
      <c r="Z24" s="251" t="str">
        <f t="shared" si="63">IF(ISBLANK('ONR 3'!D11),"",'ONR 3'!D11)</f>
      </c>
      <c r="AE24" s="206" t="n">
        <f t="shared" si="64">IF(ISNUMBER(T24),0,1)</f>
        <v>1</v>
      </c>
      <c r="AF24" s="206" t="n">
        <f t="shared" si="65">IF(L24=TRUE,1,0)</f>
        <v>0</v>
      </c>
      <c r="AG24" s="206" t="n">
        <f t="shared" si="65">IF(M24=TRUE,1,0)</f>
        <v>0</v>
      </c>
      <c r="AH24" s="206" t="n">
        <f t="shared" si="65">IF(N24=TRUE,1,0)</f>
        <v>0</v>
      </c>
      <c r="AI24" s="206" t="n">
        <f t="shared" si="65">IF(O24=TRUE,1,0)</f>
        <v>0</v>
      </c>
      <c r="AJ24" s="206" t="n">
        <f t="shared" si="65">IF(P24=TRUE,1,0)</f>
        <v>0</v>
      </c>
      <c r="AK24" s="206" t="n">
        <f t="shared" si="65">IF(Q24=TRUE,1,0)</f>
        <v>0</v>
      </c>
      <c r="AL24" s="206" t="n">
        <f t="shared" si="65">IF(R24=TRUE,1,0)</f>
        <v>0</v>
      </c>
      <c r="AM24" t="n">
        <f>IF(LEN(TRIM(W24))&gt;0,1,0)</f>
        <v>0</v>
      </c>
    </row>
    <row r="25" spans="1:38" s="205" customFormat="1" ht="57">
      <c r="A25" s="199"/>
      <c r="B25" s="219" t="str">
        <f>IF(ISBLANK('ONR 3'!B12),"",'ONR 3'!B12)</f>
        <v>3.6</v>
      </c>
      <c r="C25" s="219" t="str">
        <f>IF(ISBLANK('ONR 3'!C12),"",'ONR 3'!C12)</f>
        <v>Fixer et appliquer des règles éthiques pour utiliser les algorithmes, en particulier l’intelligence artificielle. Encadrer l’utilisation des données et assurer leur protection.</v>
      </c>
      <c r="D25" s="244" t="str">
        <f>IF(ISBLANK('ONR 3'!D12),"",'ONR 3'!D12)</f>
      </c>
      <c r="E25" s="271" t="str">
        <f>IF(ISBLANK('ONR 3'!E12),"",'ONR 3'!E12)</f>
      </c>
      <c r="F25" s="278" t="str">
        <f>IF(ISBLANK('ONR 3'!F12),"",'ONR 3'!F12)</f>
      </c>
      <c r="G25" s="213" t="str">
        <f>IF(ISBLANK('ONR 3'!G12),"",'ONR 3'!G12)</f>
      </c>
      <c r="H25" s="214" t="str">
        <f>IF(ISBLANK('ONR 3'!H12),"",'ONR 3'!H12)</f>
      </c>
      <c r="I25" s="245" t="str">
        <f>IF(ISBLANK('ONR 3'!I12),"",'ONR 3'!I12)</f>
      </c>
      <c r="J25" s="246" t="str">
        <f t="shared" si="49">IF(ISBLANK('ONR 3'!J12),"",'ONR 3'!J12)</f>
      </c>
      <c r="K28" s="247">
        <f t="shared" si="50"/>
      </c>
      <c r="L28" s="247">
        <f t="shared" si="51"/>
      </c>
      <c r="M28" s="247">
        <f t="shared" si="52"/>
      </c>
      <c r="N28" s="247">
        <f t="shared" si="53"/>
      </c>
      <c r="O28" s="247">
        <f t="shared" si="54"/>
      </c>
      <c r="P28" s="247">
        <f t="shared" si="55"/>
      </c>
      <c r="Q28" s="247">
        <f t="shared" si="56"/>
      </c>
      <c r="R28" s="247">
        <f t="shared" si="57"/>
      </c>
      <c r="S28" s="248">
        <f t="shared" si="58"/>
      </c>
      <c r="T28" s="249">
        <f t="shared" si="59"/>
      </c>
      <c r="U28" s="250">
        <f t="shared" si="60"/>
      </c>
      <c r="V28" s="241">
        <f t="shared" si="61"/>
      </c>
      <c r="W28" s="148">
        <f>'ONR 3'!V12</f>
      </c>
      <c r="X25" s="183" t="str">
        <f>IF(ISBLANK('ONR 3'!W12),"",'ONR 3'!W12)</f>
      </c>
      <c r="Y25" s="254" t="str">
        <f t="shared" si="62">IF(ISBLANK('ONR 3'!I12),"",'ONR 3'!I12)</f>
      </c>
      <c r="Z25" s="251" t="str">
        <f t="shared" si="63">IF(ISBLANK('ONR 3'!D12),"",'ONR 3'!D12)</f>
      </c>
      <c r="AE25" s="206" t="n">
        <f t="shared" si="64">IF(ISNUMBER(T25),0,1)</f>
        <v>1</v>
      </c>
      <c r="AF25" s="206" t="n">
        <f t="shared" si="65">IF(L25=TRUE,1,0)</f>
        <v>0</v>
      </c>
      <c r="AG25" s="206" t="n">
        <f t="shared" si="65">IF(M25=TRUE,1,0)</f>
        <v>0</v>
      </c>
      <c r="AH25" s="206" t="n">
        <f t="shared" si="65">IF(N25=TRUE,1,0)</f>
        <v>0</v>
      </c>
      <c r="AI25" s="206" t="n">
        <f t="shared" si="65">IF(O25=TRUE,1,0)</f>
        <v>0</v>
      </c>
      <c r="AJ25" s="206" t="n">
        <f t="shared" si="65">IF(P25=TRUE,1,0)</f>
        <v>0</v>
      </c>
      <c r="AK25" s="206" t="n">
        <f t="shared" si="65">IF(Q25=TRUE,1,0)</f>
        <v>0</v>
      </c>
      <c r="AL25" s="206" t="n">
        <f t="shared" si="65">IF(R25=TRUE,1,0)</f>
        <v>0</v>
      </c>
      <c r="AM25" t="n">
        <f>IF(LEN(TRIM(W25))&gt;0,1,0)</f>
        <v>0</v>
      </c>
    </row>
    <row r="26" spans="1:38" s="205" customFormat="1" ht="20" thickBot="1">
      <c r="A26" s="199"/>
      <c r="B26" s="220" t="str">
        <f>IF(ISBLANK('ONR 3'!B13),"",'ONR 3'!B13)</f>
        <v>3.7</v>
      </c>
      <c r="C26" s="220" t="str">
        <f>IF(ISBLANK('ONR 3'!C13),"",'ONR 3'!C13)</f>
        <v>Mettre en place et faire connaître les actions de responsabilité sociétale (RSE), qui prennent en compte les effets de l’organisation sur la société et l’environnement.</v>
      </c>
      <c r="D26" s="244" t="str">
        <f>IF(ISBLANK('ONR 3'!D13),"",'ONR 3'!D13)</f>
      </c>
      <c r="E26" s="271" t="str">
        <f>IF(ISBLANK('ONR 3'!E13),"",'ONR 3'!E13)</f>
      </c>
      <c r="F26" s="278" t="str">
        <f>IF(ISBLANK('ONR 3'!F13),"",'ONR 3'!F13)</f>
      </c>
      <c r="G26" s="213" t="str">
        <f>IF(ISBLANK('ONR 3'!G13),"",'ONR 3'!G13)</f>
      </c>
      <c r="H26" s="214" t="str">
        <f>IF(ISBLANK('ONR 3'!H13),"",'ONR 3'!H13)</f>
      </c>
      <c r="I26" s="245" t="str">
        <f>IF(ISBLANK('ONR 3'!I13),"",'ONR 3'!I13)</f>
      </c>
      <c r="J26" s="246" t="str">
        <f t="shared" ref="J26" si="66">IF(ISBLANK('ONR 3'!J13),"",'ONR 3'!J13)</f>
      </c>
      <c r="K26" s="247" t="str">
        <f t="shared" ref="K26" si="67">IF(ISBLANK('ONR 3'!K13),"",'ONR 3'!K13)</f>
      </c>
      <c r="L26" s="247" t="b">
        <f t="shared" ref="L26" si="68">IF(ISBLANK('ONR 3'!L13),"",'ONR 3'!L13)</f>
        <v>0</v>
      </c>
      <c r="M26" s="247" t="b">
        <f t="shared" ref="M26" si="69">IF(ISBLANK('ONR 3'!M13),"",'ONR 3'!M13)</f>
        <v>0</v>
      </c>
      <c r="N26" s="247" t="b">
        <f t="shared" ref="N26" si="70">IF(ISBLANK('ONR 3'!N13),"",'ONR 3'!N13)</f>
        <v>0</v>
      </c>
      <c r="O26" s="247" t="b">
        <f t="shared" ref="O26" si="71">IF(ISBLANK('ONR 3'!O13),"",'ONR 3'!O13)</f>
        <v>0</v>
      </c>
      <c r="P26" s="247" t="b">
        <f t="shared" ref="P26" si="72">IF(ISBLANK('ONR 3'!P13),"",'ONR 3'!P13)</f>
        <v>0</v>
      </c>
      <c r="Q26" s="247" t="b">
        <f t="shared" ref="Q26" si="73">IF(ISBLANK('ONR 3'!Q13),"",'ONR 3'!Q13)</f>
        <v>0</v>
      </c>
      <c r="R26" s="247" t="b">
        <f t="shared" ref="R26" si="74">IF(ISBLANK('ONR 3'!R13),"",'ONR 3'!R13)</f>
        <v>0</v>
      </c>
      <c r="S26" s="248" t="str">
        <f t="shared" ref="S26" si="75">IF(ISBLANK('ONR 3'!S13),"",'ONR 3'!S13)</f>
      </c>
      <c r="T26" s="249" t="str">
        <f t="shared" ref="T26" si="76">IF(ISBLANK('ONR 3'!T13),"",'ONR 3'!T13)</f>
      </c>
      <c r="U26" s="250" t="str">
        <f t="shared" ref="U26" si="77">IF(ISBLANK('ONR 3'!U13),"",'ONR 3'!U13)</f>
      </c>
      <c r="V26" s="255" t="str">
        <f t="shared" si="61">IF(ISBLANK('ONR 3'!G13),"",'ONR 3'!G13)</f>
      </c>
      <c r="W29" s="215" t="str">
        <f>'ONR 3'!V13</f>
      </c>
      <c r="X26" s="183" t="str">
        <f>IF(ISBLANK('ONR 3'!W13),"",'ONR 3'!W13)</f>
      </c>
      <c r="Y26" s="251" t="str">
        <f t="shared" si="62">IF(ISBLANK('ONR 3'!I13),"",'ONR 3'!I13)</f>
      </c>
      <c r="Z26" s="251" t="str">
        <f t="shared" si="63">IF(ISBLANK('ONR 3'!D13),"",'ONR 3'!D13)</f>
      </c>
      <c r="AE26" s="206" t="n">
        <f t="shared" si="64">IF(ISNUMBER(T26),0,1)</f>
        <v>1</v>
      </c>
      <c r="AF26" s="206" t="n">
        <f t="shared" si="65">IF(L26=TRUE,1,0)</f>
        <v>0</v>
      </c>
      <c r="AG26" s="206" t="n">
        <f t="shared" si="65">IF(M26=TRUE,1,0)</f>
        <v>0</v>
      </c>
      <c r="AH26" s="206" t="n">
        <f t="shared" si="65">IF(N26=TRUE,1,0)</f>
        <v>0</v>
      </c>
      <c r="AI26" s="206" t="n">
        <f t="shared" si="65">IF(O26=TRUE,1,0)</f>
        <v>0</v>
      </c>
      <c r="AJ26" s="206" t="n">
        <f t="shared" si="65">IF(P26=TRUE,1,0)</f>
        <v>0</v>
      </c>
      <c r="AK26" s="206" t="n">
        <f t="shared" si="65">IF(Q26=TRUE,1,0)</f>
        <v>0</v>
      </c>
      <c r="AL26" s="206" t="n">
        <f t="shared" si="65">IF(R26=TRUE,1,0)</f>
        <v>0</v>
      </c>
      <c r="AM26" t="n">
        <f>IF(LEN(TRIM(W26))&gt;0,1,0)</f>
        <v>0</v>
      </c>
    </row>
    <row r="27" spans="1:38" s="205" customFormat="1" ht="20" thickBot="1">
      <c r="A27" s="199"/>
      <c r="B27" s="220" t="str">
        <f>IF(ISBLANK('ONR 3'!B14),"",'ONR 3'!B14)</f>
        <v>3.8</v>
      </c>
      <c r="C27" s="220" t="str">
        <f>IF(ISBLANK('ONR 3'!C14),"",'ONR 3'!C14)</f>
        <v>Indiquer quand une intelligence artificielle répond et expliquer comment elle prend ses décisions. Garder un contrôle humain sur les sujets sensibles.</v>
      </c>
      <c r="D27" s="244" t="str">
        <f>IF(ISBLANK('ONR 3'!D14),"",'ONR 3'!D14)</f>
      </c>
      <c r="E27" s="271" t="str">
        <f>IF(ISBLANK('ONR 3'!E14),"",'ONR 3'!E14)</f>
      </c>
      <c r="F27" s="278" t="str">
        <f>IF(ISBLANK('ONR 3'!F14),"",'ONR 3'!F14)</f>
      </c>
      <c r="G27" s="213" t="str">
        <f>IF(ISBLANK('ONR 3'!G14),"",'ONR 3'!G14)</f>
      </c>
      <c r="H27" s="214" t="str">
        <f>IF(ISBLANK('ONR 3'!H14),"",'ONR 3'!H14)</f>
      </c>
      <c r="I27" s="245" t="str">
        <f>IF(ISBLANK('ONR 3'!I14),"",'ONR 3'!I14)</f>
      </c>
      <c r="J27" s="246" t="n">
        <f>IF(ISBLANK('ONR 3'!J14),"",'ONR 3'!J14)</f>
        <v>0</v>
      </c>
      <c r="K27" s="247" t="str">
        <f>IF(ISBLANK('ONR 3'!K14),"",'ONR 3'!K14)</f>
      </c>
      <c r="L27" s="247" t="b">
        <f>IF(ISBLANK('ONR 3'!L14),"",'ONR 3'!L14)</f>
        <v>0</v>
      </c>
      <c r="M27" s="247" t="b">
        <f>IF(ISBLANK('ONR 3'!M14),"",'ONR 3'!M14)</f>
        <v>0</v>
      </c>
      <c r="N27" s="247" t="b">
        <f>IF(ISBLANK('ONR 3'!N14),"",'ONR 3'!N14)</f>
        <v>0</v>
      </c>
      <c r="O27" s="247" t="b">
        <f>IF(ISBLANK('ONR 3'!O14),"",'ONR 3'!O14)</f>
        <v>0</v>
      </c>
      <c r="P27" s="247" t="b">
        <f>IF(ISBLANK('ONR 3'!P14),"",'ONR 3'!P14)</f>
        <v>0</v>
      </c>
      <c r="Q27" s="247" t="b">
        <f>IF(ISBLANK('ONR 3'!Q14),"",'ONR 3'!Q14)</f>
        <v>0</v>
      </c>
      <c r="R27" s="247" t="b">
        <f>IF(ISBLANK('ONR 3'!R14),"",'ONR 3'!R14)</f>
        <v>0</v>
      </c>
      <c r="S27" s="248" t="str">
        <f>IF(ISBLANK('ONR 3'!S14),"",'ONR 3'!S14)</f>
      </c>
      <c r="T27" s="249" t="str">
        <f>IF(ISBLANK('ONR 3'!T14),"",'ONR 3'!T14)</f>
      </c>
      <c r="U27" s="250" t="str">
        <f>IF(ISBLANK('ONR 3'!U14),"",'ONR 3'!U14)</f>
      </c>
      <c r="V27" s="255" t="str">
        <f>IF(ISBLANK('ONR 3'!G14),"",'ONR 3'!G14)</f>
      </c>
      <c r="W27" s="215" t="str">
        <f>IF(ISBLANK('ONR 3'!V14),"",'ONR 3'!V14)</f>
      </c>
      <c r="X27" s="183" t="str">
        <f>IF(ISBLANK('ONR 3'!W14),"",'ONR 3'!W14)</f>
      </c>
      <c r="Y27" s="251" t="str">
        <f>IF(ISBLANK('ONR 3'!I14),"",'ONR 3'!I14)</f>
      </c>
      <c r="Z27" s="251" t="str">
        <f>IF(ISBLANK('ONR 3'!D14),"",'ONR 3'!D14)</f>
      </c>
      <c r="AE27" s="206" t="n">
        <f>IF(ISNUMBER(T27),0,1)</f>
        <v>1</v>
      </c>
      <c r="AF27" s="206" t="n">
        <f>IF(L27=TRUE,1,0)</f>
        <v>0</v>
      </c>
      <c r="AG27" s="206" t="n">
        <f>IF(M27=TRUE,1,0)</f>
        <v>0</v>
      </c>
      <c r="AH27" s="206" t="n">
        <f>IF(N27=TRUE,1,0)</f>
        <v>0</v>
      </c>
      <c r="AI27" s="206" t="n">
        <f>IF(O27=TRUE,1,0)</f>
        <v>0</v>
      </c>
      <c r="AJ27" s="206" t="n">
        <f>IF(P27=TRUE,1,0)</f>
        <v>0</v>
      </c>
      <c r="AK27" s="206" t="n">
        <f>IF(Q27=TRUE,1,0)</f>
        <v>0</v>
      </c>
      <c r="AL27" s="206" t="n">
        <f>IF(R27=TRUE,1,0)</f>
        <v>0</v>
      </c>
      <c r="AM27" t="n">
        <f>IF(LEN(TRIM(W27))&gt;0,1,0)</f>
        <v>0</v>
      </c>
    </row>
    <row r="28" spans="1:38" s="116" customFormat="1" ht="23" thickBot="1">
      <c r="A28" s="115"/>
      <c r="B28" s="362" t="str">
        <f>'ONR 4'!B2</f>
        <v>ONR 4 : Résilience et stratégie · Utiliser le numérique responsable pour aider l’organisation à faire face aux difficultés et à s’adapter</v>
      </c>
      <c r="C28" s="363"/>
      <c r="D28" s="363"/>
      <c r="E28" s="363"/>
      <c r="F28" s="363"/>
      <c r="G28" s="363"/>
      <c r="H28" s="363"/>
      <c r="I28" s="363"/>
      <c r="J28" s="363"/>
      <c r="K28" s="363"/>
      <c r="L28" s="363"/>
      <c r="M28" s="363"/>
      <c r="N28" s="363"/>
      <c r="O28" s="363"/>
      <c r="P28" s="363"/>
      <c r="Q28" s="363"/>
      <c r="R28" s="363"/>
      <c r="S28" s="363"/>
      <c r="T28" s="363"/>
      <c r="U28" s="363"/>
      <c r="V28" s="363"/>
      <c r="W28" s="363"/>
      <c r="X28" s="363"/>
      <c r="Y28" s="363"/>
      <c r="Z28" s="380"/>
      <c r="AB28" s="116" t="str">
        <f>B28</f>
        <v>ONR 4 : Résilience et stratégie · Utiliser le numérique responsable pour aider l’organisation à faire face aux difficultés et à s’adapter</v>
      </c>
      <c r="AC28" s="116" t="n">
        <f>COUNTA('ONR 4'!B7:B10)</f>
        <v>4</v>
      </c>
      <c r="AD28" s="116" t="n">
        <f>COUNT(T29:T32)</f>
        <v>0</v>
      </c>
      <c r="AE28" s="117" t="n">
        <f>SUM(AE29:AE32)</f>
        <v>4</v>
      </c>
      <c r="AF28" s="117" t="n">
        <f>SUM(AF29:AF32)</f>
        <v>0</v>
      </c>
      <c r="AG28" s="117" t="n">
        <f>SUM(AG29:AG32)</f>
        <v>0</v>
      </c>
      <c r="AH28" s="117" t="n">
        <f>SUM(AH29:AH32)</f>
        <v>0</v>
      </c>
      <c r="AI28" s="117" t="n">
        <f>SUM(AI29:AI32)</f>
        <v>0</v>
      </c>
      <c r="AJ28" s="117" t="n">
        <f>SUM(AJ29:AJ32)</f>
        <v>0</v>
      </c>
      <c r="AK28" s="117" t="n">
        <f>SUM(AK29:AK32)</f>
        <v>0</v>
      </c>
      <c r="AL28" s="117" t="n">
        <f>SUM(AL29:AL32)</f>
        <v>0</v>
      </c>
    </row>
    <row r="29" spans="1:38" s="205" customFormat="1" ht="57">
      <c r="A29" s="199"/>
      <c r="B29" s="218" t="str">
        <f>IF(ISBLANK('ONR 4'!B7),"",'ONR 4'!B7)</f>
        <v>4.1</v>
      </c>
      <c r="C29" s="218" t="str">
        <f>IF(ISBLANK('ONR 4'!C7),"",'ONR 4'!C7)</f>
        <v>Suivre des normes communes pour recueillir, regrouper, analyser et partager les données sur les effets des technologies de l’information et de la communication (TIC).</v>
      </c>
      <c r="D29" s="223" t="str">
        <f>IF(ISBLANK('ONR 4'!D7),"",'ONR 4'!D7)</f>
      </c>
      <c r="E29" s="267" t="str">
        <f>IF(ISBLANK('ONR 4'!E7),"",'ONR 4'!E7)</f>
      </c>
      <c r="F29" s="274" t="str">
        <f>IF(ISBLANK('ONR 4'!F7),"",'ONR 4'!F7)</f>
      </c>
      <c r="G29" s="200" t="str">
        <f>IF(ISBLANK('ONR 4'!G7),"",'ONR 4'!G7)</f>
      </c>
      <c r="H29" s="202" t="str">
        <f>IF(ISBLANK('ONR 4'!H7),"",'ONR 4'!H7)</f>
      </c>
      <c r="I29" s="225" t="str">
        <f>IF(ISBLANK('ONR 4'!I7),"",'ONR 4'!I7)</f>
      </c>
      <c r="J29" s="218" t="str">
        <f>IF(ISBLANK('ONR 4'!J7),"",'ONR 4'!J7)</f>
      </c>
      <c r="K29" s="227" t="str">
        <f t="shared" ref="K29:K30" si="79">IF(ISBLANK('ONR 4'!K7),"",'ONR 4'!K7)</f>
      </c>
      <c r="L29" s="227" t="b">
        <f>IF(ISBLANK('ONR 4'!L7),"",'ONR 4'!L7)</f>
        <v>0</v>
      </c>
      <c r="M29" s="227" t="b">
        <f>IF(ISBLANK('ONR 4'!M7),"",'ONR 4'!M7)</f>
        <v>0</v>
      </c>
      <c r="N29" s="227" t="b">
        <f>IF(ISBLANK('ONR 4'!N7),"",'ONR 4'!N7)</f>
        <v>0</v>
      </c>
      <c r="O29" s="227" t="b">
        <f>IF(ISBLANK('ONR 4'!O7),"",'ONR 4'!O7)</f>
        <v>0</v>
      </c>
      <c r="P29" s="227" t="b">
        <f>IF(ISBLANK('ONR 4'!P7),"",'ONR 4'!P7)</f>
        <v>0</v>
      </c>
      <c r="Q29" s="227" t="b">
        <f>IF(ISBLANK('ONR 4'!Q7),"",'ONR 4'!Q7)</f>
        <v>0</v>
      </c>
      <c r="R29" s="227" t="b">
        <f>IF(ISBLANK('ONR 4'!R7),"",'ONR 4'!R7)</f>
        <v>0</v>
      </c>
      <c r="S29" s="228" t="str">
        <f t="shared" ref="S29:S30" si="80">IF(ISBLANK('ONR 4'!S7),"",'ONR 4'!S7)</f>
      </c>
      <c r="T29" s="226" t="str">
        <f t="shared" ref="T29" si="81">IF(ISBLANK('ONR 4'!T7),"",'ONR 4'!T7)</f>
      </c>
      <c r="U29" s="242" t="str">
        <f t="shared" ref="U29" si="82">IF(ISBLANK('ONR 4'!U7),"",'ONR 4'!U7)</f>
      </c>
      <c r="V29" s="229" t="str">
        <f>IF(ISBLANK('ONR 4'!G7),"",'ONR 4'!G7)</f>
      </c>
      <c r="W29" s="203" t="str">
        <f>IF(ISBLANK('ONR 4'!V7),"",'ONR 4'!V7)</f>
      </c>
      <c r="X29" s="204" t="str">
        <f>IF(ISBLANK('ONR 4'!W7),"",'ONR 4'!W7)</f>
      </c>
      <c r="Y29" s="230" t="str">
        <f>IF(ISBLANK('ONR 4'!I7),"",'ONR 4'!I7)</f>
      </c>
      <c r="Z29" s="230" t="str">
        <f>IF(ISBLANK('ONR 4'!D7),"",'ONR 4'!D7)</f>
      </c>
      <c r="AE29" s="206" t="n">
        <f>IF(ISNUMBER(T29),0,1)</f>
        <v>1</v>
      </c>
      <c r="AF29" s="206" t="n">
        <f t="shared" ref="AF29:AL32" si="83">IF(L29=TRUE,1,0)</f>
        <v>0</v>
      </c>
      <c r="AG29" s="206" t="n">
        <f t="shared" si="83">IF(M29=TRUE,1,0)</f>
        <v>0</v>
      </c>
      <c r="AH29" s="206" t="n">
        <f t="shared" si="83">IF(N29=TRUE,1,0)</f>
        <v>0</v>
      </c>
      <c r="AI29" s="206" t="n">
        <f t="shared" si="83">IF(O29=TRUE,1,0)</f>
        <v>0</v>
      </c>
      <c r="AJ29" s="206" t="n">
        <f t="shared" si="83">IF(P29=TRUE,1,0)</f>
        <v>0</v>
      </c>
      <c r="AK29" s="206" t="n">
        <f t="shared" si="83">IF(Q29=TRUE,1,0)</f>
        <v>0</v>
      </c>
      <c r="AL29" s="206" t="n">
        <f t="shared" si="83">IF(R29=TRUE,1,0)</f>
        <v>0</v>
      </c>
      <c r="AM29" t="n">
        <f>IF(LEN(TRIM(W29))&gt;0,1,0)</f>
        <v>0</v>
      </c>
    </row>
    <row r="30" spans="1:38" s="205" customFormat="1" ht="57">
      <c r="A30" s="199"/>
      <c r="B30" s="219" t="str">
        <f>IF(ISBLANK('ONR 4'!B8),"",'ONR 4'!B8)</f>
        <v>4.2</v>
      </c>
      <c r="C30" s="219" t="str">
        <f>IF(ISBLANK('ONR 4'!C8),"",'ONR 4'!C8)</f>
        <v>Évaluer les services numériques au fil du temps et partager les résultats.</v>
      </c>
      <c r="D30" s="231" t="str">
        <f>IF(ISBLANK('ONR 4'!D8),"",'ONR 4'!D8)</f>
      </c>
      <c r="E30" s="268" t="str">
        <f>IF(ISBLANK('ONR 4'!E8),"",'ONR 4'!E8)</f>
      </c>
      <c r="F30" s="275" t="str">
        <f>IF(ISBLANK('ONR 4'!F8),"",'ONR 4'!F8)</f>
      </c>
      <c r="G30" s="207" t="str">
        <f>IF(ISBLANK('ONR 4'!G8),"",'ONR 4'!G8)</f>
      </c>
      <c r="H30" s="201" t="str">
        <f>IF(ISBLANK('ONR 4'!H8),"",'ONR 4'!H8)</f>
      </c>
      <c r="I30" s="224" t="str">
        <f>IF(ISBLANK('ONR 4'!I8),"",'ONR 4'!I8)</f>
      </c>
      <c r="J30" s="219" t="str">
        <f t="shared" ref="J30:J38" si="84">IF(ISBLANK('ONR 4'!J8),"",'ONR 4'!J8)</f>
      </c>
      <c r="K30" s="233" t="str">
        <f t="shared" si="79">IF(ISBLANK('ONR 4'!K8),"",'ONR 4'!K8)</f>
      </c>
      <c r="L33" s="233">
        <f t="shared" ref="L33" si="85">OR(K30=31)</f>
      </c>
      <c r="L30" t="b" s="227">
        <f>IF(ISBLANK('ONR 4'!L8),"",'ONR 4'!L8)</f>
        <v>0</v>
      </c>
      <c r="M30" s="233" t="b">
        <f t="shared" ref="M30" si="86">IF(ISBLANK('ONR 4'!M8),"",'ONR 4'!M8)</f>
        <v>0</v>
      </c>
      <c r="N30" s="233" t="b">
        <f t="shared" ref="N30" si="87">IF(ISBLANK('ONR 4'!N8),"",'ONR 4'!N8)</f>
        <v>0</v>
      </c>
      <c r="O30" s="233" t="b">
        <f t="shared" ref="O30" si="88">IF(ISBLANK('ONR 4'!O8),"",'ONR 4'!O8)</f>
        <v>0</v>
      </c>
      <c r="P30" s="233" t="b">
        <f t="shared" ref="P30" si="89">IF(ISBLANK('ONR 4'!P8),"",'ONR 4'!P8)</f>
        <v>0</v>
      </c>
      <c r="Q30" s="233" t="b">
        <f t="shared" ref="Q30" si="90">IF(ISBLANK('ONR 4'!Q8),"",'ONR 4'!Q8)</f>
        <v>0</v>
      </c>
      <c r="R30" s="233" t="b">
        <f t="shared" ref="R30" si="91">IF(ISBLANK('ONR 4'!R8),"",'ONR 4'!R8)</f>
        <v>0</v>
      </c>
      <c r="S30" s="234" t="str">
        <f t="shared" si="80">IF(ISBLANK('ONR 4'!S8),"",'ONR 4'!S8)</f>
      </c>
      <c r="T33" s="232">
        <f t="shared" si="81"/>
      </c>
      <c r="T30" t="str" s="226">
        <f>IF(ISBLANK('ONR 4'!T8),"",'ONR 4'!T8)</f>
      </c>
      <c r="U33" s="243">
        <f t="shared" si="82"/>
      </c>
      <c r="U30" t="str" s="242">
        <f>IF(ISBLANK('ONR 4'!U8),"",'ONR 4'!U8)</f>
      </c>
      <c r="V33" s="235">
        <f>G30</f>
      </c>
      <c r="V30" t="str" s="229">
        <f>IF(ISBLANK('ONR 4'!G8),"",'ONR 4'!G8)</f>
      </c>
      <c r="W30" s="142" t="str">
        <f>IF(ISBLANK('ONR 4'!V8),"",'ONR 4'!V8)</f>
      </c>
      <c r="X30" s="204" t="str">
        <f>IF(ISBLANK('ONR 4'!W8),"",'ONR 4'!W8)</f>
      </c>
      <c r="Y30" s="236" t="str">
        <f>IF(ISBLANK('ONR 4'!I8),"",'ONR 4'!I8)</f>
      </c>
      <c r="Z30" s="236" t="str">
        <f>IF(ISBLANK('ONR 4'!D8),"",'ONR 4'!D8)</f>
      </c>
      <c r="AE30" s="206" t="n">
        <f>IF(ISNUMBER(T30),0,1)</f>
        <v>1</v>
      </c>
      <c r="AF30" s="206" t="n">
        <f t="shared" si="83">IF(L30=TRUE,1,0)</f>
        <v>0</v>
      </c>
      <c r="AG30" s="206" t="n">
        <f t="shared" si="83">IF(M30=TRUE,1,0)</f>
        <v>0</v>
      </c>
      <c r="AH30" s="206" t="n">
        <f t="shared" si="83">IF(N30=TRUE,1,0)</f>
        <v>0</v>
      </c>
      <c r="AI30" s="206" t="n">
        <f t="shared" si="83">IF(O30=TRUE,1,0)</f>
        <v>0</v>
      </c>
      <c r="AJ30" s="206" t="n">
        <f t="shared" si="83">IF(P30=TRUE,1,0)</f>
        <v>0</v>
      </c>
      <c r="AK30" s="206" t="n">
        <f t="shared" si="83">IF(Q30=TRUE,1,0)</f>
        <v>0</v>
      </c>
      <c r="AL30" s="206" t="n">
        <f t="shared" si="83">IF(R30=TRUE,1,0)</f>
        <v>0</v>
      </c>
      <c r="AM30" t="n">
        <f>IF(LEN(TRIM(W30))&gt;0,1,0)</f>
        <v>0</v>
      </c>
    </row>
    <row r="31" spans="1:38" s="205" customFormat="1" ht="57">
      <c r="A31" s="199"/>
      <c r="B31" s="219" t="str">
        <f>IF(ISBLANK('ONR 4'!B9),"",'ONR 4'!B9)</f>
        <v>4.3</v>
      </c>
      <c r="C31" s="219" t="str">
        <f>IF(ISBLANK('ONR 4'!C9),"",'ONR 4'!C9)</f>
        <v>Innover en utilisant de nouveaux outils numériques. Évaluer leurs effets et expliquer les résultats aux personnes qui les utilisent.</v>
      </c>
      <c r="D31" s="231" t="str">
        <f>IF(ISBLANK('ONR 4'!D9),"",'ONR 4'!D9)</f>
      </c>
      <c r="E31" s="268" t="str">
        <f>IF(ISBLANK('ONR 4'!E9),"",'ONR 4'!E9)</f>
      </c>
      <c r="F31" s="275" t="str">
        <f>IF(ISBLANK('ONR 4'!F9),"",'ONR 4'!F9)</f>
      </c>
      <c r="G31" s="207" t="str">
        <f>IF(ISBLANK('ONR 4'!G9),"",'ONR 4'!G9)</f>
      </c>
      <c r="H31" s="201" t="str">
        <f>IF(ISBLANK('ONR 4'!H9),"",'ONR 4'!H9)</f>
      </c>
      <c r="I31" s="224" t="str">
        <f>IF(ISBLANK('ONR 4'!I9),"",'ONR 4'!I9)</f>
      </c>
      <c r="J31" s="219" t="str">
        <f t="shared" ref="J31:J32" si="92">IF(ISBLANK('ONR 4'!J9),"",'ONR 4'!J9)</f>
      </c>
      <c r="K31" s="233" t="str">
        <f t="shared" ref="K31:K35" si="93">IF(ISBLANK('ONR 4'!K9),"",'ONR 4'!K9)</f>
      </c>
      <c r="L31" s="233" t="b">
        <f t="shared" ref="L31:L35" si="94">IF(ISBLANK('ONR 4'!L9),"",'ONR 4'!L9)</f>
        <v>0</v>
      </c>
      <c r="M31" s="233" t="b">
        <f t="shared" ref="M31" si="95">IF(ISBLANK('ONR 4'!M9),"",'ONR 4'!M9)</f>
        <v>0</v>
      </c>
      <c r="N31" s="233" t="b">
        <f t="shared" ref="N31" si="96">IF(ISBLANK('ONR 4'!N9),"",'ONR 4'!N9)</f>
        <v>0</v>
      </c>
      <c r="O31" s="233" t="b">
        <f t="shared" ref="O31" si="97">IF(ISBLANK('ONR 4'!O9),"",'ONR 4'!O9)</f>
        <v>0</v>
      </c>
      <c r="P31" s="233" t="b">
        <f t="shared" ref="P31" si="98">IF(ISBLANK('ONR 4'!P9),"",'ONR 4'!P9)</f>
        <v>0</v>
      </c>
      <c r="Q31" s="233" t="b">
        <f t="shared" ref="Q31" si="99">IF(ISBLANK('ONR 4'!Q9),"",'ONR 4'!Q9)</f>
        <v>0</v>
      </c>
      <c r="R31" s="233" t="b">
        <f t="shared" ref="R31" si="100">IF(ISBLANK('ONR 4'!R9),"",'ONR 4'!R9)</f>
        <v>0</v>
      </c>
      <c r="S31" s="234" t="str">
        <f t="shared" ref="S31" si="101">IF(ISBLANK('ONR 4'!S9),"",'ONR 4'!S9)</f>
      </c>
      <c r="T31" s="232" t="str">
        <f t="shared" ref="T31:T35" si="102">IF(ISBLANK('ONR 4'!T9),"",'ONR 4'!T9)</f>
      </c>
      <c r="U31" s="243" t="str">
        <f t="shared" ref="U31:U35" si="103">IF(ISBLANK('ONR 4'!U9),"",'ONR 4'!U9)</f>
      </c>
      <c r="V31" s="235" t="str">
        <f>IF(ISBLANK('ONR 4'!G9),"",'ONR 4'!G9)</f>
      </c>
      <c r="W31" s="142" t="str">
        <f>IF(ISBLANK('ONR 4'!V9),"",'ONR 4'!V9)</f>
      </c>
      <c r="X31" s="204" t="str">
        <f>IF(ISBLANK('ONR 4'!W9),"",'ONR 4'!W9)</f>
      </c>
      <c r="Y31" s="236" t="str">
        <f>IF(ISBLANK('ONR 4'!I9),"",'ONR 4'!I9)</f>
      </c>
      <c r="Z31" s="236" t="str">
        <f>IF(ISBLANK('ONR 4'!D9),"",'ONR 4'!D9)</f>
      </c>
      <c r="AE31" s="206" t="n">
        <f>IF(ISNUMBER(T31),0,1)</f>
        <v>1</v>
      </c>
      <c r="AF31" s="206" t="n">
        <f t="shared" si="83">IF(L31=TRUE,1,0)</f>
        <v>0</v>
      </c>
      <c r="AG31" s="206" t="n">
        <f t="shared" si="83">IF(M31=TRUE,1,0)</f>
        <v>0</v>
      </c>
      <c r="AH31" s="206" t="n">
        <f t="shared" si="83">IF(N31=TRUE,1,0)</f>
        <v>0</v>
      </c>
      <c r="AI31" s="206" t="n">
        <f t="shared" si="83">IF(O31=TRUE,1,0)</f>
        <v>0</v>
      </c>
      <c r="AJ31" s="206" t="n">
        <f t="shared" si="83">IF(P31=TRUE,1,0)</f>
        <v>0</v>
      </c>
      <c r="AK31" s="206" t="n">
        <f t="shared" si="83">IF(Q31=TRUE,1,0)</f>
        <v>0</v>
      </c>
      <c r="AL31" s="206" t="n">
        <f t="shared" si="83">IF(R31=TRUE,1,0)</f>
        <v>0</v>
      </c>
      <c r="AM31" t="n">
        <f>IF(LEN(TRIM(W31))&gt;0,1,0)</f>
        <v>0</v>
      </c>
    </row>
    <row r="32" spans="1:38" s="205" customFormat="1" ht="20" thickBot="1">
      <c r="A32" s="199"/>
      <c r="B32" s="219" t="str">
        <f>IF(ISBLANK('ONR 4'!B10),"",'ONR 4'!B10)</f>
        <v>4.4</v>
      </c>
      <c r="C32" s="219" t="str">
        <f>IF(ISBLANK('ONR 4'!C10),"",'ONR 4'!C10)</f>
        <v>Renforcer la souveraineté numérique : garder la maîtrise de nos choix, de nos outils et de nos données.</v>
      </c>
      <c r="D32" s="231" t="str">
        <f>IF(ISBLANK('ONR 4'!D10),"",'ONR 4'!D10)</f>
      </c>
      <c r="E32" s="268" t="str">
        <f>IF(ISBLANK('ONR 4'!E10),"",'ONR 4'!E10)</f>
      </c>
      <c r="F32" s="275" t="str">
        <f>IF(ISBLANK('ONR 4'!F10),"",'ONR 4'!F10)</f>
      </c>
      <c r="G32" s="207" t="str">
        <f>IF(ISBLANK('ONR 4'!G10),"",'ONR 4'!G10)</f>
      </c>
      <c r="H32" s="201" t="str">
        <f>IF(ISBLANK('ONR 4'!H10),"",'ONR 4'!H10)</f>
      </c>
      <c r="I32" s="224" t="str">
        <f>IF(ISBLANK('ONR 4'!I10),"",'ONR 4'!I10)</f>
      </c>
      <c r="J32" s="219" t="n">
        <f t="shared" si="92">IF(ISBLANK('ONR 4'!J10),"",'ONR 4'!J10)</f>
        <v>0</v>
      </c>
      <c r="K35" s="233" t="str">
        <f t="shared" si="93">IF(ISBLANK('ONR 5'!K8),"",'ONR 5'!K8)</f>
      </c>
      <c r="K32" t="str" s="233">
        <f>IF(ISBLANK('ONR 4'!K10),"",'ONR 4'!K10)</f>
      </c>
      <c r="L35" s="233" t="b">
        <f t="shared" si="94">IF(ISBLANK('ONR 5'!L8),"",'ONR 5'!L8)</f>
        <v>0</v>
      </c>
      <c r="L32" t="b" s="233">
        <f>IF(ISBLANK('ONR 4'!L10),"",'ONR 4'!L10)</f>
        <v>0</v>
      </c>
      <c r="M35" s="233" t="b">
        <f t="shared" si="95"/>
        <v>0</v>
      </c>
      <c r="M32" t="b" s="233">
        <f>IF(ISBLANK('ONR 4'!M10),"",'ONR 4'!M10)</f>
        <v>0</v>
      </c>
      <c r="N35" s="233" t="b">
        <f t="shared" si="96"/>
        <v>0</v>
      </c>
      <c r="N32" t="b" s="233">
        <f>IF(ISBLANK('ONR 4'!N10),"",'ONR 4'!N10)</f>
        <v>0</v>
      </c>
      <c r="O35" s="233" t="b">
        <f t="shared" si="97"/>
        <v>0</v>
      </c>
      <c r="O32" t="b" s="233">
        <f>IF(ISBLANK('ONR 4'!O10),"",'ONR 4'!O10)</f>
        <v>0</v>
      </c>
      <c r="P35" s="233" t="b">
        <f t="shared" si="98"/>
        <v>0</v>
      </c>
      <c r="P32" t="b" s="233">
        <f>IF(ISBLANK('ONR 4'!P10),"",'ONR 4'!P10)</f>
        <v>0</v>
      </c>
      <c r="Q35" s="233" t="b">
        <f t="shared" si="99"/>
        <v>0</v>
      </c>
      <c r="Q32" t="b" s="233">
        <f>IF(ISBLANK('ONR 4'!Q10),"",'ONR 4'!Q10)</f>
        <v>0</v>
      </c>
      <c r="R35" s="233" t="b">
        <f t="shared" si="100"/>
        <v>0</v>
      </c>
      <c r="R32" t="b" s="233">
        <f>IF(ISBLANK('ONR 4'!R10),"",'ONR 4'!R10)</f>
        <v>0</v>
      </c>
      <c r="S35" s="234" t="str">
        <f t="shared" si="101"/>
      </c>
      <c r="S32" t="str" s="234">
        <f>IF(ISBLANK('ONR 4'!S10),"",'ONR 4'!S10)</f>
      </c>
      <c r="T35" s="232" t="str">
        <f t="shared" si="102">IF(ISBLANK('ONR 5'!T8),"",'ONR 5'!T8)</f>
      </c>
      <c r="T32" t="str" s="232">
        <f>IF(ISBLANK('ONR 4'!T10),"",'ONR 4'!T10)</f>
      </c>
      <c r="U35" s="243" t="str">
        <f t="shared" si="103">IF(ISBLANK('ONR 5'!U8),"",'ONR 5'!U8)</f>
      </c>
      <c r="U32" t="str" s="243">
        <f>IF(ISBLANK('ONR 4'!U10),"",'ONR 4'!U10)</f>
      </c>
      <c r="V35" s="235" t="str">
        <f>IF(ISBLANK('ONR 5'!G8),"",'ONR 5'!G8)</f>
      </c>
      <c r="V32" t="str" s="235">
        <f>IF(ISBLANK('ONR 4'!G10),"",'ONR 4'!G10)</f>
      </c>
      <c r="W32" s="142" t="str">
        <f>IF(ISBLANK('ONR 4'!V10),"",'ONR 4'!V10)</f>
      </c>
      <c r="X32" s="204" t="str">
        <f>IF(ISBLANK('ONR 4'!W10),"",'ONR 4'!W10)</f>
      </c>
      <c r="Y32" s="236" t="str">
        <f>IF(ISBLANK('ONR 4'!I10),"",'ONR 4'!I10)</f>
      </c>
      <c r="Z32" s="236" t="str">
        <f>IF(ISBLANK('ONR 4'!D10),"",'ONR 4'!D10)</f>
      </c>
      <c r="AE32" s="206" t="n">
        <f>IF(ISNUMBER(T32),0,1)</f>
        <v>1</v>
      </c>
      <c r="AF32" s="206" t="n">
        <f t="shared" si="83">IF(L32=TRUE,1,0)</f>
        <v>0</v>
      </c>
      <c r="AG32" s="206" t="n">
        <f t="shared" si="83">IF(M32=TRUE,1,0)</f>
        <v>0</v>
      </c>
      <c r="AH32" s="206" t="n">
        <f t="shared" si="83">IF(N32=TRUE,1,0)</f>
        <v>0</v>
      </c>
      <c r="AI32" s="206" t="n">
        <f t="shared" si="83">IF(O32=TRUE,1,0)</f>
        <v>0</v>
      </c>
      <c r="AJ32" s="206" t="n">
        <f t="shared" si="83">IF(P32=TRUE,1,0)</f>
        <v>0</v>
      </c>
      <c r="AK32" s="206" t="n">
        <f t="shared" si="83">IF(Q32=TRUE,1,0)</f>
        <v>0</v>
      </c>
      <c r="AL32" s="206" t="n">
        <f t="shared" si="83">IF(R32=TRUE,1,0)</f>
        <v>0</v>
      </c>
      <c r="AM32" t="n">
        <f>IF(LEN(TRIM(W32))&gt;0,1,0)</f>
        <v>0</v>
      </c>
    </row>
    <row r="33" spans="1:38" s="116" customFormat="1" ht="23" thickBot="1">
      <c r="A33" s="115"/>
      <c r="B33" s="362" t="str">
        <f>'ONR 5'!B2</f>
        <v>ONR 5 : Management · Donner du sens au travail et préserver les personnes et les ressources nécessaires à nos activités</v>
      </c>
      <c r="C33" s="363"/>
      <c r="D33" s="363"/>
      <c r="E33" s="363"/>
      <c r="F33" s="363"/>
      <c r="G33" s="363"/>
      <c r="H33" s="363"/>
      <c r="I33" s="363"/>
      <c r="J33" s="363"/>
      <c r="K33" s="363"/>
      <c r="L33" s="363"/>
      <c r="M33" s="363"/>
      <c r="N33" s="363"/>
      <c r="O33" s="363"/>
      <c r="P33" s="363"/>
      <c r="Q33" s="363"/>
      <c r="R33" s="363"/>
      <c r="S33" s="363"/>
      <c r="T33" s="363"/>
      <c r="U33" s="363"/>
      <c r="V33" s="363"/>
      <c r="W33" s="363"/>
      <c r="X33" s="363"/>
      <c r="Y33" s="363"/>
      <c r="Z33" s="364"/>
      <c r="AB33" s="116" t="str">
        <f>B33</f>
        <v>ONR 5 : Management · Donner du sens au travail et préserver les personnes et les ressources nécessaires à nos activités</v>
      </c>
      <c r="AC33" s="116" t="n">
        <f>COUNTA('ONR 5'!B7:B13)</f>
        <v>7</v>
      </c>
      <c r="AD33" s="116" t="n">
        <f>COUNT(T34:T40)</f>
        <v>0</v>
      </c>
      <c r="AE33" s="117" t="n">
        <f>SUM(AE34:AE40)</f>
        <v>7</v>
      </c>
      <c r="AF33" s="117" t="n">
        <f>SUM(AF34:AF40)</f>
        <v>0</v>
      </c>
      <c r="AG33" s="117" t="n">
        <f>SUM(AG34:AG40)</f>
        <v>0</v>
      </c>
      <c r="AH33" s="117" t="n">
        <f>SUM(AH34:AH40)</f>
        <v>0</v>
      </c>
      <c r="AI33" s="117" t="n">
        <f>SUM(AI34:AI40)</f>
        <v>0</v>
      </c>
      <c r="AJ33" s="117" t="n">
        <f>SUM(AJ34:AJ40)</f>
        <v>0</v>
      </c>
      <c r="AK33" s="117" t="n">
        <f>SUM(AK34:AK40)</f>
        <v>0</v>
      </c>
      <c r="AL33" s="117" t="n">
        <f>SUM(AL34:AL40)</f>
        <v>0</v>
      </c>
    </row>
    <row r="34" spans="1:38" s="205" customFormat="1" ht="38">
      <c r="A34" s="199"/>
      <c r="B34" s="218" t="str">
        <f>IF(ISBLANK('ONR 5'!B7),"",'ONR 5'!B7)</f>
        <v>5.1</v>
      </c>
      <c r="C34" s="218" t="str">
        <f>IF(ISBLANK('ONR 5'!C7),"",'ONR 5'!C7)</f>
        <v>Concevoir les systèmes et les services numériques en intégrant de nouvelles façons de répondre aux besoins sociaux.</v>
      </c>
      <c r="D34" s="223" t="str">
        <f>IF(ISBLANK('ONR 5'!D7),"",'ONR 5'!D7)</f>
      </c>
      <c r="E34" s="272" t="str">
        <f>IF(ISBLANK('ONR 5'!E7),"",'ONR 5'!E7)</f>
      </c>
      <c r="F34" s="279" t="str">
        <f>IF(ISBLANK('ONR 5'!F7),"",'ONR 5'!F7)</f>
      </c>
      <c r="G34" s="200" t="str">
        <f>IF(ISBLANK('ONR 5'!G7),"",'ONR 5'!G7)</f>
      </c>
      <c r="H34" s="216" t="str">
        <f>IF(ISBLANK('ONR 5'!H7),"",'ONR 5'!H7)</f>
      </c>
      <c r="I34" s="225" t="str">
        <f>IF(ISBLANK('ONR 5'!I7),"",'ONR 5'!I7)</f>
      </c>
      <c r="J34" s="220" t="str">
        <f t="shared" si="84">IF(ISBLANK('ONR 5'!J7),"",'ONR 5'!J7)</f>
      </c>
      <c r="K37" s="227" t="str">
        <f t="shared" ref="K37:K38" si="105">E34*10+F34</f>
      </c>
      <c r="K34" t="str" s="363">
        <f>IF(ISBLANK('ONR 5'!K7),"",'ONR 5'!K7)</f>
      </c>
      <c r="L34" s="227" t="b">
        <f>IF(ISBLANK('ONR 5'!L7),"",'ONR 5'!L7)</f>
        <v>0</v>
      </c>
      <c r="M34" s="227" t="b">
        <f>IF(ISBLANK('ONR 5'!M7),"",'ONR 5'!M7)</f>
        <v>0</v>
      </c>
      <c r="N34" s="227" t="b">
        <f>IF(ISBLANK('ONR 5'!N7),"",'ONR 5'!N7)</f>
        <v>0</v>
      </c>
      <c r="O34" s="227" t="b">
        <f>IF(ISBLANK('ONR 5'!O7),"",'ONR 5'!O7)</f>
        <v>0</v>
      </c>
      <c r="P34" s="227" t="b">
        <f>IF(ISBLANK('ONR 5'!P7),"",'ONR 5'!P7)</f>
        <v>0</v>
      </c>
      <c r="Q34" s="227" t="b">
        <f>IF(ISBLANK('ONR 5'!Q7),"",'ONR 5'!Q7)</f>
        <v>0</v>
      </c>
      <c r="R34" s="227" t="b">
        <f>IF(ISBLANK('ONR 5'!R7),"",'ONR 5'!R7)</f>
        <v>0</v>
      </c>
      <c r="S34" s="228" t="str">
        <f t="shared" ref="S34:S38" si="106">IF(ISBLANK('ONR 5'!S7),"",'ONR 5'!S7)</f>
      </c>
      <c r="T34" s="226" t="str">
        <f t="shared" ref="T34:T38" si="107">IF(ISBLANK('ONR 5'!T7),"",'ONR 5'!T7)</f>
      </c>
      <c r="U34" s="242" t="str">
        <f t="shared" ref="U34:U38" si="108">IF(ISBLANK('ONR 5'!U7),"",'ONR 5'!U7)</f>
      </c>
      <c r="V34" s="229" t="str">
        <f t="shared" ref="V34:V38" si="109">IF(ISBLANK('ONR 5'!G7),"",'ONR 5'!G7)</f>
      </c>
      <c r="W34" s="203" t="str">
        <f>IF(ISBLANK('ONR 5'!V7),"",'ONR 5'!V7)</f>
      </c>
      <c r="X34" s="204" t="str">
        <f>IF(ISBLANK('ONR 5'!W7),"",'ONR 5'!W7)</f>
      </c>
      <c r="Y34" s="257" t="str">
        <f t="shared" ref="Y34:Y38" si="110">IF(ISBLANK('ONR 5'!I7),"",'ONR 5'!I7)</f>
      </c>
      <c r="Z34" s="256" t="str">
        <f>IF(ISBLANK('ONR 5'!D7),"",'ONR 5'!D7)</f>
      </c>
      <c r="AE34" s="206" t="n">
        <f t="shared" ref="AE34:AE38" si="111">IF(ISNUMBER(T34),0,1)</f>
        <v>1</v>
      </c>
      <c r="AF34" s="206" t="n">
        <f t="shared" ref="AF34:AF38" si="112">IF(L34=TRUE,1,0)</f>
        <v>0</v>
      </c>
      <c r="AG34" s="206" t="n">
        <f t="shared" ref="AG34:AG38" si="113">IF(M34=TRUE,1,0)</f>
        <v>0</v>
      </c>
      <c r="AH34" s="206" t="n">
        <f t="shared" ref="AH34:AH38" si="114">IF(N34=TRUE,1,0)</f>
        <v>0</v>
      </c>
      <c r="AI34" s="206" t="n">
        <f t="shared" ref="AI34:AI38" si="115">IF(O34=TRUE,1,0)</f>
        <v>0</v>
      </c>
      <c r="AJ34" s="206" t="n">
        <f t="shared" ref="AJ34:AJ38" si="116">IF(P34=TRUE,1,0)</f>
        <v>0</v>
      </c>
      <c r="AK34" s="206" t="n">
        <f t="shared" ref="AK34:AK38" si="117">IF(Q34=TRUE,1,0)</f>
        <v>0</v>
      </c>
      <c r="AL34" s="206" t="n">
        <f t="shared" ref="AL34:AL38" si="118">IF(R34=TRUE,1,0)</f>
        <v>0</v>
      </c>
      <c r="AM34" t="n">
        <f>IF(LEN(TRIM(W34))&gt;0,1,0)</f>
        <v>0</v>
      </c>
    </row>
    <row r="35" spans="1:38" s="205" customFormat="1" ht="38">
      <c r="A35" s="199"/>
      <c r="B35" s="219" t="str">
        <f>IF(ISBLANK('ONR 5'!B8),"",'ONR 5'!B8)</f>
        <v>5.2</v>
      </c>
      <c r="C35" s="218" t="str">
        <f>IF(ISBLANK('ONR 5'!C8),"",'ONR 5'!C8)</f>
        <v>Faire connaître et soutenir les initiatives des équipes qui encouragent l’engagement, la coopération entre services et le bien-être au travail.</v>
      </c>
      <c r="D35" s="231" t="str">
        <f>IF(ISBLANK('ONR 5'!D8),"",'ONR 5'!D8)</f>
      </c>
      <c r="E35" s="272" t="str">
        <f>IF(ISBLANK('ONR 5'!E8),"",'ONR 5'!E8)</f>
      </c>
      <c r="F35" s="279" t="str">
        <f>IF(ISBLANK('ONR 5'!F8),"",'ONR 5'!F8)</f>
      </c>
      <c r="G35" s="207" t="str">
        <f>IF(ISBLANK('ONR 5'!G8),"",'ONR 5'!G8)</f>
      </c>
      <c r="H35" s="216" t="str">
        <f>IF(ISBLANK('ONR 5'!H8),"",'ONR 5'!H8)</f>
      </c>
      <c r="I35" s="224" t="str">
        <f>IF(ISBLANK('ONR 5'!I8),"",'ONR 5'!I8)</f>
      </c>
      <c r="J35" s="220" t="str">
        <f t="shared" si="84">IF(ISBLANK('ONR 5'!J8),"",'ONR 5'!J8)</f>
      </c>
      <c r="K38" s="233" t="str">
        <f t="shared" si="105"/>
      </c>
      <c r="L38" s="233" t="b">
        <f t="shared" ref="L38:L38" si="119">OR(K35=31)</f>
        <v>0</v>
      </c>
      <c r="M35" s="233" t="b">
        <f t="shared" ref="M35:M38" si="120">IF(ISBLANK('ONR 5'!M8),"",'ONR 5'!M8)</f>
        <v>0</v>
      </c>
      <c r="N35" s="233" t="b">
        <f t="shared" ref="N35:N38" si="121">IF(ISBLANK('ONR 5'!N8),"",'ONR 5'!N8)</f>
        <v>0</v>
      </c>
      <c r="O35" s="233" t="b">
        <f t="shared" ref="O35:O38" si="122">IF(ISBLANK('ONR 5'!O8),"",'ONR 5'!O8)</f>
        <v>0</v>
      </c>
      <c r="P35" s="233" t="b">
        <f t="shared" ref="P35:P38" si="123">IF(ISBLANK('ONR 5'!P8),"",'ONR 5'!P8)</f>
        <v>0</v>
      </c>
      <c r="Q35" s="233" t="b">
        <f t="shared" ref="Q35:Q38" si="124">IF(ISBLANK('ONR 5'!Q8),"",'ONR 5'!Q8)</f>
        <v>0</v>
      </c>
      <c r="R35" s="233" t="b">
        <f t="shared" ref="R35:R38" si="125">IF(ISBLANK('ONR 5'!R8),"",'ONR 5'!R8)</f>
        <v>0</v>
      </c>
      <c r="S35" s="234" t="str">
        <f t="shared" si="106">IF(ISBLANK('ONR 5'!S8),"",'ONR 5'!S8)</f>
      </c>
      <c r="T38" s="232" t="str">
        <f t="shared" si="107"/>
      </c>
      <c r="U38" s="243" t="str">
        <f t="shared" si="108"/>
      </c>
      <c r="V38" s="235" t="str">
        <f t="shared" si="109"/>
      </c>
      <c r="W38" s="142" t="str">
        <f>'ONR 5'!V8</f>
      </c>
      <c r="W35" t="str" s="203">
        <f>IF(ISBLANK('ONR 5'!V8),"",'ONR 5'!V8)</f>
      </c>
      <c r="X35" s="204" t="str">
        <f>IF(ISBLANK('ONR 5'!W8),"",'ONR 5'!W8)</f>
      </c>
      <c r="Y35" s="258" t="str">
        <f t="shared" si="110">IF(ISBLANK('ONR 5'!I8),"",'ONR 5'!I8)</f>
      </c>
      <c r="Z38" s="256" t="str">
        <f t="shared" ref="Z38:Z38" si="126">D35</f>
      </c>
      <c r="Z35" t="str" s="256">
        <f>IF(ISBLANK('ONR 5'!D8),"",'ONR 5'!D8)</f>
      </c>
      <c r="AE35" s="206" t="n">
        <f t="shared" si="111">IF(ISNUMBER(T35),0,1)</f>
        <v>1</v>
      </c>
      <c r="AF35" s="206" t="n">
        <f t="shared" si="112">IF(L35=TRUE,1,0)</f>
        <v>0</v>
      </c>
      <c r="AG35" s="206" t="n">
        <f t="shared" si="113">IF(M35=TRUE,1,0)</f>
        <v>0</v>
      </c>
      <c r="AH35" s="206" t="n">
        <f t="shared" si="114">IF(N35=TRUE,1,0)</f>
        <v>0</v>
      </c>
      <c r="AI35" s="206" t="n">
        <f t="shared" si="115">IF(O35=TRUE,1,0)</f>
        <v>0</v>
      </c>
      <c r="AJ35" s="206" t="n">
        <f t="shared" si="116">IF(P35=TRUE,1,0)</f>
        <v>0</v>
      </c>
      <c r="AK35" s="206" t="n">
        <f t="shared" si="117">IF(Q35=TRUE,1,0)</f>
        <v>0</v>
      </c>
      <c r="AL35" s="206" t="n">
        <f t="shared" si="118">IF(R35=TRUE,1,0)</f>
        <v>0</v>
      </c>
      <c r="AM35" t="n">
        <f>IF(LEN(TRIM(W35))&gt;0,1,0)</f>
        <v>0</v>
      </c>
    </row>
    <row r="36" spans="1:38" s="205" customFormat="1" ht="38">
      <c r="A36" s="199"/>
      <c r="B36" s="219" t="str">
        <f>IF(ISBLANK('ONR 5'!B9),"",'ONR 5'!B9)</f>
        <v>5.3</v>
      </c>
      <c r="C36" s="218" t="str">
        <f>IF(ISBLANK('ONR 5'!C9),"",'ONR 5'!C9)</f>
        <v>Faire participer les personnes et les organisations concernées. S’appuyer sur leurs connaissances des questions d’environnement, de conditions de vie et de société.</v>
      </c>
      <c r="D36" s="231" t="str">
        <f>IF(ISBLANK('ONR 5'!D9),"",'ONR 5'!D9)</f>
      </c>
      <c r="E36" s="272" t="str">
        <f>IF(ISBLANK('ONR 5'!E9),"",'ONR 5'!E9)</f>
      </c>
      <c r="F36" s="279" t="str">
        <f>IF(ISBLANK('ONR 5'!F9),"",'ONR 5'!F9)</f>
      </c>
      <c r="G36" s="207" t="str">
        <f>IF(ISBLANK('ONR 5'!G9),"",'ONR 5'!G9)</f>
      </c>
      <c r="H36" s="216" t="str">
        <f>IF(ISBLANK('ONR 5'!H9),"",'ONR 5'!H9)</f>
      </c>
      <c r="I36" s="224" t="str">
        <f>IF(ISBLANK('ONR 5'!I9),"",'ONR 5'!I9)</f>
      </c>
      <c r="J36" s="220" t="str">
        <f t="shared" si="84">IF(ISBLANK('ONR 5'!J9),"",'ONR 5'!J9)</f>
      </c>
      <c r="K39" s="233" t="str">
        <f t="shared" si="105"/>
      </c>
      <c r="K36" t="str" s="233">
        <f>IF(ISBLANK('ONR 5'!K9),"",'ONR 5'!K9)</f>
      </c>
      <c r="L39" s="233" t="b">
        <f t="shared" si="119"/>
        <v>0</v>
      </c>
      <c r="L36" t="b" s="233">
        <f>IF(ISBLANK('ONR 5'!L9),"",'ONR 5'!L9)</f>
        <v>0</v>
      </c>
      <c r="M39" s="233" t="b">
        <f t="shared" si="120"/>
        <v>0</v>
      </c>
      <c r="M36" t="b" s="233">
        <f>IF(ISBLANK('ONR 5'!M9),"",'ONR 5'!M9)</f>
        <v>0</v>
      </c>
      <c r="N39" s="233" t="b">
        <f t="shared" si="121"/>
        <v>0</v>
      </c>
      <c r="N36" t="b" s="233">
        <f>IF(ISBLANK('ONR 5'!N9),"",'ONR 5'!N9)</f>
        <v>0</v>
      </c>
      <c r="O39" s="233" t="b">
        <f t="shared" si="122"/>
        <v>0</v>
      </c>
      <c r="O36" t="b" s="233">
        <f>IF(ISBLANK('ONR 5'!O9),"",'ONR 5'!O9)</f>
        <v>0</v>
      </c>
      <c r="P39" s="233" t="b">
        <f t="shared" si="123"/>
        <v>0</v>
      </c>
      <c r="P36" t="b" s="233">
        <f>IF(ISBLANK('ONR 5'!P9),"",'ONR 5'!P9)</f>
        <v>0</v>
      </c>
      <c r="Q39" s="233" t="b">
        <f t="shared" si="124"/>
        <v>0</v>
      </c>
      <c r="Q36" t="b" s="233">
        <f>IF(ISBLANK('ONR 5'!Q9),"",'ONR 5'!Q9)</f>
        <v>0</v>
      </c>
      <c r="R39" s="233" t="b">
        <f t="shared" si="125"/>
        <v>0</v>
      </c>
      <c r="R36" t="b" s="233">
        <f>IF(ISBLANK('ONR 5'!R9),"",'ONR 5'!R9)</f>
        <v>0</v>
      </c>
      <c r="S39" s="234" t="str">
        <f t="shared" si="106"/>
      </c>
      <c r="S36" t="str" s="234">
        <f>IF(ISBLANK('ONR 5'!S9),"",'ONR 5'!S9)</f>
      </c>
      <c r="T39" s="232" t="str">
        <f t="shared" si="107"/>
      </c>
      <c r="T36" t="str" s="232">
        <f>IF(ISBLANK('ONR 5'!T9),"",'ONR 5'!T9)</f>
      </c>
      <c r="U39" s="243" t="str">
        <f t="shared" si="108"/>
      </c>
      <c r="U36" t="str" s="243">
        <f>IF(ISBLANK('ONR 5'!U9),"",'ONR 5'!U9)</f>
      </c>
      <c r="V39" s="235" t="str">
        <f t="shared" si="109"/>
      </c>
      <c r="V36" t="str" s="235">
        <f>IF(ISBLANK('ONR 5'!G9),"",'ONR 5'!G9)</f>
      </c>
      <c r="W39" s="142" t="str">
        <f>'ONR 5'!V9</f>
      </c>
      <c r="W36" t="str" s="142">
        <f>IF(ISBLANK('ONR 5'!V9),"",'ONR 5'!V9)</f>
      </c>
      <c r="X36" s="204" t="str">
        <f>IF(ISBLANK('ONR 5'!W9),"",'ONR 5'!W9)</f>
      </c>
      <c r="Y36" s="258" t="str">
        <f t="shared" si="110">IF(ISBLANK('ONR 5'!I9),"",'ONR 5'!I9)</f>
      </c>
      <c r="Z36" s="256" t="str">
        <f t="shared" si="126">IF(ISBLANK('ONR 5'!D9),"",'ONR 5'!D9)</f>
      </c>
      <c r="AE36" s="206" t="n">
        <f t="shared" si="111">IF(ISNUMBER(T36),0,1)</f>
        <v>1</v>
      </c>
      <c r="AF36" s="206" t="n">
        <f t="shared" si="112">IF(L36=TRUE,1,0)</f>
        <v>0</v>
      </c>
      <c r="AG36" s="206" t="n">
        <f t="shared" si="113">IF(M36=TRUE,1,0)</f>
        <v>0</v>
      </c>
      <c r="AH36" s="206" t="n">
        <f t="shared" si="114">IF(N36=TRUE,1,0)</f>
        <v>0</v>
      </c>
      <c r="AI36" s="206" t="n">
        <f t="shared" si="115">IF(O36=TRUE,1,0)</f>
        <v>0</v>
      </c>
      <c r="AJ36" s="206" t="n">
        <f t="shared" si="116">IF(P36=TRUE,1,0)</f>
        <v>0</v>
      </c>
      <c r="AK36" s="206" t="n">
        <f t="shared" si="117">IF(Q36=TRUE,1,0)</f>
        <v>0</v>
      </c>
      <c r="AL36" s="206" t="n">
        <f t="shared" si="118">IF(R36=TRUE,1,0)</f>
        <v>0</v>
      </c>
      <c r="AM36" t="n">
        <f>IF(LEN(TRIM(W36))&gt;0,1,0)</f>
        <v>0</v>
      </c>
    </row>
    <row r="37" spans="1:38" s="205" customFormat="1" ht="57">
      <c r="A37" s="199"/>
      <c r="B37" s="219" t="str">
        <f>IF(ISBLANK('ONR 5'!B10),"",'ONR 5'!B10)</f>
        <v>5.4</v>
      </c>
      <c r="C37" s="218" t="str">
        <f>IF(ISBLANK('ONR 5'!C10),"",'ONR 5'!C10)</f>
        <v>Permettre aux générations futures d’innover pour mieux vivre ensemble, s’ouvrir aux autres et préserver l’équilibre de la nature.</v>
      </c>
      <c r="D37" s="231" t="str">
        <f>IF(ISBLANK('ONR 5'!D10),"",'ONR 5'!D10)</f>
      </c>
      <c r="E37" s="272" t="str">
        <f>IF(ISBLANK('ONR 5'!E10),"",'ONR 5'!E10)</f>
      </c>
      <c r="F37" s="279" t="str">
        <f>IF(ISBLANK('ONR 5'!F10),"",'ONR 5'!F10)</f>
      </c>
      <c r="G37" s="207" t="str">
        <f>IF(ISBLANK('ONR 5'!G10),"",'ONR 5'!G10)</f>
      </c>
      <c r="H37" s="216" t="str">
        <f>IF(ISBLANK('ONR 5'!H10),"",'ONR 5'!H10)</f>
      </c>
      <c r="I37" s="224" t="str">
        <f>IF(ISBLANK('ONR 5'!I10),"",'ONR 5'!I10)</f>
      </c>
      <c r="J37" s="220" t="str">
        <f t="shared" si="84">IF(ISBLANK('ONR 5'!J10),"",'ONR 5'!J10)</f>
      </c>
      <c r="K37" s="233" t="str">
        <f t="shared" ref="K37:K38" si="105">IF(ISBLANK('ONR 5'!K10),"",'ONR 5'!K10)</f>
      </c>
      <c r="L37" s="233" t="b">
        <f t="shared" si="119">IF(ISBLANK('ONR 5'!L10),"",'ONR 5'!L10)</f>
        <v>0</v>
      </c>
      <c r="M37" s="233" t="b">
        <f t="shared" si="120">IF(ISBLANK('ONR 5'!M10),"",'ONR 5'!M10)</f>
        <v>0</v>
      </c>
      <c r="N37" s="233" t="b">
        <f t="shared" si="121">IF(ISBLANK('ONR 5'!N10),"",'ONR 5'!N10)</f>
        <v>0</v>
      </c>
      <c r="O37" s="233" t="b">
        <f t="shared" si="122">IF(ISBLANK('ONR 5'!O10),"",'ONR 5'!O10)</f>
        <v>0</v>
      </c>
      <c r="P37" s="233" t="b">
        <f t="shared" si="123">IF(ISBLANK('ONR 5'!P10),"",'ONR 5'!P10)</f>
        <v>0</v>
      </c>
      <c r="Q37" s="233" t="b">
        <f t="shared" si="124">IF(ISBLANK('ONR 5'!Q10),"",'ONR 5'!Q10)</f>
        <v>0</v>
      </c>
      <c r="R37" s="233" t="b">
        <f t="shared" si="125">IF(ISBLANK('ONR 5'!R10),"",'ONR 5'!R10)</f>
        <v>0</v>
      </c>
      <c r="S37" s="234" t="str">
        <f t="shared" si="106">IF(ISBLANK('ONR 5'!S10),"",'ONR 5'!S10)</f>
      </c>
      <c r="T37" s="232" t="str">
        <f t="shared" si="107">IF(ISBLANK('ONR 5'!T10),"",'ONR 5'!T10)</f>
      </c>
      <c r="U37" s="243" t="str">
        <f t="shared" si="108">IF(ISBLANK('ONR 5'!U10),"",'ONR 5'!U10)</f>
      </c>
      <c r="V37" s="235" t="str">
        <f t="shared" si="109">IF(ISBLANK('ONR 5'!G10),"",'ONR 5'!G10)</f>
      </c>
      <c r="W37" s="142" t="str">
        <f>IF(ISBLANK('ONR 5'!V10),"",'ONR 5'!V10)</f>
      </c>
      <c r="X37" s="204" t="str">
        <f>IF(ISBLANK('ONR 5'!W10),"",'ONR 5'!W10)</f>
      </c>
      <c r="Y37" s="258" t="str">
        <f t="shared" si="110">IF(ISBLANK('ONR 5'!I10),"",'ONR 5'!I10)</f>
      </c>
      <c r="Z37" s="256" t="str">
        <f t="shared" si="126">IF(ISBLANK('ONR 5'!D10),"",'ONR 5'!D10)</f>
      </c>
      <c r="AE37" s="206" t="n">
        <f t="shared" si="111">IF(ISNUMBER(T37),0,1)</f>
        <v>1</v>
      </c>
      <c r="AF37" s="206" t="n">
        <f t="shared" si="112">IF(L37=TRUE,1,0)</f>
        <v>0</v>
      </c>
      <c r="AG37" s="206" t="n">
        <f t="shared" si="113">IF(M37=TRUE,1,0)</f>
        <v>0</v>
      </c>
      <c r="AH37" s="206" t="n">
        <f t="shared" si="114">IF(N37=TRUE,1,0)</f>
        <v>0</v>
      </c>
      <c r="AI37" s="206" t="n">
        <f t="shared" si="115">IF(O37=TRUE,1,0)</f>
        <v>0</v>
      </c>
      <c r="AJ37" s="206" t="n">
        <f t="shared" si="116">IF(P37=TRUE,1,0)</f>
        <v>0</v>
      </c>
      <c r="AK37" s="206" t="n">
        <f t="shared" si="117">IF(Q37=TRUE,1,0)</f>
        <v>0</v>
      </c>
      <c r="AL37" s="206" t="n">
        <f t="shared" si="118">IF(R37=TRUE,1,0)</f>
        <v>0</v>
      </c>
      <c r="AM37" t="n">
        <f>IF(LEN(TRIM(W37))&gt;0,1,0)</f>
        <v>0</v>
      </c>
    </row>
    <row r="38" spans="1:38" s="205" customFormat="1" ht="19">
      <c r="A38" s="199"/>
      <c r="B38" s="219" t="str">
        <f>IF(ISBLANK('ONR 5'!B11),"",'ONR 5'!B11)</f>
        <v>5.5</v>
      </c>
      <c r="C38" s="218" t="str">
        <f>IF(ISBLANK('ONR 5'!C11),"",'ONR 5'!C11)</f>
        <v>Suivre les résultats obtenus et le respect des règles à l’aide d’indicateurs.</v>
      </c>
      <c r="D38" s="231" t="str">
        <f>IF(ISBLANK('ONR 5'!D11),"",'ONR 5'!D11)</f>
      </c>
      <c r="E38" s="268" t="str">
        <f>IF(ISBLANK('ONR 5'!E11),"",'ONR 5'!E11)</f>
      </c>
      <c r="F38" s="275" t="str">
        <f>IF(ISBLANK('ONR 5'!F11),"",'ONR 5'!F11)</f>
      </c>
      <c r="G38" s="207" t="str">
        <f>IF(ISBLANK('ONR 5'!G11),"",'ONR 5'!G11)</f>
      </c>
      <c r="H38" s="201" t="str">
        <f>IF(ISBLANK('ONR 5'!H11),"",'ONR 5'!H11)</f>
      </c>
      <c r="I38" s="224" t="str">
        <f>IF(ISBLANK('ONR 5'!I11),"",'ONR 5'!I11)</f>
      </c>
      <c r="J38" s="219" t="str">
        <f t="shared" si="84">IF(ISBLANK('ONR 5'!J11),"",'ONR 5'!J11)</f>
      </c>
      <c r="K38" s="233" t="str">
        <f t="shared" si="105">IF(ISBLANK('ONR 5'!K11),"",'ONR 5'!K11)</f>
      </c>
      <c r="L38" s="233" t="b">
        <f t="shared" ref="L37:L38" si="119">IF(ISBLANK('ONR 5'!L11),"",'ONR 5'!L11)</f>
        <v>0</v>
      </c>
      <c r="M38" s="233" t="b">
        <f t="shared" si="120">IF(ISBLANK('ONR 5'!M11),"",'ONR 5'!M11)</f>
        <v>0</v>
      </c>
      <c r="N38" s="233" t="b">
        <f t="shared" si="121">IF(ISBLANK('ONR 5'!N11),"",'ONR 5'!N11)</f>
        <v>0</v>
      </c>
      <c r="O38" s="233" t="b">
        <f t="shared" si="122">IF(ISBLANK('ONR 5'!O11),"",'ONR 5'!O11)</f>
        <v>0</v>
      </c>
      <c r="P38" s="233" t="b">
        <f t="shared" si="123">IF(ISBLANK('ONR 5'!P11),"",'ONR 5'!P11)</f>
        <v>0</v>
      </c>
      <c r="Q38" s="233" t="b">
        <f t="shared" si="124">IF(ISBLANK('ONR 5'!Q11),"",'ONR 5'!Q11)</f>
        <v>0</v>
      </c>
      <c r="R38" s="233" t="b">
        <f t="shared" si="125">IF(ISBLANK('ONR 5'!R11),"",'ONR 5'!R11)</f>
        <v>0</v>
      </c>
      <c r="S38" s="234" t="str">
        <f t="shared" si="106">IF(ISBLANK('ONR 5'!S11),"",'ONR 5'!S11)</f>
      </c>
      <c r="T38" s="232" t="str">
        <f t="shared" si="107">IF(ISBLANK('ONR 5'!T11),"",'ONR 5'!T11)</f>
      </c>
      <c r="U38" s="243" t="str">
        <f t="shared" si="108">IF(ISBLANK('ONR 5'!U11),"",'ONR 5'!U11)</f>
      </c>
      <c r="V38" s="235" t="str">
        <f t="shared" si="109">IF(ISBLANK('ONR 5'!G11),"",'ONR 5'!G11)</f>
      </c>
      <c r="W38" s="142" t="str">
        <f>IF(ISBLANK('ONR 5'!V11),"",'ONR 5'!V11)</f>
      </c>
      <c r="X38" s="204" t="str">
        <f>IF(ISBLANK('ONR 5'!W11),"",'ONR 5'!W11)</f>
      </c>
      <c r="Y38" s="258" t="str">
        <f t="shared" si="110">IF(ISBLANK('ONR 5'!I11),"",'ONR 5'!I11)</f>
      </c>
      <c r="Z38" s="236" t="str">
        <f t="shared" ref="Z36:Z38" si="126">IF(ISBLANK('ONR 5'!D11),"",'ONR 5'!D11)</f>
      </c>
      <c r="AE38" s="206" t="n">
        <f t="shared" si="111">IF(ISNUMBER(T38),0,1)</f>
        <v>1</v>
      </c>
      <c r="AF38" s="206" t="n">
        <f t="shared" si="112">IF(L38=TRUE,1,0)</f>
        <v>0</v>
      </c>
      <c r="AG38" s="206" t="n">
        <f t="shared" si="113">IF(M38=TRUE,1,0)</f>
        <v>0</v>
      </c>
      <c r="AH38" s="206" t="n">
        <f t="shared" si="114">IF(N38=TRUE,1,0)</f>
        <v>0</v>
      </c>
      <c r="AI38" s="206" t="n">
        <f t="shared" si="115">IF(O38=TRUE,1,0)</f>
        <v>0</v>
      </c>
      <c r="AJ38" s="206" t="n">
        <f t="shared" si="116">IF(P38=TRUE,1,0)</f>
        <v>0</v>
      </c>
      <c r="AK38" s="206" t="n">
        <f t="shared" si="117">IF(Q38=TRUE,1,0)</f>
        <v>0</v>
      </c>
      <c r="AL38" s="206" t="n">
        <f t="shared" si="118">IF(R38=TRUE,1,0)</f>
        <v>0</v>
      </c>
      <c r="AM38" t="n">
        <f>IF(LEN(TRIM(W38))&gt;0,1,0)</f>
        <v>0</v>
      </c>
    </row>
    <row r="39" spans="1:38" ht="38">
      <c r="B39" s="219" t="str">
        <f>IF(ISBLANK('ONR 5'!B12),"",'ONR 5'!B12)</f>
        <v>5.6</v>
      </c>
      <c r="C39" s="218" t="str">
        <f>IF(ISBLANK('ONR 5'!C12),"",'ONR 5'!C12)</f>
        <v>Proposer des améliorations et de nouvelles idées pour un numérique responsable, y compris des solutions sans outils numériques.</v>
      </c>
      <c r="D39" s="231" t="str">
        <f>IF(ISBLANK('ONR 5'!D12),"",'ONR 5'!D12)</f>
      </c>
      <c r="E39" s="268" t="str">
        <f>IF(ISBLANK('ONR 5'!E12),"",'ONR 5'!E12)</f>
      </c>
      <c r="F39" s="275" t="str">
        <f>IF(ISBLANK('ONR 5'!F12),"",'ONR 5'!F12)</f>
      </c>
      <c r="G39" s="207" t="str">
        <f>IF(ISBLANK('ONR 5'!G12),"",'ONR 5'!G12)</f>
      </c>
      <c r="H39" s="201" t="str">
        <f>IF(ISBLANK('ONR 5'!H12),"",'ONR 5'!H12)</f>
      </c>
      <c r="I39" s="224" t="str">
        <f>IF(ISBLANK('ONR 5'!I12),"",'ONR 5'!I12)</f>
      </c>
      <c r="J39" s="219" t="str">
        <f t="shared" ref="J39" si="127">IF(ISBLANK('ONR 5'!J12),"",'ONR 5'!J12)</f>
      </c>
      <c r="K39" s="233" t="str">
        <f t="shared" ref="K39" si="128">IF(ISBLANK('ONR 5'!K12),"",'ONR 5'!K12)</f>
      </c>
      <c r="L39" s="233" t="b">
        <f t="shared" ref="L39" si="129">IF(ISBLANK('ONR 5'!L12),"",'ONR 5'!L12)</f>
        <v>0</v>
      </c>
      <c r="M39" s="233" t="b">
        <f t="shared" ref="M39" si="130">IF(ISBLANK('ONR 5'!M12),"",'ONR 5'!M12)</f>
        <v>0</v>
      </c>
      <c r="N39" s="233" t="b">
        <f t="shared" ref="N39" si="131">IF(ISBLANK('ONR 5'!N12),"",'ONR 5'!N12)</f>
        <v>0</v>
      </c>
      <c r="O39" s="233" t="b">
        <f t="shared" ref="O39" si="132">IF(ISBLANK('ONR 5'!O12),"",'ONR 5'!O12)</f>
        <v>0</v>
      </c>
      <c r="P39" s="233" t="b">
        <f t="shared" ref="P39" si="133">IF(ISBLANK('ONR 5'!P12),"",'ONR 5'!P12)</f>
        <v>0</v>
      </c>
      <c r="Q39" s="233" t="b">
        <f t="shared" ref="Q39" si="134">IF(ISBLANK('ONR 5'!Q12),"",'ONR 5'!Q12)</f>
        <v>0</v>
      </c>
      <c r="R39" s="233" t="b">
        <f t="shared" ref="R39" si="135">IF(ISBLANK('ONR 5'!R12),"",'ONR 5'!R12)</f>
        <v>0</v>
      </c>
      <c r="S39" s="234" t="str">
        <f t="shared" ref="S39" si="136">IF(ISBLANK('ONR 5'!S12),"",'ONR 5'!S12)</f>
      </c>
      <c r="T39" s="232" t="str">
        <f t="shared" ref="T39" si="137">IF(ISBLANK('ONR 5'!T12),"",'ONR 5'!T12)</f>
      </c>
      <c r="U39" s="243" t="str">
        <f t="shared" ref="U39" si="138">IF(ISBLANK('ONR 5'!U12),"",'ONR 5'!U12)</f>
      </c>
      <c r="V39" s="235" t="str">
        <f t="shared" ref="V39" si="139">IF(ISBLANK('ONR 5'!G12),"",'ONR 5'!G12)</f>
      </c>
      <c r="W39" s="142" t="str">
        <f>IF(ISBLANK('ONR 5'!V12),"",'ONR 5'!V12)</f>
      </c>
      <c r="X39" s="204" t="str">
        <f>IF(ISBLANK('ONR 5'!W12),"",'ONR 5'!W12)</f>
      </c>
      <c r="Y39" s="258" t="str">
        <f t="shared" ref="Y39" si="140">IF(ISBLANK('ONR 5'!I12),"",'ONR 5'!I12)</f>
      </c>
      <c r="Z39" s="236" t="str">
        <f t="shared" ref="Z39" si="141">IF(ISBLANK('ONR 5'!D12),"",'ONR 5'!D12)</f>
      </c>
      <c r="AE39" s="206" t="n">
        <f t="shared" ref="AE39" si="142">IF(ISNUMBER(T39),0,1)</f>
        <v>1</v>
      </c>
      <c r="AF39" s="206" t="n">
        <f t="shared" ref="AF39" si="143">IF(L39=TRUE,1,0)</f>
        <v>0</v>
      </c>
      <c r="AG39" s="206" t="n">
        <f t="shared" ref="AG39" si="144">IF(M39=TRUE,1,0)</f>
        <v>0</v>
      </c>
      <c r="AH39" s="206" t="n">
        <f t="shared" ref="AH39" si="145">IF(N39=TRUE,1,0)</f>
        <v>0</v>
      </c>
      <c r="AI39" s="206" t="n">
        <f t="shared" ref="AI39" si="146">IF(O39=TRUE,1,0)</f>
        <v>0</v>
      </c>
      <c r="AJ39" s="206" t="n">
        <f t="shared" ref="AJ39" si="147">IF(P39=TRUE,1,0)</f>
        <v>0</v>
      </c>
      <c r="AK39" s="206" t="n">
        <f t="shared" ref="AK39" si="148">IF(Q39=TRUE,1,0)</f>
        <v>0</v>
      </c>
      <c r="AL39" s="206" t="n">
        <f t="shared" ref="AL39" si="149">IF(R39=TRUE,1,0)</f>
        <v>0</v>
      </c>
      <c r="AM39" t="n">
        <f>IF(LEN(TRIM(W39))&gt;0,1,0)</f>
        <v>0</v>
      </c>
    </row>
    <row r="40" spans="1:38" ht="38">
      <c r="B40" s="219" t="str">
        <f>IF(ISBLANK('ONR 5'!B13),"",'ONR 5'!B13)</f>
        <v>5.7</v>
      </c>
      <c r="C40" s="218" t="str">
        <f>IF(ISBLANK('ONR 5'!C13),"",'ONR 5'!C13)</f>
        <v>Décider avec les équipes comment utiliser l’intelligence artificielle. Les former à ses limites et préserver le sens de leur travail.</v>
      </c>
      <c r="D40" s="231" t="str">
        <f>IF(ISBLANK('ONR 5'!D13),"",'ONR 5'!D13)</f>
      </c>
      <c r="E40" s="268" t="str">
        <f>IF(ISBLANK('ONR 5'!E13),"",'ONR 5'!E13)</f>
      </c>
      <c r="F40" s="275" t="str">
        <f>IF(ISBLANK('ONR 5'!F13),"",'ONR 5'!F13)</f>
      </c>
      <c r="G40" s="207" t="str">
        <f>IF(ISBLANK('ONR 5'!G13),"",'ONR 5'!G13)</f>
      </c>
      <c r="H40" s="201" t="str">
        <f>IF(ISBLANK('ONR 5'!H13),"",'ONR 5'!H13)</f>
      </c>
      <c r="I40" s="224" t="str">
        <f>IF(ISBLANK('ONR 5'!I13),"",'ONR 5'!I13)</f>
      </c>
      <c r="J40" s="219" t="n">
        <f>IF(ISBLANK('ONR 5'!J13),"",'ONR 5'!J13)</f>
        <v>0</v>
      </c>
      <c r="K40" s="233" t="str">
        <f>IF(ISBLANK('ONR 5'!K13),"",'ONR 5'!K13)</f>
      </c>
      <c r="L40" s="233" t="b">
        <f>IF(ISBLANK('ONR 5'!L13),"",'ONR 5'!L13)</f>
        <v>0</v>
      </c>
      <c r="M40" s="233" t="b">
        <f>IF(ISBLANK('ONR 5'!M13),"",'ONR 5'!M13)</f>
        <v>0</v>
      </c>
      <c r="N40" s="233" t="b">
        <f>IF(ISBLANK('ONR 5'!N13),"",'ONR 5'!N13)</f>
        <v>0</v>
      </c>
      <c r="O40" s="233" t="b">
        <f>IF(ISBLANK('ONR 5'!O13),"",'ONR 5'!O13)</f>
        <v>0</v>
      </c>
      <c r="P40" s="233" t="b">
        <f>IF(ISBLANK('ONR 5'!P13),"",'ONR 5'!P13)</f>
        <v>0</v>
      </c>
      <c r="Q40" s="233" t="b">
        <f>IF(ISBLANK('ONR 5'!Q13),"",'ONR 5'!Q13)</f>
        <v>0</v>
      </c>
      <c r="R40" s="233" t="b">
        <f>IF(ISBLANK('ONR 5'!R13),"",'ONR 5'!R13)</f>
        <v>0</v>
      </c>
      <c r="S40" s="234" t="str">
        <f>IF(ISBLANK('ONR 5'!S13),"",'ONR 5'!S13)</f>
      </c>
      <c r="T40" s="232" t="str">
        <f>IF(ISBLANK('ONR 5'!T13),"",'ONR 5'!T13)</f>
      </c>
      <c r="U40" s="243" t="str">
        <f>IF(ISBLANK('ONR 5'!U13),"",'ONR 5'!U13)</f>
      </c>
      <c r="V40" s="235" t="str">
        <f>IF(ISBLANK('ONR 5'!G13),"",'ONR 5'!G13)</f>
      </c>
      <c r="W40" s="142" t="str">
        <f>IF(ISBLANK('ONR 5'!V13),"",'ONR 5'!V13)</f>
      </c>
      <c r="X40" s="204" t="str">
        <f>IF(ISBLANK('ONR 5'!W13),"",'ONR 5'!W13)</f>
      </c>
      <c r="Y40" s="258" t="str">
        <f>IF(ISBLANK('ONR 5'!I13),"",'ONR 5'!I13)</f>
      </c>
      <c r="Z40" s="236" t="str">
        <f>IF(ISBLANK('ONR 5'!D13),"",'ONR 5'!D13)</f>
      </c>
      <c r="AE40" s="206" t="n">
        <f>IF(ISNUMBER(T40),0,1)</f>
        <v>1</v>
      </c>
      <c r="AF40" s="206" t="n">
        <f>IF(L40=TRUE,1,0)</f>
        <v>0</v>
      </c>
      <c r="AG40" s="206" t="n">
        <f>IF(M40=TRUE,1,0)</f>
        <v>0</v>
      </c>
      <c r="AH40" s="206" t="n">
        <f>IF(N40=TRUE,1,0)</f>
        <v>0</v>
      </c>
      <c r="AI40" s="206" t="n">
        <f>IF(O40=TRUE,1,0)</f>
        <v>0</v>
      </c>
      <c r="AJ40" s="206" t="n">
        <f>IF(P40=TRUE,1,0)</f>
        <v>0</v>
      </c>
      <c r="AK40" s="206" t="n">
        <f>IF(Q40=TRUE,1,0)</f>
        <v>0</v>
      </c>
      <c r="AL40" s="206" t="n">
        <f>IF(R40=TRUE,1,0)</f>
        <v>0</v>
      </c>
      <c r="AM40" t="n">
        <f>IF(LEN(TRIM(W40))&gt;0,1,0)</f>
        <v>0</v>
      </c>
    </row>
  </sheetData>
  <mergeCells count="11">
    <mergeCell ref="B33:Z33"/>
    <mergeCell ref="Y2:Z2"/>
    <mergeCell ref="B2:C3"/>
    <mergeCell ref="D2:E2"/>
    <mergeCell ref="F2:G2"/>
    <mergeCell ref="H2:I2"/>
    <mergeCell ref="V2:X2"/>
    <mergeCell ref="B28:Z28"/>
    <mergeCell ref="B19:Z19"/>
    <mergeCell ref="B13:Z13"/>
    <mergeCell ref="B4:Z4"/>
  </mergeCells>
  <conditionalFormatting sqref="A1">
    <cfRule type="expression" dxfId="95" priority="5428">
      <formula>FIND("Réagir",B1)</formula>
    </cfRule>
    <cfRule type="expression" dxfId="94" priority="5423" stopIfTrue="1">
      <formula>ISTEXT(A1)</formula>
    </cfRule>
    <cfRule type="expression" dxfId="93" priority="5424">
      <formula>FIND("Agir",B1)</formula>
    </cfRule>
    <cfRule type="expression" dxfId="92" priority="5425">
      <formula>FIND("Réagir",B1)</formula>
    </cfRule>
    <cfRule type="expression" dxfId="91" priority="5426" stopIfTrue="1">
      <formula>ISTEXT(A1)</formula>
    </cfRule>
    <cfRule type="expression" dxfId="90" priority="5427">
      <formula>FIND("Agir",B1)</formula>
    </cfRule>
  </conditionalFormatting>
  <conditionalFormatting sqref="A1:A2">
    <cfRule type="expression" dxfId="89" priority="5414" stopIfTrue="1">
      <formula>ISTEXT(A1)</formula>
    </cfRule>
    <cfRule type="expression" dxfId="88" priority="5415">
      <formula>FIND("Agir",B1)</formula>
    </cfRule>
    <cfRule type="expression" dxfId="87" priority="5416">
      <formula>FIND("Réagir",B1)</formula>
    </cfRule>
  </conditionalFormatting>
  <conditionalFormatting sqref="A2">
    <cfRule type="expression" dxfId="86" priority="5409">
      <formula>FIND("Agir",B2)</formula>
    </cfRule>
    <cfRule type="expression" dxfId="85" priority="5413">
      <formula>FIND("Réagir",B2)</formula>
    </cfRule>
    <cfRule type="expression" dxfId="84" priority="5412">
      <formula>FIND("Agir",B2)</formula>
    </cfRule>
    <cfRule type="expression" dxfId="83" priority="5411" stopIfTrue="1">
      <formula>ISTEXT(A2)</formula>
    </cfRule>
    <cfRule type="expression" dxfId="82" priority="5410">
      <formula>FIND("Réagir",B2)</formula>
    </cfRule>
    <cfRule type="expression" dxfId="81" priority="5408" stopIfTrue="1">
      <formula>ISTEXT(A2)</formula>
    </cfRule>
  </conditionalFormatting>
  <conditionalFormatting sqref="D5:D12 D14:D18 D36:D40">
    <cfRule type="expression" dxfId="80" priority="5235">
      <formula>FIND("Conforter",F5)</formula>
    </cfRule>
  </conditionalFormatting>
  <conditionalFormatting sqref="D5:D12 D36:D40 V20:Z27 V29:Z32 D14:D18">
    <cfRule type="expression" dxfId="79" priority="5234" stopIfTrue="1">
      <formula>ISTEXT(D5)</formula>
    </cfRule>
  </conditionalFormatting>
  <conditionalFormatting sqref="D7:D12">
    <cfRule type="expression" dxfId="78" priority="5227">
      <formula>FIND("Conforter",F7)</formula>
    </cfRule>
    <cfRule type="expression" dxfId="77" priority="5226" stopIfTrue="1">
      <formula>ISTEXT(D7)</formula>
    </cfRule>
  </conditionalFormatting>
  <conditionalFormatting sqref="D8">
    <cfRule type="expression" dxfId="76" priority="350" stopIfTrue="1">
      <formula>ISTEXT(D8)</formula>
    </cfRule>
    <cfRule type="expression" dxfId="75" priority="351">
      <formula>FIND("Conforter",F8)</formula>
    </cfRule>
  </conditionalFormatting>
  <conditionalFormatting sqref="D14:D18 I14:I18 D20:D27 I20:I27 D29:D32 I29:I32 D34:D40 I34:I40">
    <cfRule type="expression" dxfId="74" priority="5554">
      <formula>FIND("Réagir",E13)</formula>
    </cfRule>
    <cfRule type="expression" dxfId="73" priority="5553">
      <formula>FIND("Agir",E13)</formula>
    </cfRule>
  </conditionalFormatting>
  <conditionalFormatting sqref="D20">
    <cfRule type="expression" dxfId="72" priority="5129">
      <formula>FIND("Conforter",F18)</formula>
    </cfRule>
    <cfRule type="expression" dxfId="71" priority="5128" stopIfTrue="1">
      <formula>ISTEXT(D18)</formula>
    </cfRule>
  </conditionalFormatting>
  <conditionalFormatting sqref="D20:D27 D29:D32 D34:D40">
    <cfRule type="expression" dxfId="70" priority="5497">
      <formula>FIND("Conforter",F18)</formula>
    </cfRule>
  </conditionalFormatting>
  <conditionalFormatting sqref="D20:D27">
    <cfRule type="expression" dxfId="69" priority="5118" stopIfTrue="1">
      <formula>ISTEXT(D18)</formula>
    </cfRule>
    <cfRule type="expression" dxfId="68" priority="5119">
      <formula>FIND("Conforter",F18)</formula>
    </cfRule>
  </conditionalFormatting>
  <conditionalFormatting sqref="D22:D25">
    <cfRule type="expression" dxfId="67" priority="5121">
      <formula>FIND("Conforter",F20)</formula>
    </cfRule>
    <cfRule type="expression" dxfId="66" priority="5120" stopIfTrue="1">
      <formula>ISTEXT(D20)</formula>
    </cfRule>
  </conditionalFormatting>
  <conditionalFormatting sqref="D23">
    <cfRule type="expression" dxfId="65" priority="4990" stopIfTrue="1">
      <formula>ISTEXT(D21)</formula>
    </cfRule>
    <cfRule type="expression" dxfId="64" priority="4991">
      <formula>FIND("Conforter",F21)</formula>
    </cfRule>
  </conditionalFormatting>
  <conditionalFormatting sqref="D29">
    <cfRule type="expression" dxfId="63" priority="4860" stopIfTrue="1">
      <formula>ISTEXT(D26)</formula>
    </cfRule>
    <cfRule type="expression" dxfId="62" priority="4861">
      <formula>FIND("Conforter",F26)</formula>
    </cfRule>
  </conditionalFormatting>
  <conditionalFormatting sqref="D34">
    <cfRule type="expression" dxfId="61" priority="4573">
      <formula>FIND("Conforter",F31)</formula>
    </cfRule>
    <cfRule type="expression" dxfId="60" priority="4572" stopIfTrue="1">
      <formula>ISTEXT(D31)</formula>
    </cfRule>
  </conditionalFormatting>
  <conditionalFormatting sqref="D34:D40 D20:D27 D29:D32">
    <cfRule type="expression" dxfId="59" priority="5496" stopIfTrue="1">
      <formula>ISTEXT(D18)</formula>
    </cfRule>
  </conditionalFormatting>
  <conditionalFormatting sqref="D38:D40">
    <cfRule type="expression" dxfId="58" priority="4435">
      <formula>FIND("Conforter",F35)</formula>
    </cfRule>
    <cfRule type="expression" dxfId="57" priority="4434" stopIfTrue="1">
      <formula>ISTEXT(D35)</formula>
    </cfRule>
  </conditionalFormatting>
  <conditionalFormatting sqref="F14:H18 F34:H40">
    <cfRule type="expression" dxfId="56" priority="7">
      <formula>FIND("Conforter",I13)</formula>
    </cfRule>
  </conditionalFormatting>
  <conditionalFormatting sqref="F20:H27 F29:H32">
    <cfRule type="expression" dxfId="55" priority="5547" stopIfTrue="1">
      <formula>ISTEXT(F18)</formula>
    </cfRule>
    <cfRule type="expression" dxfId="54" priority="5548">
      <formula>FIND("Conforter",I18)</formula>
    </cfRule>
  </conditionalFormatting>
  <conditionalFormatting sqref="F34:H40 F14:H18">
    <cfRule type="expression" dxfId="53" priority="6" stopIfTrue="1">
      <formula>ISTEXT(F13)</formula>
    </cfRule>
  </conditionalFormatting>
  <conditionalFormatting sqref="G14:H18 G29:H32 G34:H40 G20:H27">
    <cfRule type="expression" dxfId="52" priority="5545">
      <formula>FIND("Agir",I13)</formula>
    </cfRule>
    <cfRule type="expression" dxfId="51" priority="5546">
      <formula>FIND("Réagir",I13)</formula>
    </cfRule>
  </conditionalFormatting>
  <conditionalFormatting sqref="G20:H27">
    <cfRule type="expression" dxfId="50" priority="5150" stopIfTrue="1">
      <formula>ISTEXT(G18)</formula>
    </cfRule>
    <cfRule type="expression" dxfId="49" priority="5151">
      <formula>FIND("Conforter",J18)</formula>
    </cfRule>
  </conditionalFormatting>
  <conditionalFormatting sqref="G34:H40 G14:H18 G29:H32">
    <cfRule type="expression" dxfId="48" priority="5544" stopIfTrue="1">
      <formula>ISTEXT(G13)</formula>
    </cfRule>
  </conditionalFormatting>
  <conditionalFormatting sqref="G36:H40">
    <cfRule type="expression" dxfId="47" priority="5393">
      <formula>FIND("Conforter",J33)</formula>
    </cfRule>
  </conditionalFormatting>
  <conditionalFormatting sqref="G38:H40">
    <cfRule type="expression" dxfId="46" priority="4437">
      <formula>FIND("Conforter",J35)</formula>
    </cfRule>
  </conditionalFormatting>
  <conditionalFormatting sqref="G20:I27">
    <cfRule type="expression" dxfId="45" priority="5152" stopIfTrue="1">
      <formula>ISTEXT(G18)</formula>
    </cfRule>
  </conditionalFormatting>
  <conditionalFormatting sqref="G36:I40">
    <cfRule type="expression" dxfId="44" priority="4594" stopIfTrue="1">
      <formula>ISTEXT(G33)</formula>
    </cfRule>
  </conditionalFormatting>
  <conditionalFormatting sqref="G38:I40">
    <cfRule type="expression" dxfId="43" priority="4436" stopIfTrue="1">
      <formula>ISTEXT(G35)</formula>
    </cfRule>
  </conditionalFormatting>
  <conditionalFormatting sqref="H14:H18">
    <cfRule type="expression" dxfId="42" priority="5327" stopIfTrue="1">
      <formula>ISTEXT(H13)</formula>
    </cfRule>
    <cfRule type="expression" dxfId="41" priority="5328">
      <formula>FIND("Conforter",J13)</formula>
    </cfRule>
  </conditionalFormatting>
  <conditionalFormatting sqref="H29">
    <cfRule type="expression" dxfId="40" priority="4838">
      <formula>FIND("Conforter",J26)</formula>
    </cfRule>
    <cfRule type="expression" dxfId="39" priority="4837" stopIfTrue="1">
      <formula>ISTEXT(H26)</formula>
    </cfRule>
  </conditionalFormatting>
  <conditionalFormatting sqref="H34:H40">
    <cfRule type="expression" dxfId="38" priority="4" stopIfTrue="1">
      <formula>ISTEXT(H31)</formula>
    </cfRule>
    <cfRule type="expression" dxfId="37" priority="5">
      <formula>FIND("Conforter",K31)</formula>
    </cfRule>
    <cfRule type="expression" dxfId="36" priority="4550">
      <formula>FIND("Conforter",J31)</formula>
    </cfRule>
    <cfRule type="expression" dxfId="35" priority="4549" stopIfTrue="1">
      <formula>ISTEXT(H31)</formula>
    </cfRule>
  </conditionalFormatting>
  <conditionalFormatting sqref="I5:I12">
    <cfRule type="expression" dxfId="34" priority="2">
      <formula>FIND("Agir",J5)</formula>
    </cfRule>
    <cfRule type="expression" dxfId="33" priority="3">
      <formula>FIND("Réagir",J5)</formula>
    </cfRule>
    <cfRule type="expression" dxfId="32" priority="1" stopIfTrue="1">
      <formula>ISTEXT(I5)</formula>
    </cfRule>
  </conditionalFormatting>
  <conditionalFormatting sqref="I14:I18 I20:I27 I29:I32 I34:I40 D20:D27 D29:D32 D34:D40 D14:D18">
    <cfRule type="expression" dxfId="31" priority="5552" stopIfTrue="1">
      <formula>ISTEXT(D13)</formula>
    </cfRule>
  </conditionalFormatting>
  <conditionalFormatting sqref="I20:I27">
    <cfRule type="expression" dxfId="30" priority="5153">
      <formula>FIND("Agir",J18)</formula>
    </cfRule>
    <cfRule type="expression" dxfId="29" priority="5154">
      <formula>FIND("Réagir",J18)</formula>
    </cfRule>
  </conditionalFormatting>
  <conditionalFormatting sqref="I30:I32">
    <cfRule type="expression" dxfId="28" priority="4876">
      <formula>FIND("Réagir",J27)</formula>
    </cfRule>
    <cfRule type="expression" dxfId="27" priority="4875">
      <formula>FIND("Agir",J27)</formula>
    </cfRule>
    <cfRule type="expression" dxfId="26" priority="4874" stopIfTrue="1">
      <formula>ISTEXT(I27)</formula>
    </cfRule>
  </conditionalFormatting>
  <conditionalFormatting sqref="I35">
    <cfRule type="expression" dxfId="25" priority="4586" stopIfTrue="1">
      <formula>ISTEXT(I32)</formula>
    </cfRule>
    <cfRule type="expression" dxfId="24" priority="4588">
      <formula>FIND("Réagir",J32)</formula>
    </cfRule>
    <cfRule type="expression" dxfId="23" priority="4587">
      <formula>FIND("Agir",J32)</formula>
    </cfRule>
  </conditionalFormatting>
  <conditionalFormatting sqref="I38:I40">
    <cfRule type="expression" dxfId="22" priority="4439">
      <formula>FIND("Agir",J35)</formula>
    </cfRule>
    <cfRule type="expression" dxfId="21" priority="4440">
      <formula>FIND("Réagir",J35)</formula>
    </cfRule>
  </conditionalFormatting>
  <conditionalFormatting sqref="I5:J12 I20:J27 I29:J32 I34:J40 V20:Z27 V29:Z32 V3:Z3 V5:Z12 V14:Z18 V34:Y40 V1:V2 I3:J3 I14:I18">
    <cfRule type="containsText" dxfId="20" priority="5549" stopIfTrue="1" operator="containsText" text="Première">
      <formula>NOT(ISERROR(SEARCH("Première",I1)))</formula>
    </cfRule>
  </conditionalFormatting>
  <conditionalFormatting sqref="J5:J12 J14:J18 J20:J27 J29:J32 J34:J40">
    <cfRule type="containsText" dxfId="19" priority="5501" operator="containsText" text="Intervention prioritaire">
      <formula>NOT(ISERROR(SEARCH("Intervention prioritaire",J5)))</formula>
    </cfRule>
    <cfRule type="containsText" dxfId="18" priority="5502" stopIfTrue="1" operator="containsText" text="Non pertinent">
      <formula>NOT(ISERROR(SEARCH("Non pertinent",J5)))</formula>
    </cfRule>
    <cfRule type="containsText" dxfId="17" priority="5503" stopIfTrue="1" operator="containsText" text="consolidation">
      <formula>NOT(ISERROR(SEARCH("consolidation",J5)))</formula>
    </cfRule>
    <cfRule type="containsText" dxfId="16" priority="5504" stopIfTrue="1" operator="containsText" text="Non Prioritaire">
      <formula>NOT(ISERROR(SEARCH("Non Prioritaire",J5)))</formula>
    </cfRule>
    <cfRule type="containsText" dxfId="15" priority="5505" stopIfTrue="1" operator="containsText" text="Urgent">
      <formula>NOT(ISERROR(SEARCH("Urgent",J5)))</formula>
    </cfRule>
    <cfRule type="containsText" dxfId="14" priority="5506" stopIfTrue="1" operator="containsText" text="moyen">
      <formula>NOT(ISERROR(SEARCH("moyen",J5)))</formula>
    </cfRule>
    <cfRule type="containsText" dxfId="13" priority="5507" stopIfTrue="1" operator="containsText" text="long">
      <formula>NOT(ISERROR(SEARCH("long",J5)))</formula>
    </cfRule>
  </conditionalFormatting>
  <conditionalFormatting sqref="J6:J12 J20:J27 J29:J32 J34:J40">
    <cfRule type="containsText" dxfId="12" priority="5541" stopIfTrue="1" operator="containsText" text="Non">
      <formula>NOT(ISERROR(SEARCH("Non",J6)))</formula>
    </cfRule>
  </conditionalFormatting>
  <conditionalFormatting sqref="V1:V2 I3:J3 I5:J12 I14:I18 I20:J27 I29:J32 I34:J40">
    <cfRule type="containsText" dxfId="11" priority="5551" stopIfTrue="1" operator="containsText" text="Terme">
      <formula>NOT(ISERROR(SEARCH("Terme",I1)))</formula>
    </cfRule>
    <cfRule type="containsText" dxfId="10" priority="5550" stopIfTrue="1" operator="containsText" text="Seconde">
      <formula>NOT(ISERROR(SEARCH("Seconde",I1)))</formula>
    </cfRule>
  </conditionalFormatting>
  <conditionalFormatting sqref="V3:Z3 V5:Z12 V14:Z18 V20:Z27 V29:Z32 V34:Y40">
    <cfRule type="containsText" dxfId="9" priority="94" stopIfTrue="1" operator="containsText" text="Terme">
      <formula>NOT(ISERROR(SEARCH("Terme",V3)))</formula>
    </cfRule>
  </conditionalFormatting>
  <conditionalFormatting sqref="V20:Z27 V29:Z32 V5:Z12 V14:Z18 V34:Y40 V3:Z3">
    <cfRule type="containsText" dxfId="6" priority="93" stopIfTrue="1" operator="containsText" text="Seconde">
      <formula>NOT(ISERROR(SEARCH("Seconde",V3)))</formula>
    </cfRule>
  </conditionalFormatting>
  <conditionalFormatting sqref="V34:Z40 V5:Z12 V14:Z18">
    <cfRule type="expression" dxfId="3" priority="83" stopIfTrue="1">
      <formula>ISTEXT(V5)</formula>
    </cfRule>
  </conditionalFormatting>
  <conditionalFormatting sqref="Z34:Z40">
    <cfRule type="containsText" dxfId="2" priority="17" stopIfTrue="1" operator="containsText" text="Première">
      <formula>NOT(ISERROR(SEARCH("Première",Z31)))</formula>
    </cfRule>
    <cfRule type="containsText" dxfId="1" priority="18" stopIfTrue="1" operator="containsText" text="Seconde">
      <formula>NOT(ISERROR(SEARCH("Seconde",Z31)))</formula>
    </cfRule>
    <cfRule type="containsText" dxfId="0" priority="19" stopIfTrue="1" operator="containsText" text="Terme">
      <formula>NOT(ISERROR(SEARCH("Terme",Z31)))</formula>
    </cfRule>
  </conditionalFormatting>
  <dataValidations count="3">
    <dataValidation type="custom" allowBlank="1" showInputMessage="1" showErrorMessage="0" errorTitle="Valeur invalide" error="La valeur doit être contenue entre 1 et 4" promptTitle="Compétences mobilisées" prompt="Valeur calculée. Modifier la note dans l’onglet ONR correspondant.&#10;1 : équipe NR / RSE&#10;2 : NR / RSE et DSI&#10;3 : NR / RSE et équipe hors DSI&#10;4 : intervention extérieure" sqref="H29 H14:H18" xr:uid="{00000000-0002-0000-1400-000000000000}">
      <formula1>TRUE</formula1>
    </dataValidation>
    <dataValidation type="custom" allowBlank="1" showInputMessage="1" showErrorMessage="0" errorTitle="Valeur invalide" error="La valeur doit être contenue entre 1 et 4" promptTitle="Performance actuelle" prompt="Valeur calculée. Modifier la note dans l’onglet ONR correspondant.&#10;1 : pas du tout atteinte&#10;2 : atteinte en partie&#10;3 : en voie d’être atteinte&#10;4 : atteinte&#10;Laisser vide si non évaluée ou non applicable." sqref="F14:F18 F20:F27 F29:F40 F5:F12" xr:uid="{00000000-0002-0000-1400-000001000000}">
      <formula1>TRUE</formula1>
    </dataValidation>
    <dataValidation type="custom" allowBlank="1" showInputMessage="1" showErrorMessage="0" errorTitle="Valeur invalide" error="Les valeurs permises pour l'importance sont 0, 1, 2 ou 3" promptTitle="Importance de la cible" prompt="Valeur calculée. Modifier la note dans l’onglet ONR correspondant.&#10;0 : non applicable&#10;1 : peu importante&#10;2 : importante&#10;3 : très importante&#10;Si 0, la performance peut rester vide." sqref="E14:E18 E20:E27 E29:E40 E5:E12" xr:uid="{00000000-0002-0000-1400-000002000000}">
      <formula1>TRUE</formula1>
    </dataValidation>
  </dataValidations>
  <pageMargins left="0.70866141732283472" right="0.70866141732283472" top="0.74803149606299213" bottom="0.74803149606299213" header="0.31496062992125984" footer="0.31496062992125984"/>
  <pageSetup paperSize="5" scale="42" fitToHeight="20" orientation="landscape" r:id="rId1"/>
  <drawing r:id="logoINR20261007"/>
  <legacyDrawing r:id="rId2"/>
</worksheet>
</file>

<file path=xl/worksheets/sheet11.xml><?xml version="1.0" encoding="utf-8"?>
<x:worksheet xmlns:x="http://schemas.openxmlformats.org/spreadsheetml/2006/main">
  <x:sheetPr>
    <x:pageSetUpPr fitToPage="1"/>
  </x:sheetPr>
  <x:sheetViews>
    <x:sheetView showGridLines="0" workbookViewId="0" zoomScale="85" topLeftCell="A1"/>
  </x:sheetViews>
  <x:sheetFormatPr baseColWidth="10" defaultColWidth="11.5" defaultRowHeight="13"/>
  <x:cols>
    <x:col min="1" max="1" width="3" hidden="0" customWidth="1"/>
    <x:col min="2" max="2" width="25" hidden="0" customWidth="1"/>
    <x:col min="3" max="3" width="12" hidden="0" customWidth="1"/>
    <x:col min="4" max="4" width="12.6640625" hidden="0" customWidth="1"/>
    <x:col min="5" max="5" width="12.6640625" hidden="0" customWidth="1"/>
    <x:col min="6" max="6" width="12" hidden="0" customWidth="1"/>
    <x:col min="7" max="7" width="12.6640625" hidden="0" customWidth="1"/>
    <x:col min="8" max="8" width="12.6640625" hidden="0" customWidth="1"/>
    <x:col min="9" max="9" width="12.6640625" hidden="0" customWidth="1"/>
    <x:col min="10" max="10" width="12.6640625" hidden="0" customWidth="1"/>
    <x:col min="11" max="11" width="12.6640625" hidden="0" customWidth="1"/>
    <x:col min="12" max="12" width="12.6640625" hidden="0" customWidth="1"/>
    <x:col min="13" max="13" width="12.6640625" hidden="0" customWidth="1"/>
    <x:col min="14" max="14" width="3" style="1211" hidden="1" customWidth="1"/>
    <x:col min="15" max="15" width="11.5" style="1211" hidden="1" customWidth="0"/>
    <x:col min="16" max="16" width="11.5" style="1211" hidden="1" customWidth="0"/>
    <x:col min="17" max="17" width="11.5" style="1211" hidden="1" customWidth="0"/>
    <x:col min="18" max="18" width="11.5" style="1211" hidden="1" customWidth="0"/>
    <x:col min="19" max="19" width="11.5" style="1211" hidden="1" customWidth="0"/>
    <x:col min="20" max="20" width="11.5" style="1211" hidden="1" customWidth="0"/>
    <x:col min="21" max="21" width="11.5" style="1211" hidden="1" customWidth="0"/>
    <x:col min="22" max="22" width="11.5" style="1211" hidden="1" customWidth="0"/>
    <x:col min="23" max="23" width="11.5" style="1211" hidden="1" customWidth="0"/>
    <x:col min="24" max="24" width="11.5" style="1211" hidden="1" customWidth="0"/>
    <x:col min="25" max="25" width="11.5" style="1211" hidden="1" customWidth="0"/>
    <x:col min="26" max="26" width="11.5" style="1211" hidden="1" customWidth="0"/>
    <x:col min="27" max="27" width="11.5" style="1211" hidden="1" customWidth="0"/>
    <x:col min="28" max="28" width="11.5" style="1211" hidden="1" customWidth="0"/>
    <x:col min="29" max="29" width="11.5" style="1211" hidden="1" customWidth="0"/>
    <x:col min="30" max="30" width="11.5" style="1211" hidden="1" customWidth="0"/>
    <x:col min="31" max="31" width="11.5" style="1211" hidden="1" customWidth="0"/>
    <x:col min="32" max="32" width="11.5" style="1211" hidden="1" customWidth="0"/>
    <x:col width="8.43" customWidth="1" min="33" max="33" hidden="1"/>
    <x:col width="8.43" customWidth="1" min="34" max="34" hidden="1"/>
    <x:col width="8.43" customWidth="1" min="35" max="35" hidden="1"/>
    <x:col width="8.43" customWidth="1" min="36" max="36" hidden="1"/>
    <x:col width="8.43" customWidth="1" min="37" max="37" hidden="1"/>
    <x:col width="8.43" customWidth="1" min="38" max="38" hidden="1"/>
    <x:col width="8.43" customWidth="1" min="39" max="39" hidden="1"/>
    <x:col width="8.43" customWidth="1" min="40" max="40" hidden="1"/>
    <x:col width="8.43" customWidth="1" min="41" max="41" hidden="1"/>
    <x:col width="8.43" customWidth="1" min="42" max="42" hidden="1"/>
    <x:col width="8.43" customWidth="1" min="43" max="43" hidden="1"/>
    <x:col width="8.43" customWidth="1" min="44" max="44" hidden="1"/>
    <x:col width="8.43" customWidth="1" min="45" max="45" hidden="1"/>
  </x:cols>
  <x:sheetData>
    <x:row r="1" s="1271" customFormat="1" ht="24" customHeight="1">
      <x:c r="A1"/>
      <x:c r="B1"/>
      <x:c r="C1"/>
      <x:c r="D1"/>
      <x:c r="E1"/>
      <x:c r="F1"/>
      <x:c r="G1"/>
      <x:c r="H1"/>
      <x:c r="I1"/>
      <x:c r="J1"/>
      <x:c r="K1"/>
      <x:c r="L1"/>
      <x:c r="M1"/>
      <x:c r="N1"/>
      <x:c r="O1"/>
      <x:c r="P1"/>
      <x:c r="Q1"/>
      <x:c r="R1"/>
      <x:c r="S1"/>
      <x:c r="T1"/>
      <x:c r="U1"/>
      <x:c r="V1"/>
      <x:c r="W1"/>
      <x:c r="X1"/>
      <x:c r="Y1"/>
      <x:c r="Z1"/>
      <x:c r="AA1"/>
      <x:c r="AB1"/>
      <x:c r="AC1"/>
      <x:c r="AD1"/>
      <x:c r="AE1"/>
      <x:c r="AF1"/>
    </x:row>
    <x:row r="2" ht="44" customHeight="1">
      <x:c r="A2"/>
      <x:c r="B2" s="1928" t="str">
        <x:v>Résultats de synthèse</x:v>
      </x:c>
      <x:c r="C2" s="1929"/>
      <x:c r="D2" s="1929"/>
      <x:c r="E2" s="1929"/>
      <x:c r="F2" s="1929"/>
      <x:c r="G2" s="1929"/>
      <x:c r="H2" s="1929"/>
      <x:c r="I2" s="1929"/>
      <x:c r="J2" s="1930"/>
      <x:c r="K2" s="1923"/>
      <x:c r="L2" s="1923"/>
      <x:c r="M2" s="1923"/>
    </x:row>
    <x:row r="3" ht="30" customHeight="1">
      <x:c r="A3"/>
      <x:c r="B3" s="1931" t="str">
        <x:v>Vue d’ensemble des 32 cibles. Saisir les informations dans les onglets ONR 1 à 5.</x:v>
      </x:c>
      <x:c r="C3" s="1931"/>
      <x:c r="D3" s="1931">
        <x:f t="shared" ref="D3:M3" si="0">SUM(D4:D8)</x:f>
      </x:c>
      <x:c r="E3" s="1931">
        <x:f t="shared" si="0"/>
      </x:c>
      <x:c r="F3" s="1931">
        <x:f t="shared" si="0"/>
      </x:c>
      <x:c r="G3" s="1931">
        <x:f t="shared" si="0"/>
      </x:c>
      <x:c r="H3" s="1931">
        <x:f t="shared" si="0"/>
      </x:c>
      <x:c r="I3" s="1931">
        <x:f t="shared" si="0"/>
      </x:c>
      <x:c r="J3" s="1931">
        <x:f t="shared" si="0"/>
      </x:c>
      <x:c r="K3" s="1923">
        <x:f t="shared" si="0"/>
      </x:c>
      <x:c r="L3" s="1923">
        <x:f t="shared" si="0"/>
      </x:c>
      <x:c r="M3" s="1923">
        <x:f t="shared" si="0"/>
      </x:c>
    </x:row>
    <x:row r="4" ht="24" customHeight="1">
      <x:c r="A4"/>
      <x:c r="B4" s="1923"/>
      <x:c r="C4" s="1923"/>
      <x:c r="D4" s="1923"/>
      <x:c r="E4" s="1923"/>
      <x:c r="F4" s="1923"/>
      <x:c r="G4" s="1923"/>
      <x:c r="H4" s="1923"/>
      <x:c r="I4" s="1923"/>
      <x:c r="J4" s="1923"/>
      <x:c r="K4" s="1923"/>
      <x:c r="L4" s="1923"/>
      <x:c r="M4" s="1923"/>
    </x:row>
    <x:row r="5" ht="38" customHeight="1">
      <x:c r="A5"/>
      <x:c r="B5" s="1932" t="str">
        <x:v>Cibles à évaluer</x:v>
      </x:c>
      <x:c r="C5" s="1932"/>
      <x:c r="D5" s="1932" t="str">
        <x:v>Cibles évaluées</x:v>
      </x:c>
      <x:c r="E5" s="1932"/>
      <x:c r="F5" s="1932" t="str">
        <x:v>Part évaluée</x:v>
      </x:c>
      <x:c r="G5" s="1932"/>
      <x:c r="H5" s="1937" t="str">
        <x:v>Urgentes ou prioritaires</x:v>
      </x:c>
      <x:c r="I5" s="1937"/>
      <x:c r="J5" s="1941" t="str">
        <x:v>Part des cibles atteintes</x:v>
      </x:c>
      <x:c r="K5" s="1941"/>
      <x:c r="L5" s="1946" t="str">
        <x:v>Priorités avec une action proposée</x:v>
      </x:c>
      <x:c r="M5" s="1946"/>
      <x:c r="AA5" t="str">
        <x:v>ONR</x:v>
      </x:c>
      <x:c r="AB5" t="str">
        <x:v>Score de priorité</x:v>
      </x:c>
      <x:c r="AC5" t="str">
        <x:v>Clé de classement</x:v>
      </x:c>
      <x:c r="AD5" t="str">
        <x:v>Cible</x:v>
      </x:c>
      <x:c r="AE5" t="str">
        <x:v>Texte de la cible</x:v>
      </x:c>
      <x:c r="AF5" t="str">
        <x:v>Importance</x:v>
      </x:c>
      <x:c r="AG5" t="str">
        <x:v>Niveau atteint</x:v>
      </x:c>
      <x:c r="AH5" t="str">
        <x:v>Compétences</x:v>
      </x:c>
      <x:c r="AI5" t="str">
        <x:v>Action proposée</x:v>
      </x:c>
      <x:c r="AJ5" t="str">
        <x:v>Action renseignée</x:v>
      </x:c>
      <x:c r="AK5" t="str">
        <x:v>Justification renseignée</x:v>
      </x:c>
      <x:c r="AL5" t="str">
        <x:v>Note hors échelle</x:v>
      </x:c>
      <x:c r="AM5" t="str">
        <x:v>Justification manquante</x:v>
      </x:c>
      <x:c r="AN5" t="str">
        <x:v>Ligne source</x:v>
      </x:c>
      <x:c r="AO5" t="str">
        <x:v>Applicabilité</x:v>
      </x:c>
      <x:c r="AP5" t="str">
        <x:v>Compétences à préciser</x:v>
      </x:c>
      <x:c r="AQ5" t="str">
        <x:v>Priorité sans action</x:v>
      </x:c>
      <x:c r="AR5" t="str">
        <x:v>Cible évaluée</x:v>
      </x:c>
    </x:row>
    <x:row r="6" ht="38" customHeight="1">
      <x:c r="A6"/>
      <x:c r="B6" s="1933" t="n">
        <x:f>E16</x:f>
        <x:v>32</x:v>
      </x:c>
      <x:c r="C6" s="1933"/>
      <x:c r="D6" s="1933" t="n">
        <x:f>D16</x:f>
        <x:v>0</x:v>
      </x:c>
      <x:c r="E6" s="1933"/>
      <x:c r="F6" s="1934" t="n">
        <x:f>F16</x:f>
        <x:v>0</x:v>
      </x:c>
      <x:c r="G6" s="1933"/>
      <x:c r="H6" s="1938" t="n">
        <x:f>H16+I16</x:f>
        <x:v>0</x:v>
      </x:c>
      <x:c r="I6" s="1938"/>
      <x:c r="J6" s="1943" t="n">
        <x:f>J16</x:f>
        <x:v>0</x:v>
      </x:c>
      <x:c r="K6" s="1942"/>
      <x:c r="L6" s="1948" t="n">
        <x:f>K16</x:f>
        <x:v>0</x:v>
      </x:c>
      <x:c r="M6" s="1947"/>
      <x:c r="AA6" t="n">
        <x:v>1</x:v>
      </x:c>
      <x:c r="AB6" t="str">
        <x:f>IF(ISNUMBER('Résultats détaillés'!T5),'Résultats détaillés'!T5,"")</x:f>
      </x:c>
      <x:c r="AC6" t="n">
        <x:f>IF(AND(ISNUMBER(AB6),AB6&gt;=5),AB6*100+32,0)</x:f>
        <x:v>0</x:v>
      </x:c>
      <x:c r="AD6" t="str">
        <x:f>IF(ISBLANK('Résultats détaillés'!B5),"",'Résultats détaillés'!B5)</x:f>
        <x:v>1.1</x:v>
      </x:c>
      <x:c r="AE6" t="str">
        <x:f>IF(ISBLANK('Résultats détaillés'!C5),"",'Résultats détaillés'!C5)</x:f>
        <x:v>Prendre en compte toutes les étapes de la vie des équipements et des logiciels, de leur création à leur fin de vie, pour contribuer à la transition énergétique.</x:v>
      </x:c>
      <x:c r="AF6" t="str">
        <x:f>IF(ISBLANK('Résultats détaillés'!E5),"",'Résultats détaillés'!E5)</x:f>
      </x:c>
      <x:c r="AG6" t="str">
        <x:f>IF(ISBLANK('Résultats détaillés'!F5),"",'Résultats détaillés'!F5)</x:f>
      </x:c>
      <x:c r="AH6" t="n">
        <x:f>IF(ISNUMBER('Résultats détaillés'!H5),IF(AND('Résultats détaillés'!H5&gt;=1,'Résultats détaillés'!H5&lt;=4,MOD('Résultats détaillés'!H5,1)=0),'Résultats détaillés'!H5,0),0)</x:f>
        <x:v>0</x:v>
      </x:c>
      <x:c r="AI6" t="str">
        <x:f>IF(ISBLANK('Résultats détaillés'!W5),"",'Résultats détaillés'!W5)</x:f>
      </x:c>
      <x:c r="AJ6" t="n">
        <x:f>IF(LEN(TRIM(AI6))&gt;0,1,0)</x:f>
        <x:v>0</x:v>
      </x:c>
      <x:c r="AK6" t="n">
        <x:f>IF(LEN(TRIM('Résultats détaillés'!G5))&gt;0,1,0)</x:f>
        <x:v>0</x:v>
      </x:c>
      <x:c r="AL6" t="n">
        <x:f>IF(OR(IF(LEN('Résultats détaillés'!E5)=0,FALSE,NOT(IF(ISNUMBER('Résultats détaillés'!E5),AND('Résultats détaillés'!E5&gt;=0,'Résultats détaillés'!E5&lt;=3,MOD('Résultats détaillés'!E5,1)=0),FALSE))),IF(LEN('Résultats détaillés'!F5)=0,FALSE,NOT(IF(ISNUMBER('Résultats détaillés'!F5),AND('Résultats détaillés'!F5&gt;=1,'Résultats détaillés'!F5&lt;=4,MOD('Résultats détaillés'!F5,1)=0),FALSE))),IF(LEN('Résultats détaillés'!H5)=0,FALSE,NOT(IF(ISNUMBER('Résultats détaillés'!H5),AND('Résultats détaillés'!H5&gt;=1,'Résultats détaillés'!H5&lt;=4,MOD('Résultats détaillés'!H5,1)=0),FALSE)))),1,0)</x:f>
        <x:v>0</x:v>
      </x:c>
      <x:c r="AM6" t="n">
        <x:f>IF(AND(ISNUMBER(AB6),AB6&gt;0,AK6=0),1,0)</x:f>
        <x:v>0</x:v>
      </x:c>
      <x:c r="AN6" t="n">
        <x:v>5</x:v>
      </x:c>
      <x:c r="AO6" t="n">
        <x:f>IF(AND(ISNUMBER(AB6),AB6&gt;0),1,0)</x:f>
        <x:v>0</x:v>
      </x:c>
      <x:c r="AP6" t="n">
        <x:f>IF(AND(AC6&gt;0,AH6=0),1,0)</x:f>
        <x:v>0</x:v>
      </x:c>
      <x:c r="AQ6" t="n">
        <x:f>IF(AND(AC6&gt;0,AJ6=0),1,0)</x:f>
        <x:v>0</x:v>
      </x:c>
      <x:c r="AR6" t="n">
        <x:f>IF(ISNUMBER(AB6),1,0)</x:f>
        <x:v>0</x:v>
      </x:c>
    </x:row>
    <x:row r="7" ht="24" customHeight="1">
      <x:c r="A7"/>
      <x:c r="B7" s="1949" t="str">
        <x:v>Les taux d’atteinte portent sur les cibles applicables évaluées. Une action proposée ne signifie pas qu’elle a été réalisée.</x:v>
      </x:c>
      <x:c r="C7" s="1949"/>
      <x:c r="D7" s="1949"/>
      <x:c r="E7" s="1949"/>
      <x:c r="F7" s="1949"/>
      <x:c r="G7" s="1949"/>
      <x:c r="H7" s="1949"/>
      <x:c r="I7" s="1949"/>
      <x:c r="J7" s="1949"/>
      <x:c r="K7" s="1949"/>
      <x:c r="L7" s="1949"/>
      <x:c r="M7" s="1949"/>
      <x:c r="AA7" t="n">
        <x:v>1</x:v>
      </x:c>
      <x:c r="AB7" t="str">
        <x:f>IF(ISNUMBER('Résultats détaillés'!T6),'Résultats détaillés'!T6,"")</x:f>
      </x:c>
      <x:c r="AC7" t="n">
        <x:f>IF(AND(ISNUMBER(AB7),AB7&gt;=5),AB7*100+31,0)</x:f>
        <x:v>0</x:v>
      </x:c>
      <x:c r="AD7" t="str">
        <x:f>IF(ISBLANK('Résultats détaillés'!B6),"",'Résultats détaillés'!B6)</x:f>
        <x:v>1.2</x:v>
      </x:c>
      <x:c r="AE7" t="str">
        <x:f>IF(ISBLANK('Résultats détaillés'!C6),"",'Résultats détaillés'!C6)</x:f>
        <x:v>Utiliser les équipements plus longtemps, même après la fin de leur amortissement, c’est-à-dire la période sur laquelle leur coût est réparti dans les comptes.</x:v>
      </x:c>
      <x:c r="AF7" t="str">
        <x:f>IF(ISBLANK('Résultats détaillés'!E6),"",'Résultats détaillés'!E6)</x:f>
      </x:c>
      <x:c r="AG7" t="str">
        <x:f>IF(ISBLANK('Résultats détaillés'!F6),"",'Résultats détaillés'!F6)</x:f>
      </x:c>
      <x:c r="AH7" t="n">
        <x:f>IF(ISNUMBER('Résultats détaillés'!H6),IF(AND('Résultats détaillés'!H6&gt;=1,'Résultats détaillés'!H6&lt;=4,MOD('Résultats détaillés'!H6,1)=0),'Résultats détaillés'!H6,0),0)</x:f>
        <x:v>0</x:v>
      </x:c>
      <x:c r="AI7" t="str">
        <x:f>IF(ISBLANK('Résultats détaillés'!W6),"",'Résultats détaillés'!W6)</x:f>
      </x:c>
      <x:c r="AJ7" t="n">
        <x:f>IF(LEN(TRIM(AI7))&gt;0,1,0)</x:f>
        <x:v>0</x:v>
      </x:c>
      <x:c r="AK7" t="n">
        <x:f>IF(LEN(TRIM('Résultats détaillés'!G6))&gt;0,1,0)</x:f>
        <x:v>0</x:v>
      </x:c>
      <x:c r="AL7" t="n">
        <x:f>IF(OR(IF(LEN('Résultats détaillés'!E6)=0,FALSE,NOT(IF(ISNUMBER('Résultats détaillés'!E6),AND('Résultats détaillés'!E6&gt;=0,'Résultats détaillés'!E6&lt;=3,MOD('Résultats détaillés'!E6,1)=0),FALSE))),IF(LEN('Résultats détaillés'!F6)=0,FALSE,NOT(IF(ISNUMBER('Résultats détaillés'!F6),AND('Résultats détaillés'!F6&gt;=1,'Résultats détaillés'!F6&lt;=4,MOD('Résultats détaillés'!F6,1)=0),FALSE))),IF(LEN('Résultats détaillés'!H6)=0,FALSE,NOT(IF(ISNUMBER('Résultats détaillés'!H6),AND('Résultats détaillés'!H6&gt;=1,'Résultats détaillés'!H6&lt;=4,MOD('Résultats détaillés'!H6,1)=0),FALSE)))),1,0)</x:f>
        <x:v>0</x:v>
      </x:c>
      <x:c r="AM7" t="n">
        <x:f>IF(AND(ISNUMBER(AB7),AB7&gt;0,AK7=0),1,0)</x:f>
        <x:v>0</x:v>
      </x:c>
      <x:c r="AN7" t="n">
        <x:v>6</x:v>
      </x:c>
      <x:c r="AO7" t="n">
        <x:f>IF(AND(ISNUMBER(AB7),AB7&gt;0),1,0)</x:f>
        <x:v>0</x:v>
      </x:c>
      <x:c r="AP7" t="n">
        <x:f>IF(AND(AC7&gt;0,AH7=0),1,0)</x:f>
        <x:v>0</x:v>
      </x:c>
      <x:c r="AQ7" t="n">
        <x:f>IF(AND(AC7&gt;0,AJ7=0),1,0)</x:f>
        <x:v>0</x:v>
      </x:c>
      <x:c r="AR7" t="n">
        <x:f>IF(ISNUMBER(AB7),1,0)</x:f>
        <x:v>0</x:v>
      </x:c>
    </x:row>
    <x:row r="8" ht="24" customHeight="1">
      <x:c r="A8"/>
      <x:c r="B8" s="1923"/>
      <x:c r="C8" s="1923"/>
      <x:c r="D8" s="1923"/>
      <x:c r="E8" s="1923"/>
      <x:c r="F8" s="1923"/>
      <x:c r="G8" s="1923"/>
      <x:c r="H8" s="1923"/>
      <x:c r="I8" s="1923"/>
      <x:c r="J8" s="1923"/>
      <x:c r="K8" s="1923"/>
      <x:c r="L8" s="1923"/>
      <x:c r="M8" s="1923"/>
      <x:c r="AA8" t="n">
        <x:v>1</x:v>
      </x:c>
      <x:c r="AB8" t="str">
        <x:f>IF(ISNUMBER('Résultats détaillés'!T7),'Résultats détaillés'!T7,"")</x:f>
      </x:c>
      <x:c r="AC8" t="n">
        <x:f>IF(AND(ISNUMBER(AB8),AB8&gt;=5),AB8*100+30,0)</x:f>
        <x:v>0</x:v>
      </x:c>
      <x:c r="AD8" t="str">
        <x:f>IF(ISBLANK('Résultats détaillés'!B7),"",'Résultats détaillés'!B7)</x:f>
        <x:v>1.3</x:v>
      </x:c>
      <x:c r="AE8" t="str">
        <x:f>IF(ISBLANK('Résultats détaillés'!C7),"",'Résultats détaillés'!C7)</x:f>
        <x:v>Concevoir des services numériques qui limitent leurs effets sur l’environnement. Choisir des technologies qui contribuent aux Objectifs de développement durable (ODD).</x:v>
      </x:c>
      <x:c r="AF8" t="str">
        <x:f>IF(ISBLANK('Résultats détaillés'!E7),"",'Résultats détaillés'!E7)</x:f>
      </x:c>
      <x:c r="AG8" t="str">
        <x:f>IF(ISBLANK('Résultats détaillés'!F7),"",'Résultats détaillés'!F7)</x:f>
      </x:c>
      <x:c r="AH8" t="n">
        <x:f>IF(ISNUMBER('Résultats détaillés'!H7),IF(AND('Résultats détaillés'!H7&gt;=1,'Résultats détaillés'!H7&lt;=4,MOD('Résultats détaillés'!H7,1)=0),'Résultats détaillés'!H7,0),0)</x:f>
        <x:v>0</x:v>
      </x:c>
      <x:c r="AI8" t="str">
        <x:f>IF(ISBLANK('Résultats détaillés'!W7),"",'Résultats détaillés'!W7)</x:f>
      </x:c>
      <x:c r="AJ8" t="n">
        <x:f>IF(LEN(TRIM(AI8))&gt;0,1,0)</x:f>
        <x:v>0</x:v>
      </x:c>
      <x:c r="AK8" t="n">
        <x:f>IF(LEN(TRIM('Résultats détaillés'!G7))&gt;0,1,0)</x:f>
        <x:v>0</x:v>
      </x:c>
      <x:c r="AL8" t="n">
        <x:f>IF(OR(IF(LEN('Résultats détaillés'!E7)=0,FALSE,NOT(IF(ISNUMBER('Résultats détaillés'!E7),AND('Résultats détaillés'!E7&gt;=0,'Résultats détaillés'!E7&lt;=3,MOD('Résultats détaillés'!E7,1)=0),FALSE))),IF(LEN('Résultats détaillés'!F7)=0,FALSE,NOT(IF(ISNUMBER('Résultats détaillés'!F7),AND('Résultats détaillés'!F7&gt;=1,'Résultats détaillés'!F7&lt;=4,MOD('Résultats détaillés'!F7,1)=0),FALSE))),IF(LEN('Résultats détaillés'!H7)=0,FALSE,NOT(IF(ISNUMBER('Résultats détaillés'!H7),AND('Résultats détaillés'!H7&gt;=1,'Résultats détaillés'!H7&lt;=4,MOD('Résultats détaillés'!H7,1)=0),FALSE)))),1,0)</x:f>
        <x:v>0</x:v>
      </x:c>
      <x:c r="AM8" t="n">
        <x:f>IF(AND(ISNUMBER(AB8),AB8&gt;0,AK8=0),1,0)</x:f>
        <x:v>0</x:v>
      </x:c>
      <x:c r="AN8" t="n">
        <x:v>7</x:v>
      </x:c>
      <x:c r="AO8" t="n">
        <x:f>IF(AND(ISNUMBER(AB8),AB8&gt;0),1,0)</x:f>
        <x:v>0</x:v>
      </x:c>
      <x:c r="AP8" t="n">
        <x:f>IF(AND(AC8&gt;0,AH8=0),1,0)</x:f>
        <x:v>0</x:v>
      </x:c>
      <x:c r="AQ8" t="n">
        <x:f>IF(AND(AC8&gt;0,AJ8=0),1,0)</x:f>
        <x:v>0</x:v>
      </x:c>
      <x:c r="AR8" t="n">
        <x:f>IF(ISNUMBER(AB8),1,0)</x:f>
        <x:v>0</x:v>
      </x:c>
    </x:row>
    <x:row r="9" s="1211" customFormat="1" ht="30" customHeight="1">
      <x:c r="A9"/>
      <x:c r="B9" s="1950" t="str">
        <x:v>Comparaison des cinq ONR</x:v>
      </x:c>
      <x:c r="C9" s="1951"/>
      <x:c r="D9" s="1951"/>
      <x:c r="E9" s="1951"/>
      <x:c r="F9" s="1951"/>
      <x:c r="G9" s="1951"/>
      <x:c r="H9" s="1951"/>
      <x:c r="I9" s="1951"/>
      <x:c r="J9" s="1951"/>
      <x:c r="K9" s="1951"/>
      <x:c r="L9" s="1951"/>
      <x:c r="M9" s="1952"/>
      <x:c r="AA9" t="n">
        <x:v>1</x:v>
      </x:c>
      <x:c r="AB9" t="str">
        <x:f>IF(ISNUMBER('Résultats détaillés'!T8),'Résultats détaillés'!T8,"")</x:f>
      </x:c>
      <x:c r="AC9" t="n">
        <x:f>IF(AND(ISNUMBER(AB9),AB9&gt;=5),AB9*100+29,0)</x:f>
        <x:v>0</x:v>
      </x:c>
      <x:c r="AD9" t="str">
        <x:f>IF(ISBLANK('Résultats détaillés'!B8),"",'Résultats détaillés'!B8)</x:f>
        <x:v>1.4</x:v>
      </x:c>
      <x:c r="AE9" t="str">
        <x:f>IF(ISBLANK('Résultats détaillés'!C8),"",'Résultats détaillés'!C8)</x:f>
        <x:v>Adopter des pratiques qui consomment moins de matériel, de ressources, d’énergie et de consommables, comme le papier ou l’encre.</x:v>
      </x:c>
      <x:c r="AF9" t="str">
        <x:f>IF(ISBLANK('Résultats détaillés'!E8),"",'Résultats détaillés'!E8)</x:f>
      </x:c>
      <x:c r="AG9" t="str">
        <x:f>IF(ISBLANK('Résultats détaillés'!F8),"",'Résultats détaillés'!F8)</x:f>
      </x:c>
      <x:c r="AH9" t="n">
        <x:f>IF(ISNUMBER('Résultats détaillés'!H8),IF(AND('Résultats détaillés'!H8&gt;=1,'Résultats détaillés'!H8&lt;=4,MOD('Résultats détaillés'!H8,1)=0),'Résultats détaillés'!H8,0),0)</x:f>
        <x:v>0</x:v>
      </x:c>
      <x:c r="AI9" t="str">
        <x:f>IF(ISBLANK('Résultats détaillés'!W8),"",'Résultats détaillés'!W8)</x:f>
      </x:c>
      <x:c r="AJ9" t="n">
        <x:f>IF(LEN(TRIM(AI9))&gt;0,1,0)</x:f>
        <x:v>0</x:v>
      </x:c>
      <x:c r="AK9" t="n">
        <x:f>IF(LEN(TRIM('Résultats détaillés'!G8))&gt;0,1,0)</x:f>
        <x:v>0</x:v>
      </x:c>
      <x:c r="AL9" t="n">
        <x:f>IF(OR(IF(LEN('Résultats détaillés'!E8)=0,FALSE,NOT(IF(ISNUMBER('Résultats détaillés'!E8),AND('Résultats détaillés'!E8&gt;=0,'Résultats détaillés'!E8&lt;=3,MOD('Résultats détaillés'!E8,1)=0),FALSE))),IF(LEN('Résultats détaillés'!F8)=0,FALSE,NOT(IF(ISNUMBER('Résultats détaillés'!F8),AND('Résultats détaillés'!F8&gt;=1,'Résultats détaillés'!F8&lt;=4,MOD('Résultats détaillés'!F8,1)=0),FALSE))),IF(LEN('Résultats détaillés'!H8)=0,FALSE,NOT(IF(ISNUMBER('Résultats détaillés'!H8),AND('Résultats détaillés'!H8&gt;=1,'Résultats détaillés'!H8&lt;=4,MOD('Résultats détaillés'!H8,1)=0),FALSE)))),1,0)</x:f>
        <x:v>0</x:v>
      </x:c>
      <x:c r="AM9" t="n">
        <x:f>IF(AND(ISNUMBER(AB9),AB9&gt;0,AK9=0),1,0)</x:f>
        <x:v>0</x:v>
      </x:c>
      <x:c r="AN9" t="n">
        <x:v>8</x:v>
      </x:c>
      <x:c r="AO9" t="n">
        <x:f>IF(AND(ISNUMBER(AB9),AB9&gt;0),1,0)</x:f>
        <x:v>0</x:v>
      </x:c>
      <x:c r="AP9" t="n">
        <x:f>IF(AND(AC9&gt;0,AH9=0),1,0)</x:f>
        <x:v>0</x:v>
      </x:c>
      <x:c r="AQ9" t="n">
        <x:f>IF(AND(AC9&gt;0,AJ9=0),1,0)</x:f>
        <x:v>0</x:v>
      </x:c>
      <x:c r="AR9" t="n">
        <x:f>IF(ISNUMBER(AB9),1,0)</x:f>
        <x:v>0</x:v>
      </x:c>
    </x:row>
    <x:row r="10" s="1211" customFormat="1" ht="58" customHeight="1">
      <x:c r="A10"/>
      <x:c r="B10" s="1957" t="str">
        <x:v>ONR</x:v>
      </x:c>
      <x:c r="C10" s="1957" t="str">
        <x:v>Total</x:v>
      </x:c>
      <x:c r="D10" s="1957" t="str">
        <x:v>Évaluées</x:v>
      </x:c>
      <x:c r="E10" s="1957" t="str">
        <x:v>À évaluer</x:v>
      </x:c>
      <x:c r="F10" s="1957" t="str">
        <x:v>Part évaluée</x:v>
      </x:c>
      <x:c r="G10" s="1958" t="str">
        <x:v>Applicables évaluées</x:v>
      </x:c>
      <x:c r="H10" s="1959" t="str">
        <x:v>Urgentes</x:v>
      </x:c>
      <x:c r="I10" s="1959" t="str">
        <x:v>Prioritaires</x:v>
      </x:c>
      <x:c r="J10" s="1958" t="str">
        <x:v>Part atteinte</x:v>
      </x:c>
      <x:c r="K10" s="1960" t="str">
        <x:v>Priorités avec action</x:v>
      </x:c>
      <x:c r="L10" s="1960" t="str">
        <x:v>Priorités sans action</x:v>
      </x:c>
      <x:c r="M10" s="1957" t="str">
        <x:v>Part prioritaire</x:v>
      </x:c>
      <x:c r="AA10" t="n">
        <x:v>1</x:v>
      </x:c>
      <x:c r="AB10" t="str">
        <x:f>IF(ISNUMBER('Résultats détaillés'!T9),'Résultats détaillés'!T9,"")</x:f>
      </x:c>
      <x:c r="AC10" t="n">
        <x:f>IF(AND(ISNUMBER(AB10),AB10&gt;=5),AB10*100+28,0)</x:f>
        <x:v>0</x:v>
      </x:c>
      <x:c r="AD10" t="str">
        <x:f>IF(ISBLANK('Résultats détaillés'!B9),"",'Résultats détaillés'!B9)</x:f>
        <x:v>1.5</x:v>
      </x:c>
      <x:c r="AE10" t="str">
        <x:f>IF(ISBLANK('Résultats détaillés'!C9),"",'Résultats détaillés'!C9)</x:f>
        <x:v>Réutiliser ou recycler les déchets pour en faire de nouvelles ressources. Soutenir les emplois liés à leur traitement et à l’économie circulaire.</x:v>
      </x:c>
      <x:c r="AF10" t="str">
        <x:f>IF(ISBLANK('Résultats détaillés'!E9),"",'Résultats détaillés'!E9)</x:f>
      </x:c>
      <x:c r="AG10" t="str">
        <x:f>IF(ISBLANK('Résultats détaillés'!F9),"",'Résultats détaillés'!F9)</x:f>
      </x:c>
      <x:c r="AH10" t="n">
        <x:f>IF(ISNUMBER('Résultats détaillés'!H9),IF(AND('Résultats détaillés'!H9&gt;=1,'Résultats détaillés'!H9&lt;=4,MOD('Résultats détaillés'!H9,1)=0),'Résultats détaillés'!H9,0),0)</x:f>
        <x:v>0</x:v>
      </x:c>
      <x:c r="AI10" t="str">
        <x:f>IF(ISBLANK('Résultats détaillés'!W9),"",'Résultats détaillés'!W9)</x:f>
      </x:c>
      <x:c r="AJ10" t="n">
        <x:f>IF(LEN(TRIM(AI10))&gt;0,1,0)</x:f>
        <x:v>0</x:v>
      </x:c>
      <x:c r="AK10" t="n">
        <x:f>IF(LEN(TRIM('Résultats détaillés'!G9))&gt;0,1,0)</x:f>
        <x:v>0</x:v>
      </x:c>
      <x:c r="AL10" t="n">
        <x:f>IF(OR(IF(LEN('Résultats détaillés'!E9)=0,FALSE,NOT(IF(ISNUMBER('Résultats détaillés'!E9),AND('Résultats détaillés'!E9&gt;=0,'Résultats détaillés'!E9&lt;=3,MOD('Résultats détaillés'!E9,1)=0),FALSE))),IF(LEN('Résultats détaillés'!F9)=0,FALSE,NOT(IF(ISNUMBER('Résultats détaillés'!F9),AND('Résultats détaillés'!F9&gt;=1,'Résultats détaillés'!F9&lt;=4,MOD('Résultats détaillés'!F9,1)=0),FALSE))),IF(LEN('Résultats détaillés'!H9)=0,FALSE,NOT(IF(ISNUMBER('Résultats détaillés'!H9),AND('Résultats détaillés'!H9&gt;=1,'Résultats détaillés'!H9&lt;=4,MOD('Résultats détaillés'!H9,1)=0),FALSE)))),1,0)</x:f>
        <x:v>0</x:v>
      </x:c>
      <x:c r="AM10" t="n">
        <x:f>IF(AND(ISNUMBER(AB10),AB10&gt;0,AK10=0),1,0)</x:f>
        <x:v>0</x:v>
      </x:c>
      <x:c r="AN10" t="n">
        <x:v>9</x:v>
      </x:c>
      <x:c r="AO10" t="n">
        <x:f>IF(AND(ISNUMBER(AB10),AB10&gt;0),1,0)</x:f>
        <x:v>0</x:v>
      </x:c>
      <x:c r="AP10" t="n">
        <x:f>IF(AND(AC10&gt;0,AH10=0),1,0)</x:f>
        <x:v>0</x:v>
      </x:c>
      <x:c r="AQ10" t="n">
        <x:f>IF(AND(AC10&gt;0,AJ10=0),1,0)</x:f>
        <x:v>0</x:v>
      </x:c>
      <x:c r="AR10" t="n">
        <x:f>IF(ISNUMBER(AB10),1,0)</x:f>
        <x:v>0</x:v>
      </x:c>
    </x:row>
    <x:row r="11" s="1211" customFormat="1" ht="32" customHeight="1">
      <x:c r="A11"/>
      <x:c r="B11" s="1972" t="str">
        <x:v>1. Sobriété</x:v>
      </x:c>
      <x:c r="C11" s="1973" t="n">
        <x:f>'Résultats détaillés'!AC4</x:f>
        <x:v>8</x:v>
      </x:c>
      <x:c r="D11" s="1973" t="n">
        <x:f>'Résultats détaillés'!AD4</x:f>
        <x:v>0</x:v>
      </x:c>
      <x:c r="E11" s="1973" t="n">
        <x:f>C11-D11</x:f>
        <x:v>8</x:v>
      </x:c>
      <x:c r="F11" s="1983" t="n">
        <x:f>D11/C11</x:f>
        <x:v>0</x:v>
      </x:c>
      <x:c r="G11" s="1973" t="n">
        <x:f>SUMIFS($AO$6:$AO$37,$AA$6:$AA$37,1)</x:f>
        <x:v>0</x:v>
      </x:c>
      <x:c r="H11" s="1973" t="n">
        <x:f>'Résultats détaillés'!AF4</x:f>
        <x:v>0</x:v>
      </x:c>
      <x:c r="I11" s="1973" t="n">
        <x:f>'Résultats détaillés'!AG4</x:f>
        <x:v>0</x:v>
      </x:c>
      <x:c r="J11" s="1983" t="str">
        <x:f>IF(G11=0,"",COUNTIFS($AA$6:$AA$37,1,$AO$6:$AO$37,1,$AG$6:$AG$37,4)/G11)</x:f>
      </x:c>
      <x:c r="K11" s="1983" t="str">
        <x:f>IF(H11+I11=0,"",SUMIFS($AJ$6:$AJ$37,$AA$6:$AA$37,1,$AC$6:$AC$37,"&gt;0")/(H11+I11))</x:f>
      </x:c>
      <x:c r="L11" s="1973" t="n">
        <x:f>SUMIFS($AQ$6:$AQ$37,$AA$6:$AA$37,1)</x:f>
        <x:v>0</x:v>
      </x:c>
      <x:c r="M11" s="1983" t="str">
        <x:f>IF(G11=0,"",(H11+I11)/G11)</x:f>
      </x:c>
      <x:c r="AA11" t="n">
        <x:v>1</x:v>
      </x:c>
      <x:c r="AB11" t="str">
        <x:f>IF(ISNUMBER('Résultats détaillés'!T10),'Résultats détaillés'!T10,"")</x:f>
      </x:c>
      <x:c r="AC11" t="n">
        <x:f>IF(AND(ISNUMBER(AB11),AB11&gt;=5),AB11*100+27,0)</x:f>
        <x:v>0</x:v>
      </x:c>
      <x:c r="AD11" t="str">
        <x:f>IF(ISBLANK('Résultats détaillés'!B10),"",'Résultats détaillés'!B10)</x:f>
        <x:v>1.6</x:v>
      </x:c>
      <x:c r="AE11" t="str">
        <x:f>IF(ISBLANK('Résultats détaillés'!C10),"",'Résultats détaillés'!C10)</x:f>
        <x:v>Choisir des énergies renouvelables et encourager leur utilisation.</x:v>
      </x:c>
      <x:c r="AF11" t="str">
        <x:f>IF(ISBLANK('Résultats détaillés'!E10),"",'Résultats détaillés'!E10)</x:f>
      </x:c>
      <x:c r="AG11" t="str">
        <x:f>IF(ISBLANK('Résultats détaillés'!F10),"",'Résultats détaillés'!F10)</x:f>
      </x:c>
      <x:c r="AH11" t="n">
        <x:f>IF(ISNUMBER('Résultats détaillés'!H10),IF(AND('Résultats détaillés'!H10&gt;=1,'Résultats détaillés'!H10&lt;=4,MOD('Résultats détaillés'!H10,1)=0),'Résultats détaillés'!H10,0),0)</x:f>
        <x:v>0</x:v>
      </x:c>
      <x:c r="AI11" t="str">
        <x:f>IF(ISBLANK('Résultats détaillés'!W10),"",'Résultats détaillés'!W10)</x:f>
      </x:c>
      <x:c r="AJ11" t="n">
        <x:f>IF(LEN(TRIM(AI11))&gt;0,1,0)</x:f>
        <x:v>0</x:v>
      </x:c>
      <x:c r="AK11" t="n">
        <x:f>IF(LEN(TRIM('Résultats détaillés'!G10))&gt;0,1,0)</x:f>
        <x:v>0</x:v>
      </x:c>
      <x:c r="AL11" t="n">
        <x:f>IF(OR(IF(LEN('Résultats détaillés'!E10)=0,FALSE,NOT(IF(ISNUMBER('Résultats détaillés'!E10),AND('Résultats détaillés'!E10&gt;=0,'Résultats détaillés'!E10&lt;=3,MOD('Résultats détaillés'!E10,1)=0),FALSE))),IF(LEN('Résultats détaillés'!F10)=0,FALSE,NOT(IF(ISNUMBER('Résultats détaillés'!F10),AND('Résultats détaillés'!F10&gt;=1,'Résultats détaillés'!F10&lt;=4,MOD('Résultats détaillés'!F10,1)=0),FALSE))),IF(LEN('Résultats détaillés'!H10)=0,FALSE,NOT(IF(ISNUMBER('Résultats détaillés'!H10),AND('Résultats détaillés'!H10&gt;=1,'Résultats détaillés'!H10&lt;=4,MOD('Résultats détaillés'!H10,1)=0),FALSE)))),1,0)</x:f>
        <x:v>0</x:v>
      </x:c>
      <x:c r="AM11" t="n">
        <x:f>IF(AND(ISNUMBER(AB11),AB11&gt;0,AK11=0),1,0)</x:f>
        <x:v>0</x:v>
      </x:c>
      <x:c r="AN11" t="n">
        <x:v>10</x:v>
      </x:c>
      <x:c r="AO11" t="n">
        <x:f>IF(AND(ISNUMBER(AB11),AB11&gt;0),1,0)</x:f>
        <x:v>0</x:v>
      </x:c>
      <x:c r="AP11" t="n">
        <x:f>IF(AND(AC11&gt;0,AH11=0),1,0)</x:f>
        <x:v>0</x:v>
      </x:c>
      <x:c r="AQ11" t="n">
        <x:f>IF(AND(AC11&gt;0,AJ11=0),1,0)</x:f>
        <x:v>0</x:v>
      </x:c>
      <x:c r="AR11" t="n">
        <x:f>IF(ISNUMBER(AB11),1,0)</x:f>
        <x:v>0</x:v>
      </x:c>
    </x:row>
    <x:row r="12" s="1211" customFormat="1" ht="32" customHeight="1">
      <x:c r="A12"/>
      <x:c r="B12" s="1974" t="str">
        <x:v>2. Inclusion</x:v>
      </x:c>
      <x:c r="C12" s="1973" t="n">
        <x:f>'Résultats détaillés'!AC13</x:f>
        <x:v>5</x:v>
      </x:c>
      <x:c r="D12" s="1973" t="n">
        <x:f>'Résultats détaillés'!AD13</x:f>
        <x:v>0</x:v>
      </x:c>
      <x:c r="E12" s="1973" t="n">
        <x:f>C12-D12</x:f>
        <x:v>5</x:v>
      </x:c>
      <x:c r="F12" s="1983" t="n">
        <x:f>D12/C12</x:f>
        <x:v>0</x:v>
      </x:c>
      <x:c r="G12" s="1973" t="n">
        <x:f>SUMIFS($AO$6:$AO$37,$AA$6:$AA$37,2)</x:f>
        <x:v>0</x:v>
      </x:c>
      <x:c r="H12" s="1973" t="n">
        <x:f>'Résultats détaillés'!AF13</x:f>
        <x:v>0</x:v>
      </x:c>
      <x:c r="I12" s="1973" t="n">
        <x:f>'Résultats détaillés'!AG13</x:f>
        <x:v>0</x:v>
      </x:c>
      <x:c r="J12" s="1983" t="str">
        <x:f>IF(G12=0,"",COUNTIFS($AA$6:$AA$37,2,$AO$6:$AO$37,1,$AG$6:$AG$37,4)/G12)</x:f>
      </x:c>
      <x:c r="K12" s="1983" t="str">
        <x:f>IF(H12+I12=0,"",SUMIFS($AJ$6:$AJ$37,$AA$6:$AA$37,2,$AC$6:$AC$37,"&gt;0")/(H12+I12))</x:f>
      </x:c>
      <x:c r="L12" s="1973" t="n">
        <x:f>SUMIFS($AQ$6:$AQ$37,$AA$6:$AA$37,2)</x:f>
        <x:v>0</x:v>
      </x:c>
      <x:c r="M12" s="1983" t="str">
        <x:f>IF(G12=0,"",(H12+I12)/G12)</x:f>
      </x:c>
      <x:c r="AA12" t="n">
        <x:v>1</x:v>
      </x:c>
      <x:c r="AB12" t="str">
        <x:f>IF(ISNUMBER('Résultats détaillés'!T11),'Résultats détaillés'!T11,"")</x:f>
      </x:c>
      <x:c r="AC12" t="n">
        <x:f>IF(AND(ISNUMBER(AB12),AB12&gt;=5),AB12*100+26,0)</x:f>
        <x:v>0</x:v>
      </x:c>
      <x:c r="AD12" t="str">
        <x:f>IF(ISBLANK('Résultats détaillés'!B11),"",'Résultats détaillés'!B11)</x:f>
        <x:v>1.7</x:v>
      </x:c>
      <x:c r="AE12" t="str">
        <x:f>IF(ISBLANK('Résultats détaillés'!C11),"",'Résultats détaillés'!C11)</x:f>
        <x:v>Réserver l’intelligence artificielle aux besoins qui la justifient et privilégier des solutions sobres en ressources.</x:v>
      </x:c>
      <x:c r="AF12" t="str">
        <x:f>IF(ISBLANK('Résultats détaillés'!E11),"",'Résultats détaillés'!E11)</x:f>
      </x:c>
      <x:c r="AG12" t="str">
        <x:f>IF(ISBLANK('Résultats détaillés'!F11),"",'Résultats détaillés'!F11)</x:f>
      </x:c>
      <x:c r="AH12" t="n">
        <x:f>IF(ISNUMBER('Résultats détaillés'!H11),IF(AND('Résultats détaillés'!H11&gt;=1,'Résultats détaillés'!H11&lt;=4,MOD('Résultats détaillés'!H11,1)=0),'Résultats détaillés'!H11,0),0)</x:f>
        <x:v>0</x:v>
      </x:c>
      <x:c r="AI12" t="str">
        <x:f>IF(ISBLANK('Résultats détaillés'!W11),"",'Résultats détaillés'!W11)</x:f>
      </x:c>
      <x:c r="AJ12" t="n">
        <x:f>IF(LEN(TRIM(AI12))&gt;0,1,0)</x:f>
        <x:v>0</x:v>
      </x:c>
      <x:c r="AK12" t="n">
        <x:f>IF(LEN(TRIM('Résultats détaillés'!G11))&gt;0,1,0)</x:f>
        <x:v>0</x:v>
      </x:c>
      <x:c r="AL12" t="n">
        <x:f>IF(OR(IF(LEN('Résultats détaillés'!E11)=0,FALSE,NOT(IF(ISNUMBER('Résultats détaillés'!E11),AND('Résultats détaillés'!E11&gt;=0,'Résultats détaillés'!E11&lt;=3,MOD('Résultats détaillés'!E11,1)=0),FALSE))),IF(LEN('Résultats détaillés'!F11)=0,FALSE,NOT(IF(ISNUMBER('Résultats détaillés'!F11),AND('Résultats détaillés'!F11&gt;=1,'Résultats détaillés'!F11&lt;=4,MOD('Résultats détaillés'!F11,1)=0),FALSE))),IF(LEN('Résultats détaillés'!H11)=0,FALSE,NOT(IF(ISNUMBER('Résultats détaillés'!H11),AND('Résultats détaillés'!H11&gt;=1,'Résultats détaillés'!H11&lt;=4,MOD('Résultats détaillés'!H11,1)=0),FALSE)))),1,0)</x:f>
        <x:v>0</x:v>
      </x:c>
      <x:c r="AM12" t="n">
        <x:f>IF(AND(ISNUMBER(AB12),AB12&gt;0,AK12=0),1,0)</x:f>
        <x:v>0</x:v>
      </x:c>
      <x:c r="AN12" t="n">
        <x:v>11</x:v>
      </x:c>
      <x:c r="AO12" t="n">
        <x:f>IF(AND(ISNUMBER(AB12),AB12&gt;0),1,0)</x:f>
        <x:v>0</x:v>
      </x:c>
      <x:c r="AP12" t="n">
        <x:f>IF(AND(AC12&gt;0,AH12=0),1,0)</x:f>
        <x:v>0</x:v>
      </x:c>
      <x:c r="AQ12" t="n">
        <x:f>IF(AND(AC12&gt;0,AJ12=0),1,0)</x:f>
        <x:v>0</x:v>
      </x:c>
      <x:c r="AR12" t="n">
        <x:f>IF(ISNUMBER(AB12),1,0)</x:f>
        <x:v>0</x:v>
      </x:c>
    </x:row>
    <x:row r="13" s="1211" customFormat="1" ht="32" customHeight="1">
      <x:c r="A13"/>
      <x:c r="B13" s="1975" t="str">
        <x:v>3. RSE et éthique</x:v>
      </x:c>
      <x:c r="C13" s="1973" t="n">
        <x:f>'Résultats détaillés'!AC19</x:f>
        <x:v>8</x:v>
      </x:c>
      <x:c r="D13" s="1973" t="n">
        <x:f>'Résultats détaillés'!AD19</x:f>
        <x:v>0</x:v>
      </x:c>
      <x:c r="E13" s="1973" t="n">
        <x:f>C13-D13</x:f>
        <x:v>8</x:v>
      </x:c>
      <x:c r="F13" s="1983" t="n">
        <x:f>D13/C13</x:f>
        <x:v>0</x:v>
      </x:c>
      <x:c r="G13" s="1973" t="n">
        <x:f>SUMIFS($AO$6:$AO$37,$AA$6:$AA$37,3)</x:f>
        <x:v>0</x:v>
      </x:c>
      <x:c r="H13" s="1973" t="n">
        <x:f>'Résultats détaillés'!AF19</x:f>
        <x:v>0</x:v>
      </x:c>
      <x:c r="I13" s="1973" t="n">
        <x:f>'Résultats détaillés'!AG19</x:f>
        <x:v>0</x:v>
      </x:c>
      <x:c r="J13" s="1983" t="str">
        <x:f>IF(G13=0,"",COUNTIFS($AA$6:$AA$37,3,$AO$6:$AO$37,1,$AG$6:$AG$37,4)/G13)</x:f>
      </x:c>
      <x:c r="K13" s="1983" t="str">
        <x:f>IF(H13+I13=0,"",SUMIFS($AJ$6:$AJ$37,$AA$6:$AA$37,3,$AC$6:$AC$37,"&gt;0")/(H13+I13))</x:f>
      </x:c>
      <x:c r="L13" s="1973" t="n">
        <x:f>SUMIFS($AQ$6:$AQ$37,$AA$6:$AA$37,3)</x:f>
        <x:v>0</x:v>
      </x:c>
      <x:c r="M13" s="1983" t="str">
        <x:f>IF(G13=0,"",(H13+I13)/G13)</x:f>
      </x:c>
      <x:c r="AA13" t="n">
        <x:v>1</x:v>
      </x:c>
      <x:c r="AB13" t="str">
        <x:f>IF(ISNUMBER('Résultats détaillés'!T12),'Résultats détaillés'!T12,"")</x:f>
      </x:c>
      <x:c r="AC13" t="n">
        <x:f>IF(AND(ISNUMBER(AB13),AB13&gt;=5),AB13*100+25,0)</x:f>
        <x:v>0</x:v>
      </x:c>
      <x:c r="AD13" t="str">
        <x:f>IF(ISBLANK('Résultats détaillés'!B12),"",'Résultats détaillés'!B12)</x:f>
        <x:v>1.8</x:v>
      </x:c>
      <x:c r="AE13" t="str">
        <x:f>IF(ISBLANK('Résultats détaillés'!C12),"",'Résultats détaillés'!C12)</x:f>
        <x:v>Mesurer et réduire ce que consomme l’intelligence artificielle, pendant son entraînement comme pendant son utilisation.</x:v>
      </x:c>
      <x:c r="AF13" t="str">
        <x:f>IF(ISBLANK('Résultats détaillés'!E12),"",'Résultats détaillés'!E12)</x:f>
      </x:c>
      <x:c r="AG13" t="str">
        <x:f>IF(ISBLANK('Résultats détaillés'!F12),"",'Résultats détaillés'!F12)</x:f>
      </x:c>
      <x:c r="AH13" t="n">
        <x:f>IF(ISNUMBER('Résultats détaillés'!H12),IF(AND('Résultats détaillés'!H12&gt;=1,'Résultats détaillés'!H12&lt;=4,MOD('Résultats détaillés'!H12,1)=0),'Résultats détaillés'!H12,0),0)</x:f>
        <x:v>0</x:v>
      </x:c>
      <x:c r="AI13" t="str">
        <x:f>IF(ISBLANK('Résultats détaillés'!W12),"",'Résultats détaillés'!W12)</x:f>
      </x:c>
      <x:c r="AJ13" t="n">
        <x:f>IF(LEN(TRIM(AI13))&gt;0,1,0)</x:f>
        <x:v>0</x:v>
      </x:c>
      <x:c r="AK13" t="n">
        <x:f>IF(LEN(TRIM('Résultats détaillés'!G12))&gt;0,1,0)</x:f>
        <x:v>0</x:v>
      </x:c>
      <x:c r="AL13" t="n">
        <x:f>IF(OR(IF(LEN('Résultats détaillés'!E12)=0,FALSE,NOT(IF(ISNUMBER('Résultats détaillés'!E12),AND('Résultats détaillés'!E12&gt;=0,'Résultats détaillés'!E12&lt;=3,MOD('Résultats détaillés'!E12,1)=0),FALSE))),IF(LEN('Résultats détaillés'!F12)=0,FALSE,NOT(IF(ISNUMBER('Résultats détaillés'!F12),AND('Résultats détaillés'!F12&gt;=1,'Résultats détaillés'!F12&lt;=4,MOD('Résultats détaillés'!F12,1)=0),FALSE))),IF(LEN('Résultats détaillés'!H12)=0,FALSE,NOT(IF(ISNUMBER('Résultats détaillés'!H12),AND('Résultats détaillés'!H12&gt;=1,'Résultats détaillés'!H12&lt;=4,MOD('Résultats détaillés'!H12,1)=0),FALSE)))),1,0)</x:f>
        <x:v>0</x:v>
      </x:c>
      <x:c r="AM13" t="n">
        <x:f>IF(AND(ISNUMBER(AB13),AB13&gt;0,AK13=0),1,0)</x:f>
        <x:v>0</x:v>
      </x:c>
      <x:c r="AN13" t="n">
        <x:v>12</x:v>
      </x:c>
      <x:c r="AO13" t="n">
        <x:f>IF(AND(ISNUMBER(AB13),AB13&gt;0),1,0)</x:f>
        <x:v>0</x:v>
      </x:c>
      <x:c r="AP13" t="n">
        <x:f>IF(AND(AC13&gt;0,AH13=0),1,0)</x:f>
        <x:v>0</x:v>
      </x:c>
      <x:c r="AQ13" t="n">
        <x:f>IF(AND(AC13&gt;0,AJ13=0),1,0)</x:f>
        <x:v>0</x:v>
      </x:c>
      <x:c r="AR13" t="n">
        <x:f>IF(ISNUMBER(AB13),1,0)</x:f>
        <x:v>0</x:v>
      </x:c>
    </x:row>
    <x:row r="14" s="1211" customFormat="1" ht="32" customHeight="1">
      <x:c r="A14"/>
      <x:c r="B14" s="1976" t="str">
        <x:v>4. Résilience</x:v>
      </x:c>
      <x:c r="C14" s="1973" t="n">
        <x:f>'Résultats détaillés'!AC28</x:f>
        <x:v>4</x:v>
      </x:c>
      <x:c r="D14" s="1973" t="n">
        <x:f>'Résultats détaillés'!AD28</x:f>
        <x:v>0</x:v>
      </x:c>
      <x:c r="E14" s="1973" t="n">
        <x:f>C14-D14</x:f>
        <x:v>4</x:v>
      </x:c>
      <x:c r="F14" s="1983" t="n">
        <x:f>D14/C14</x:f>
        <x:v>0</x:v>
      </x:c>
      <x:c r="G14" s="1973" t="n">
        <x:f>SUMIFS($AO$6:$AO$37,$AA$6:$AA$37,4)</x:f>
        <x:v>0</x:v>
      </x:c>
      <x:c r="H14" s="1973" t="n">
        <x:f>'Résultats détaillés'!AF28</x:f>
        <x:v>0</x:v>
      </x:c>
      <x:c r="I14" s="1973" t="n">
        <x:f>'Résultats détaillés'!AG28</x:f>
        <x:v>0</x:v>
      </x:c>
      <x:c r="J14" s="1983" t="str">
        <x:f>IF(G14=0,"",COUNTIFS($AA$6:$AA$37,4,$AO$6:$AO$37,1,$AG$6:$AG$37,4)/G14)</x:f>
      </x:c>
      <x:c r="K14" s="1983" t="str">
        <x:f>IF(H14+I14=0,"",SUMIFS($AJ$6:$AJ$37,$AA$6:$AA$37,4,$AC$6:$AC$37,"&gt;0")/(H14+I14))</x:f>
      </x:c>
      <x:c r="L14" s="1973" t="n">
        <x:f>SUMIFS($AQ$6:$AQ$37,$AA$6:$AA$37,4)</x:f>
        <x:v>0</x:v>
      </x:c>
      <x:c r="M14" s="1983" t="str">
        <x:f>IF(G14=0,"",(H14+I14)/G14)</x:f>
      </x:c>
      <x:c r="AA14" t="n">
        <x:v>2</x:v>
      </x:c>
      <x:c r="AB14" t="str">
        <x:f>IF(ISNUMBER('Résultats détaillés'!T14),'Résultats détaillés'!T14,"")</x:f>
      </x:c>
      <x:c r="AC14" t="n">
        <x:f>IF(AND(ISNUMBER(AB14),AB14&gt;=5),AB14*100+24,0)</x:f>
        <x:v>0</x:v>
      </x:c>
      <x:c r="AD14" t="str">
        <x:f>IF(ISBLANK('Résultats détaillés'!B14),"",'Résultats détaillés'!B14)</x:f>
        <x:v>2.1</x:v>
      </x:c>
      <x:c r="AE14" t="str">
        <x:f>IF(ISBLANK('Résultats détaillés'!C14),"",'Résultats détaillés'!C14)</x:f>
        <x:v>Intégrer dans tous les achats des exigences qui tiennent compte de leurs effets sur la société et l’environnement.</x:v>
      </x:c>
      <x:c r="AF14" t="str">
        <x:f>IF(ISBLANK('Résultats détaillés'!E14),"",'Résultats détaillés'!E14)</x:f>
      </x:c>
      <x:c r="AG14" t="str">
        <x:f>IF(ISBLANK('Résultats détaillés'!F14),"",'Résultats détaillés'!F14)</x:f>
      </x:c>
      <x:c r="AH14" t="n">
        <x:f>IF(ISNUMBER('Résultats détaillés'!H14),IF(AND('Résultats détaillés'!H14&gt;=1,'Résultats détaillés'!H14&lt;=4,MOD('Résultats détaillés'!H14,1)=0),'Résultats détaillés'!H14,0),0)</x:f>
        <x:v>0</x:v>
      </x:c>
      <x:c r="AI14" t="str">
        <x:f>IF(ISBLANK('Résultats détaillés'!W14),"",'Résultats détaillés'!W14)</x:f>
      </x:c>
      <x:c r="AJ14" t="n">
        <x:f>IF(LEN(TRIM(AI14))&gt;0,1,0)</x:f>
        <x:v>0</x:v>
      </x:c>
      <x:c r="AK14" t="n">
        <x:f>IF(LEN(TRIM('Résultats détaillés'!G14))&gt;0,1,0)</x:f>
        <x:v>0</x:v>
      </x:c>
      <x:c r="AL14" t="n">
        <x:f>IF(OR(IF(LEN('Résultats détaillés'!E14)=0,FALSE,NOT(IF(ISNUMBER('Résultats détaillés'!E14),AND('Résultats détaillés'!E14&gt;=0,'Résultats détaillés'!E14&lt;=3,MOD('Résultats détaillés'!E14,1)=0),FALSE))),IF(LEN('Résultats détaillés'!F14)=0,FALSE,NOT(IF(ISNUMBER('Résultats détaillés'!F14),AND('Résultats détaillés'!F14&gt;=1,'Résultats détaillés'!F14&lt;=4,MOD('Résultats détaillés'!F14,1)=0),FALSE))),IF(LEN('Résultats détaillés'!H14)=0,FALSE,NOT(IF(ISNUMBER('Résultats détaillés'!H14),AND('Résultats détaillés'!H14&gt;=1,'Résultats détaillés'!H14&lt;=4,MOD('Résultats détaillés'!H14,1)=0),FALSE)))),1,0)</x:f>
        <x:v>0</x:v>
      </x:c>
      <x:c r="AM14" t="n">
        <x:f>IF(AND(ISNUMBER(AB14),AB14&gt;0,AK14=0),1,0)</x:f>
        <x:v>0</x:v>
      </x:c>
      <x:c r="AN14" t="n">
        <x:v>14</x:v>
      </x:c>
      <x:c r="AO14" t="n">
        <x:f>IF(AND(ISNUMBER(AB14),AB14&gt;0),1,0)</x:f>
        <x:v>0</x:v>
      </x:c>
      <x:c r="AP14" t="n">
        <x:f>IF(AND(AC14&gt;0,AH14=0),1,0)</x:f>
        <x:v>0</x:v>
      </x:c>
      <x:c r="AQ14" t="n">
        <x:f>IF(AND(AC14&gt;0,AJ14=0),1,0)</x:f>
        <x:v>0</x:v>
      </x:c>
      <x:c r="AR14" t="n">
        <x:f>IF(ISNUMBER(AB14),1,0)</x:f>
        <x:v>0</x:v>
      </x:c>
    </x:row>
    <x:row r="15" s="1211" customFormat="1" ht="32" customHeight="1">
      <x:c r="A15"/>
      <x:c r="B15" s="1977" t="str">
        <x:v>5. Management</x:v>
      </x:c>
      <x:c r="C15" s="1973" t="n">
        <x:f>'Résultats détaillés'!AC33</x:f>
        <x:v>7</x:v>
      </x:c>
      <x:c r="D15" s="1973" t="n">
        <x:f>'Résultats détaillés'!AD33</x:f>
        <x:v>0</x:v>
      </x:c>
      <x:c r="E15" s="1973" t="n">
        <x:f>C15-D15</x:f>
        <x:v>7</x:v>
      </x:c>
      <x:c r="F15" s="1983" t="n">
        <x:f>D15/C15</x:f>
        <x:v>0</x:v>
      </x:c>
      <x:c r="G15" s="1973" t="n">
        <x:f>SUMIFS($AO$6:$AO$37,$AA$6:$AA$37,5)</x:f>
        <x:v>0</x:v>
      </x:c>
      <x:c r="H15" s="1973" t="n">
        <x:f>'Résultats détaillés'!AF33</x:f>
        <x:v>0</x:v>
      </x:c>
      <x:c r="I15" s="1973" t="n">
        <x:f>'Résultats détaillés'!AG33</x:f>
        <x:v>0</x:v>
      </x:c>
      <x:c r="J15" s="1983" t="str">
        <x:f>IF(G15=0,"",COUNTIFS($AA$6:$AA$37,5,$AO$6:$AO$37,1,$AG$6:$AG$37,4)/G15)</x:f>
      </x:c>
      <x:c r="K15" s="1983" t="str">
        <x:f>IF(H15+I15=0,"",SUMIFS($AJ$6:$AJ$37,$AA$6:$AA$37,5,$AC$6:$AC$37,"&gt;0")/(H15+I15))</x:f>
      </x:c>
      <x:c r="L15" s="1973" t="n">
        <x:f>SUMIFS($AQ$6:$AQ$37,$AA$6:$AA$37,5)</x:f>
        <x:v>0</x:v>
      </x:c>
      <x:c r="M15" s="1983" t="str">
        <x:f>IF(G15=0,"",(H15+I15)/G15)</x:f>
      </x:c>
      <x:c r="AA15" t="n">
        <x:v>2</x:v>
      </x:c>
      <x:c r="AB15" t="str">
        <x:f>IF(ISNUMBER('Résultats détaillés'!T15),'Résultats détaillés'!T15,"")</x:f>
      </x:c>
      <x:c r="AC15" t="n">
        <x:f>IF(AND(ISNUMBER(AB15),AB15&gt;=5),AB15*100+23,0)</x:f>
        <x:v>0</x:v>
      </x:c>
      <x:c r="AD15" t="str">
        <x:f>IF(ISBLANK('Résultats détaillés'!B15),"",'Résultats détaillés'!B15)</x:f>
        <x:v>2.2</x:v>
      </x:c>
      <x:c r="AE15" t="str">
        <x:f>IF(ISBLANK('Résultats détaillés'!C15),"",'Résultats détaillés'!C15)</x:f>
        <x:v>Rendre les services numériques accessibles à toutes et tous. Mesurer leur respect du RGAA, le référentiel français sur l’accessibilité numérique.</x:v>
      </x:c>
      <x:c r="AF15" t="str">
        <x:f>IF(ISBLANK('Résultats détaillés'!E15),"",'Résultats détaillés'!E15)</x:f>
      </x:c>
      <x:c r="AG15" t="str">
        <x:f>IF(ISBLANK('Résultats détaillés'!F15),"",'Résultats détaillés'!F15)</x:f>
      </x:c>
      <x:c r="AH15" t="n">
        <x:f>IF(ISNUMBER('Résultats détaillés'!H15),IF(AND('Résultats détaillés'!H15&gt;=1,'Résultats détaillés'!H15&lt;=4,MOD('Résultats détaillés'!H15,1)=0),'Résultats détaillés'!H15,0),0)</x:f>
        <x:v>0</x:v>
      </x:c>
      <x:c r="AI15" t="str">
        <x:f>IF(ISBLANK('Résultats détaillés'!W15),"",'Résultats détaillés'!W15)</x:f>
      </x:c>
      <x:c r="AJ15" t="n">
        <x:f>IF(LEN(TRIM(AI15))&gt;0,1,0)</x:f>
        <x:v>0</x:v>
      </x:c>
      <x:c r="AK15" t="n">
        <x:f>IF(LEN(TRIM('Résultats détaillés'!G15))&gt;0,1,0)</x:f>
        <x:v>0</x:v>
      </x:c>
      <x:c r="AL15" t="n">
        <x:f>IF(OR(IF(LEN('Résultats détaillés'!E15)=0,FALSE,NOT(IF(ISNUMBER('Résultats détaillés'!E15),AND('Résultats détaillés'!E15&gt;=0,'Résultats détaillés'!E15&lt;=3,MOD('Résultats détaillés'!E15,1)=0),FALSE))),IF(LEN('Résultats détaillés'!F15)=0,FALSE,NOT(IF(ISNUMBER('Résultats détaillés'!F15),AND('Résultats détaillés'!F15&gt;=1,'Résultats détaillés'!F15&lt;=4,MOD('Résultats détaillés'!F15,1)=0),FALSE))),IF(LEN('Résultats détaillés'!H15)=0,FALSE,NOT(IF(ISNUMBER('Résultats détaillés'!H15),AND('Résultats détaillés'!H15&gt;=1,'Résultats détaillés'!H15&lt;=4,MOD('Résultats détaillés'!H15,1)=0),FALSE)))),1,0)</x:f>
        <x:v>0</x:v>
      </x:c>
      <x:c r="AM15" t="n">
        <x:f>IF(AND(ISNUMBER(AB15),AB15&gt;0,AK15=0),1,0)</x:f>
        <x:v>0</x:v>
      </x:c>
      <x:c r="AN15" t="n">
        <x:v>15</x:v>
      </x:c>
      <x:c r="AO15" t="n">
        <x:f>IF(AND(ISNUMBER(AB15),AB15&gt;0),1,0)</x:f>
        <x:v>0</x:v>
      </x:c>
      <x:c r="AP15" t="n">
        <x:f>IF(AND(AC15&gt;0,AH15=0),1,0)</x:f>
        <x:v>0</x:v>
      </x:c>
      <x:c r="AQ15" t="n">
        <x:f>IF(AND(AC15&gt;0,AJ15=0),1,0)</x:f>
        <x:v>0</x:v>
      </x:c>
      <x:c r="AR15" t="n">
        <x:f>IF(ISNUMBER(AB15),1,0)</x:f>
        <x:v>0</x:v>
      </x:c>
    </x:row>
    <x:row r="16" s="1211" customFormat="1" ht="32" customHeight="1">
      <x:c r="A16"/>
      <x:c r="B16" s="1981" t="str">
        <x:v>TOTAL</x:v>
      </x:c>
      <x:c r="C16" s="1982" t="n">
        <x:f>SUM(C11:C15)</x:f>
        <x:v>32</x:v>
      </x:c>
      <x:c r="D16" s="1982" t="n">
        <x:f>SUM(D11:D15)</x:f>
        <x:v>0</x:v>
      </x:c>
      <x:c r="E16" s="1982" t="n">
        <x:f>SUM(E11:E15)</x:f>
        <x:v>32</x:v>
      </x:c>
      <x:c r="F16" s="1984" t="n">
        <x:f>D16/C16</x:f>
        <x:v>0</x:v>
      </x:c>
      <x:c r="G16" s="1982" t="n">
        <x:f>SUM(G11:G15)</x:f>
        <x:v>0</x:v>
      </x:c>
      <x:c r="H16" s="1982" t="n">
        <x:f>SUM(H11:H15)</x:f>
        <x:v>0</x:v>
      </x:c>
      <x:c r="I16" s="1982" t="n">
        <x:f>SUM(I11:I15)</x:f>
        <x:v>0</x:v>
      </x:c>
      <x:c r="J16" s="1984" t="str">
        <x:f>IF(G16=0,"",COUNTIFS($AO$6:$AO$37,1,$AG$6:$AG$37,4)/G16)</x:f>
      </x:c>
      <x:c r="K16" s="1984" t="str">
        <x:f>IF(H16+I16=0,"",SUMIFS($AJ$6:$AJ$37,$AC$6:$AC$37,"&gt;0")/(H16+I16))</x:f>
      </x:c>
      <x:c r="L16" s="1982" t="n">
        <x:f>SUM(L11:L15)</x:f>
        <x:v>0</x:v>
      </x:c>
      <x:c r="M16" s="1984" t="str">
        <x:f>IF(G16=0,"",(H16+I16)/G16)</x:f>
      </x:c>
      <x:c r="AA16" t="n">
        <x:v>2</x:v>
      </x:c>
      <x:c r="AB16" t="str">
        <x:f>IF(ISNUMBER('Résultats détaillés'!T16),'Résultats détaillés'!T16,"")</x:f>
      </x:c>
      <x:c r="AC16" t="n">
        <x:f>IF(AND(ISNUMBER(AB16),AB16&gt;=5),AB16*100+22,0)</x:f>
        <x:v>0</x:v>
      </x:c>
      <x:c r="AD16" t="str">
        <x:f>IF(ISBLANK('Résultats détaillés'!B16),"",'Résultats détaillés'!B16)</x:f>
        <x:v>2.3</x:v>
      </x:c>
      <x:c r="AE16" t="str">
        <x:f>IF(ISBLANK('Résultats détaillés'!C16),"",'Résultats détaillés'!C16)</x:f>
        <x:v>Créer des applications utiles, faciles à utiliser et réellement utilisées : les « 3 U ». Les rendre accessibles pour permettre à chacun d’utiliser le numérique.</x:v>
      </x:c>
      <x:c r="AF16" t="str">
        <x:f>IF(ISBLANK('Résultats détaillés'!E16),"",'Résultats détaillés'!E16)</x:f>
      </x:c>
      <x:c r="AG16" t="str">
        <x:f>IF(ISBLANK('Résultats détaillés'!F16),"",'Résultats détaillés'!F16)</x:f>
      </x:c>
      <x:c r="AH16" t="n">
        <x:f>IF(ISNUMBER('Résultats détaillés'!H16),IF(AND('Résultats détaillés'!H16&gt;=1,'Résultats détaillés'!H16&lt;=4,MOD('Résultats détaillés'!H16,1)=0),'Résultats détaillés'!H16,0),0)</x:f>
        <x:v>0</x:v>
      </x:c>
      <x:c r="AI16" t="str">
        <x:f>IF(ISBLANK('Résultats détaillés'!W16),"",'Résultats détaillés'!W16)</x:f>
      </x:c>
      <x:c r="AJ16" t="n">
        <x:f>IF(LEN(TRIM(AI16))&gt;0,1,0)</x:f>
        <x:v>0</x:v>
      </x:c>
      <x:c r="AK16" t="n">
        <x:f>IF(LEN(TRIM('Résultats détaillés'!G16))&gt;0,1,0)</x:f>
        <x:v>0</x:v>
      </x:c>
      <x:c r="AL16" t="n">
        <x:f>IF(OR(IF(LEN('Résultats détaillés'!E16)=0,FALSE,NOT(IF(ISNUMBER('Résultats détaillés'!E16),AND('Résultats détaillés'!E16&gt;=0,'Résultats détaillés'!E16&lt;=3,MOD('Résultats détaillés'!E16,1)=0),FALSE))),IF(LEN('Résultats détaillés'!F16)=0,FALSE,NOT(IF(ISNUMBER('Résultats détaillés'!F16),AND('Résultats détaillés'!F16&gt;=1,'Résultats détaillés'!F16&lt;=4,MOD('Résultats détaillés'!F16,1)=0),FALSE))),IF(LEN('Résultats détaillés'!H16)=0,FALSE,NOT(IF(ISNUMBER('Résultats détaillés'!H16),AND('Résultats détaillés'!H16&gt;=1,'Résultats détaillés'!H16&lt;=4,MOD('Résultats détaillés'!H16,1)=0),FALSE)))),1,0)</x:f>
        <x:v>0</x:v>
      </x:c>
      <x:c r="AM16" t="n">
        <x:f>IF(AND(ISNUMBER(AB16),AB16&gt;0,AK16=0),1,0)</x:f>
        <x:v>0</x:v>
      </x:c>
      <x:c r="AN16" t="n">
        <x:v>16</x:v>
      </x:c>
      <x:c r="AO16" t="n">
        <x:f>IF(AND(ISNUMBER(AB16),AB16&gt;0),1,0)</x:f>
        <x:v>0</x:v>
      </x:c>
      <x:c r="AP16" t="n">
        <x:f>IF(AND(AC16&gt;0,AH16=0),1,0)</x:f>
        <x:v>0</x:v>
      </x:c>
      <x:c r="AQ16" t="n">
        <x:f>IF(AND(AC16&gt;0,AJ16=0),1,0)</x:f>
        <x:v>0</x:v>
      </x:c>
      <x:c r="AR16" t="n">
        <x:f>IF(ISNUMBER(AB16),1,0)</x:f>
        <x:v>0</x:v>
      </x:c>
    </x:row>
    <x:row r="17" s="1211" customFormat="1" ht="24" customHeight="1">
      <x:c r="A17"/>
      <x:c r="B17" s="1923"/>
      <x:c r="C17" s="1923"/>
      <x:c r="D17" s="1923"/>
      <x:c r="E17" s="1923"/>
      <x:c r="F17" s="1923"/>
      <x:c r="G17" s="1923"/>
      <x:c r="H17" s="1923"/>
      <x:c r="I17" s="1923"/>
      <x:c r="J17" s="1923"/>
      <x:c r="K17" s="1923"/>
      <x:c r="L17" s="1923"/>
      <x:c r="M17" s="1923"/>
      <x:c r="AA17" t="n">
        <x:v>2</x:v>
      </x:c>
      <x:c r="AB17" t="str">
        <x:f>IF(ISNUMBER('Résultats détaillés'!T17),'Résultats détaillés'!T17,"")</x:f>
      </x:c>
      <x:c r="AC17" t="n">
        <x:f>IF(AND(ISNUMBER(AB17),AB17&gt;=5),AB17*100+21,0)</x:f>
        <x:v>0</x:v>
      </x:c>
      <x:c r="AD17" t="str">
        <x:f>IF(ISBLANK('Résultats détaillés'!B17),"",'Résultats détaillés'!B17)</x:f>
        <x:v>2.4</x:v>
      </x:c>
      <x:c r="AE17" t="str">
        <x:f>IF(ISBLANK('Résultats détaillés'!C17),"",'Résultats détaillés'!C17)</x:f>
        <x:v>Concevoir les services avec leurs utilisateurs et utilisatrices, en se concentrant sur leurs besoins réels.</x:v>
      </x:c>
      <x:c r="AF17" t="str">
        <x:f>IF(ISBLANK('Résultats détaillés'!E17),"",'Résultats détaillés'!E17)</x:f>
      </x:c>
      <x:c r="AG17" t="str">
        <x:f>IF(ISBLANK('Résultats détaillés'!F17),"",'Résultats détaillés'!F17)</x:f>
      </x:c>
      <x:c r="AH17" t="n">
        <x:f>IF(ISNUMBER('Résultats détaillés'!H17),IF(AND('Résultats détaillés'!H17&gt;=1,'Résultats détaillés'!H17&lt;=4,MOD('Résultats détaillés'!H17,1)=0),'Résultats détaillés'!H17,0),0)</x:f>
        <x:v>0</x:v>
      </x:c>
      <x:c r="AI17" t="str">
        <x:f>IF(ISBLANK('Résultats détaillés'!W17),"",'Résultats détaillés'!W17)</x:f>
      </x:c>
      <x:c r="AJ17" t="n">
        <x:f>IF(LEN(TRIM(AI17))&gt;0,1,0)</x:f>
        <x:v>0</x:v>
      </x:c>
      <x:c r="AK17" t="n">
        <x:f>IF(LEN(TRIM('Résultats détaillés'!G17))&gt;0,1,0)</x:f>
        <x:v>0</x:v>
      </x:c>
      <x:c r="AL17" t="n">
        <x:f>IF(OR(IF(LEN('Résultats détaillés'!E17)=0,FALSE,NOT(IF(ISNUMBER('Résultats détaillés'!E17),AND('Résultats détaillés'!E17&gt;=0,'Résultats détaillés'!E17&lt;=3,MOD('Résultats détaillés'!E17,1)=0),FALSE))),IF(LEN('Résultats détaillés'!F17)=0,FALSE,NOT(IF(ISNUMBER('Résultats détaillés'!F17),AND('Résultats détaillés'!F17&gt;=1,'Résultats détaillés'!F17&lt;=4,MOD('Résultats détaillés'!F17,1)=0),FALSE))),IF(LEN('Résultats détaillés'!H17)=0,FALSE,NOT(IF(ISNUMBER('Résultats détaillés'!H17),AND('Résultats détaillés'!H17&gt;=1,'Résultats détaillés'!H17&lt;=4,MOD('Résultats détaillés'!H17,1)=0),FALSE)))),1,0)</x:f>
        <x:v>0</x:v>
      </x:c>
      <x:c r="AM17" t="n">
        <x:f>IF(AND(ISNUMBER(AB17),AB17&gt;0,AK17=0),1,0)</x:f>
        <x:v>0</x:v>
      </x:c>
      <x:c r="AN17" t="n">
        <x:v>17</x:v>
      </x:c>
      <x:c r="AO17" t="n">
        <x:f>IF(AND(ISNUMBER(AB17),AB17&gt;0),1,0)</x:f>
        <x:v>0</x:v>
      </x:c>
      <x:c r="AP17" t="n">
        <x:f>IF(AND(AC17&gt;0,AH17=0),1,0)</x:f>
        <x:v>0</x:v>
      </x:c>
      <x:c r="AQ17" t="n">
        <x:f>IF(AND(AC17&gt;0,AJ17=0),1,0)</x:f>
        <x:v>0</x:v>
      </x:c>
      <x:c r="AR17" t="n">
        <x:f>IF(ISNUMBER(AB17),1,0)</x:f>
        <x:v>0</x:v>
      </x:c>
    </x:row>
    <x:row r="18" s="1211" customFormat="1" ht="24" customHeight="1">
      <x:c r="A18"/>
      <x:c r="B18" s="1949" t="str">
        <x:v>Part prioritaire = urgentes + prioritaires / applicables évaluées. « Avec action » = une proposition écrite pour ces priorités.</x:v>
      </x:c>
      <x:c r="C18" s="1949"/>
      <x:c r="D18" s="1949"/>
      <x:c r="E18" s="1949"/>
      <x:c r="F18" s="1949"/>
      <x:c r="G18" s="1949"/>
      <x:c r="H18" s="1949"/>
      <x:c r="I18" s="1949"/>
      <x:c r="J18" s="1949"/>
      <x:c r="K18" s="1949"/>
      <x:c r="L18" s="1949"/>
      <x:c r="M18" s="1949"/>
      <x:c r="AA18" t="n">
        <x:v>2</x:v>
      </x:c>
      <x:c r="AB18" t="str">
        <x:f>IF(ISNUMBER('Résultats détaillés'!T18),'Résultats détaillés'!T18,"")</x:f>
      </x:c>
      <x:c r="AC18" t="n">
        <x:f>IF(AND(ISNUMBER(AB18),AB18&gt;=5),AB18*100+20,0)</x:f>
        <x:v>0</x:v>
      </x:c>
      <x:c r="AD18" t="str">
        <x:f>IF(ISBLANK('Résultats détaillés'!B18),"",'Résultats détaillés'!B18)</x:f>
        <x:v>2.5</x:v>
      </x:c>
      <x:c r="AE18" t="str">
        <x:f>IF(ISBLANK('Résultats détaillés'!C18),"",'Résultats détaillés'!C18)</x:f>
        <x:v>Vérifier que l’intelligence artificielle ne discrimine personne et que ses services peuvent être utilisés par toutes et tous.</x:v>
      </x:c>
      <x:c r="AF18" t="str">
        <x:f>IF(ISBLANK('Résultats détaillés'!E18),"",'Résultats détaillés'!E18)</x:f>
      </x:c>
      <x:c r="AG18" t="str">
        <x:f>IF(ISBLANK('Résultats détaillés'!F18),"",'Résultats détaillés'!F18)</x:f>
      </x:c>
      <x:c r="AH18" t="n">
        <x:f>IF(ISNUMBER('Résultats détaillés'!H18),IF(AND('Résultats détaillés'!H18&gt;=1,'Résultats détaillés'!H18&lt;=4,MOD('Résultats détaillés'!H18,1)=0),'Résultats détaillés'!H18,0),0)</x:f>
        <x:v>0</x:v>
      </x:c>
      <x:c r="AI18" t="str">
        <x:f>IF(ISBLANK('Résultats détaillés'!W18),"",'Résultats détaillés'!W18)</x:f>
      </x:c>
      <x:c r="AJ18" t="n">
        <x:f>IF(LEN(TRIM(AI18))&gt;0,1,0)</x:f>
        <x:v>0</x:v>
      </x:c>
      <x:c r="AK18" t="n">
        <x:f>IF(LEN(TRIM('Résultats détaillés'!G18))&gt;0,1,0)</x:f>
        <x:v>0</x:v>
      </x:c>
      <x:c r="AL18" t="n">
        <x:f>IF(OR(IF(LEN('Résultats détaillés'!E18)=0,FALSE,NOT(IF(ISNUMBER('Résultats détaillés'!E18),AND('Résultats détaillés'!E18&gt;=0,'Résultats détaillés'!E18&lt;=3,MOD('Résultats détaillés'!E18,1)=0),FALSE))),IF(LEN('Résultats détaillés'!F18)=0,FALSE,NOT(IF(ISNUMBER('Résultats détaillés'!F18),AND('Résultats détaillés'!F18&gt;=1,'Résultats détaillés'!F18&lt;=4,MOD('Résultats détaillés'!F18,1)=0),FALSE))),IF(LEN('Résultats détaillés'!H18)=0,FALSE,NOT(IF(ISNUMBER('Résultats détaillés'!H18),AND('Résultats détaillés'!H18&gt;=1,'Résultats détaillés'!H18&lt;=4,MOD('Résultats détaillés'!H18,1)=0),FALSE)))),1,0)</x:f>
        <x:v>0</x:v>
      </x:c>
      <x:c r="AM18" t="n">
        <x:f>IF(AND(ISNUMBER(AB18),AB18&gt;0,AK18=0),1,0)</x:f>
        <x:v>0</x:v>
      </x:c>
      <x:c r="AN18" t="n">
        <x:v>18</x:v>
      </x:c>
      <x:c r="AO18" t="n">
        <x:f>IF(AND(ISNUMBER(AB18),AB18&gt;0),1,0)</x:f>
        <x:v>0</x:v>
      </x:c>
      <x:c r="AP18" t="n">
        <x:f>IF(AND(AC18&gt;0,AH18=0),1,0)</x:f>
        <x:v>0</x:v>
      </x:c>
      <x:c r="AQ18" t="n">
        <x:f>IF(AND(AC18&gt;0,AJ18=0),1,0)</x:f>
        <x:v>0</x:v>
      </x:c>
      <x:c r="AR18" t="n">
        <x:f>IF(ISNUMBER(AB18),1,0)</x:f>
        <x:v>0</x:v>
      </x:c>
    </x:row>
    <x:row r="19" s="1211" customFormat="1" ht="24" customHeight="1">
      <x:c r="A19"/>
      <x:c r="B19" s="1949" t="str">
        <x:f>IF(D16=0,"Commencer par renseigner les notes dans les onglets ONR.",E16&amp;" cibles restent à évaluer. "&amp;(D16-G16)&amp;" sont non applicables. Les résultats portent sur "&amp;G16&amp;" cibles applicables évaluées.")</x:f>
        <x:v>Commencer par renseigner les notes dans les onglets ONR.</x:v>
      </x:c>
      <x:c r="C19" s="1949"/>
      <x:c r="D19" s="1949"/>
      <x:c r="E19" s="1949"/>
      <x:c r="F19" s="1949"/>
      <x:c r="G19" s="1949"/>
      <x:c r="H19" s="1949"/>
      <x:c r="I19" s="1949"/>
      <x:c r="J19" s="1949"/>
      <x:c r="K19" s="1949"/>
      <x:c r="L19" s="1949"/>
      <x:c r="M19" s="1949"/>
      <x:c r="AA19" t="n">
        <x:v>3</x:v>
      </x:c>
      <x:c r="AB19" t="str">
        <x:f>IF(ISNUMBER('Résultats détaillés'!T20),'Résultats détaillés'!T20,"")</x:f>
      </x:c>
      <x:c r="AC19" t="n">
        <x:f>IF(AND(ISNUMBER(AB19),AB19&gt;=5),AB19*100+19,0)</x:f>
        <x:v>0</x:v>
      </x:c>
      <x:c r="AD19" t="str">
        <x:f>IF(ISBLANK('Résultats détaillés'!B20),"",'Résultats détaillés'!B20)</x:f>
        <x:v>3.1</x:v>
      </x:c>
      <x:c r="AE19" t="str">
        <x:f>IF(ISBLANK('Résultats détaillés'!C20),"",'Résultats détaillés'!C20)</x:f>
        <x:v>Utiliser les données et les services numériques avec mesure, en respectant les personnes et l’environnement.</x:v>
      </x:c>
      <x:c r="AF19" t="str">
        <x:f>IF(ISBLANK('Résultats détaillés'!E20),"",'Résultats détaillés'!E20)</x:f>
      </x:c>
      <x:c r="AG19" t="str">
        <x:f>IF(ISBLANK('Résultats détaillés'!F20),"",'Résultats détaillés'!F20)</x:f>
      </x:c>
      <x:c r="AH19" t="n">
        <x:f>IF(ISNUMBER('Résultats détaillés'!H20),IF(AND('Résultats détaillés'!H20&gt;=1,'Résultats détaillés'!H20&lt;=4,MOD('Résultats détaillés'!H20,1)=0),'Résultats détaillés'!H20,0),0)</x:f>
        <x:v>0</x:v>
      </x:c>
      <x:c r="AI19" t="str">
        <x:f>IF(ISBLANK('Résultats détaillés'!W20),"",'Résultats détaillés'!W20)</x:f>
      </x:c>
      <x:c r="AJ19" t="n">
        <x:f>IF(LEN(TRIM(AI19))&gt;0,1,0)</x:f>
        <x:v>0</x:v>
      </x:c>
      <x:c r="AK19" t="n">
        <x:f>IF(LEN(TRIM('Résultats détaillés'!G20))&gt;0,1,0)</x:f>
        <x:v>0</x:v>
      </x:c>
      <x:c r="AL19" t="n">
        <x:f>IF(OR(IF(LEN('Résultats détaillés'!E20)=0,FALSE,NOT(IF(ISNUMBER('Résultats détaillés'!E20),AND('Résultats détaillés'!E20&gt;=0,'Résultats détaillés'!E20&lt;=3,MOD('Résultats détaillés'!E20,1)=0),FALSE))),IF(LEN('Résultats détaillés'!F20)=0,FALSE,NOT(IF(ISNUMBER('Résultats détaillés'!F20),AND('Résultats détaillés'!F20&gt;=1,'Résultats détaillés'!F20&lt;=4,MOD('Résultats détaillés'!F20,1)=0),FALSE))),IF(LEN('Résultats détaillés'!H20)=0,FALSE,NOT(IF(ISNUMBER('Résultats détaillés'!H20),AND('Résultats détaillés'!H20&gt;=1,'Résultats détaillés'!H20&lt;=4,MOD('Résultats détaillés'!H20,1)=0),FALSE)))),1,0)</x:f>
        <x:v>0</x:v>
      </x:c>
      <x:c r="AM19" t="n">
        <x:f>IF(AND(ISNUMBER(AB19),AB19&gt;0,AK19=0),1,0)</x:f>
        <x:v>0</x:v>
      </x:c>
      <x:c r="AN19" t="n">
        <x:v>20</x:v>
      </x:c>
      <x:c r="AO19" t="n">
        <x:f>IF(AND(ISNUMBER(AB19),AB19&gt;0),1,0)</x:f>
        <x:v>0</x:v>
      </x:c>
      <x:c r="AP19" t="n">
        <x:f>IF(AND(AC19&gt;0,AH19=0),1,0)</x:f>
        <x:v>0</x:v>
      </x:c>
      <x:c r="AQ19" t="n">
        <x:f>IF(AND(AC19&gt;0,AJ19=0),1,0)</x:f>
        <x:v>0</x:v>
      </x:c>
      <x:c r="AR19" t="n">
        <x:f>IF(ISNUMBER(AB19),1,0)</x:f>
        <x:v>0</x:v>
      </x:c>
    </x:row>
    <x:row r="20" s="1211" customFormat="1" ht="24" customHeight="1">
      <x:c r="A20"/>
      <x:c r="B20" s="1923"/>
      <x:c r="C20" s="1923"/>
      <x:c r="D20" s="1923"/>
      <x:c r="E20" s="1923"/>
      <x:c r="F20" s="1923"/>
      <x:c r="G20" s="1923"/>
      <x:c r="H20" s="1923"/>
      <x:c r="I20" s="1923"/>
      <x:c r="J20" s="1923"/>
      <x:c r="K20" s="1923"/>
      <x:c r="L20" s="1923"/>
      <x:c r="M20" s="1923"/>
      <x:c r="AA20" t="n">
        <x:v>3</x:v>
      </x:c>
      <x:c r="AB20" t="str">
        <x:f>IF(ISNUMBER('Résultats détaillés'!T21),'Résultats détaillés'!T21,"")</x:f>
      </x:c>
      <x:c r="AC20" t="n">
        <x:f>IF(AND(ISNUMBER(AB20),AB20&gt;=5),AB20*100+18,0)</x:f>
        <x:v>0</x:v>
      </x:c>
      <x:c r="AD20" t="str">
        <x:f>IF(ISBLANK('Résultats détaillés'!B21),"",'Résultats détaillés'!B21)</x:f>
        <x:v>3.2</x:v>
      </x:c>
      <x:c r="AE20" t="str">
        <x:f>IF(ISBLANK('Résultats détaillés'!C21),"",'Résultats détaillés'!C21)</x:f>
        <x:v>Supprimer les pratiques et les interfaces qui trompent les utilisateurs sur les sites web, aussi appelées « dark patterns ». Respecter la réglementation.</x:v>
      </x:c>
      <x:c r="AF20" t="str">
        <x:f>IF(ISBLANK('Résultats détaillés'!E21),"",'Résultats détaillés'!E21)</x:f>
      </x:c>
      <x:c r="AG20" t="str">
        <x:f>IF(ISBLANK('Résultats détaillés'!F21),"",'Résultats détaillés'!F21)</x:f>
      </x:c>
      <x:c r="AH20" t="n">
        <x:f>IF(ISNUMBER('Résultats détaillés'!H21),IF(AND('Résultats détaillés'!H21&gt;=1,'Résultats détaillés'!H21&lt;=4,MOD('Résultats détaillés'!H21,1)=0),'Résultats détaillés'!H21,0),0)</x:f>
        <x:v>0</x:v>
      </x:c>
      <x:c r="AI20" t="str">
        <x:f>IF(ISBLANK('Résultats détaillés'!W21),"",'Résultats détaillés'!W21)</x:f>
      </x:c>
      <x:c r="AJ20" t="n">
        <x:f>IF(LEN(TRIM(AI20))&gt;0,1,0)</x:f>
        <x:v>0</x:v>
      </x:c>
      <x:c r="AK20" t="n">
        <x:f>IF(LEN(TRIM('Résultats détaillés'!G21))&gt;0,1,0)</x:f>
        <x:v>0</x:v>
      </x:c>
      <x:c r="AL20" t="n">
        <x:f>IF(OR(IF(LEN('Résultats détaillés'!E21)=0,FALSE,NOT(IF(ISNUMBER('Résultats détaillés'!E21),AND('Résultats détaillés'!E21&gt;=0,'Résultats détaillés'!E21&lt;=3,MOD('Résultats détaillés'!E21,1)=0),FALSE))),IF(LEN('Résultats détaillés'!F21)=0,FALSE,NOT(IF(ISNUMBER('Résultats détaillés'!F21),AND('Résultats détaillés'!F21&gt;=1,'Résultats détaillés'!F21&lt;=4,MOD('Résultats détaillés'!F21,1)=0),FALSE))),IF(LEN('Résultats détaillés'!H21)=0,FALSE,NOT(IF(ISNUMBER('Résultats détaillés'!H21),AND('Résultats détaillés'!H21&gt;=1,'Résultats détaillés'!H21&lt;=4,MOD('Résultats détaillés'!H21,1)=0),FALSE)))),1,0)</x:f>
        <x:v>0</x:v>
      </x:c>
      <x:c r="AM20" t="n">
        <x:f>IF(AND(ISNUMBER(AB20),AB20&gt;0,AK20=0),1,0)</x:f>
        <x:v>0</x:v>
      </x:c>
      <x:c r="AN20" t="n">
        <x:v>21</x:v>
      </x:c>
      <x:c r="AO20" t="n">
        <x:f>IF(AND(ISNUMBER(AB20),AB20&gt;0),1,0)</x:f>
        <x:v>0</x:v>
      </x:c>
      <x:c r="AP20" t="n">
        <x:f>IF(AND(AC20&gt;0,AH20=0),1,0)</x:f>
        <x:v>0</x:v>
      </x:c>
      <x:c r="AQ20" t="n">
        <x:f>IF(AND(AC20&gt;0,AJ20=0),1,0)</x:f>
        <x:v>0</x:v>
      </x:c>
      <x:c r="AR20" t="n">
        <x:f>IF(ISNUMBER(AB20),1,0)</x:f>
        <x:v>0</x:v>
      </x:c>
    </x:row>
    <x:row r="21" s="1211" customFormat="1" ht="30" customHeight="1">
      <x:c r="A21"/>
      <x:c r="B21" s="1950" t="str">
        <x:v>Où concentrer les efforts ?</x:v>
      </x:c>
      <x:c r="C21" s="1951"/>
      <x:c r="D21" s="1951"/>
      <x:c r="E21" s="1951"/>
      <x:c r="F21" s="1951"/>
      <x:c r="G21" s="1951"/>
      <x:c r="H21" s="1951"/>
      <x:c r="I21" s="1951"/>
      <x:c r="J21" s="1951"/>
      <x:c r="K21" s="1951"/>
      <x:c r="L21" s="1951"/>
      <x:c r="M21" s="1952"/>
      <x:c r="AA21" t="n">
        <x:v>3</x:v>
      </x:c>
      <x:c r="AB21" t="str">
        <x:f>IF(ISNUMBER('Résultats détaillés'!T22),'Résultats détaillés'!T22,"")</x:f>
      </x:c>
      <x:c r="AC21" t="n">
        <x:f>IF(AND(ISNUMBER(AB21),AB21&gt;=5),AB21*100+17,0)</x:f>
        <x:v>0</x:v>
      </x:c>
      <x:c r="AD21" t="str">
        <x:f>IF(ISBLANK('Résultats détaillés'!B22),"",'Résultats détaillés'!B22)</x:f>
        <x:v>3.3</x:v>
      </x:c>
      <x:c r="AE21" t="str">
        <x:f>IF(ISBLANK('Résultats détaillés'!C22),"",'Résultats détaillés'!C22)</x:f>
        <x:v>Collecter seulement les données nécessaires au service rendu. Protéger la vie privée, réduire les effets sur l’environnement et respecter le RGPD, le règlement sur la protection des données personnelles.</x:v>
      </x:c>
      <x:c r="AF21" t="str">
        <x:f>IF(ISBLANK('Résultats détaillés'!E22),"",'Résultats détaillés'!E22)</x:f>
      </x:c>
      <x:c r="AG21" t="str">
        <x:f>IF(ISBLANK('Résultats détaillés'!F22),"",'Résultats détaillés'!F22)</x:f>
      </x:c>
      <x:c r="AH21" t="n">
        <x:f>IF(ISNUMBER('Résultats détaillés'!H22),IF(AND('Résultats détaillés'!H22&gt;=1,'Résultats détaillés'!H22&lt;=4,MOD('Résultats détaillés'!H22,1)=0),'Résultats détaillés'!H22,0),0)</x:f>
        <x:v>0</x:v>
      </x:c>
      <x:c r="AI21" t="str">
        <x:f>IF(ISBLANK('Résultats détaillés'!W22),"",'Résultats détaillés'!W22)</x:f>
      </x:c>
      <x:c r="AJ21" t="n">
        <x:f>IF(LEN(TRIM(AI21))&gt;0,1,0)</x:f>
        <x:v>0</x:v>
      </x:c>
      <x:c r="AK21" t="n">
        <x:f>IF(LEN(TRIM('Résultats détaillés'!G22))&gt;0,1,0)</x:f>
        <x:v>0</x:v>
      </x:c>
      <x:c r="AL21" t="n">
        <x:f>IF(OR(IF(LEN('Résultats détaillés'!E22)=0,FALSE,NOT(IF(ISNUMBER('Résultats détaillés'!E22),AND('Résultats détaillés'!E22&gt;=0,'Résultats détaillés'!E22&lt;=3,MOD('Résultats détaillés'!E22,1)=0),FALSE))),IF(LEN('Résultats détaillés'!F22)=0,FALSE,NOT(IF(ISNUMBER('Résultats détaillés'!F22),AND('Résultats détaillés'!F22&gt;=1,'Résultats détaillés'!F22&lt;=4,MOD('Résultats détaillés'!F22,1)=0),FALSE))),IF(LEN('Résultats détaillés'!H22)=0,FALSE,NOT(IF(ISNUMBER('Résultats détaillés'!H22),AND('Résultats détaillés'!H22&gt;=1,'Résultats détaillés'!H22&lt;=4,MOD('Résultats détaillés'!H22,1)=0),FALSE)))),1,0)</x:f>
        <x:v>0</x:v>
      </x:c>
      <x:c r="AM21" t="n">
        <x:f>IF(AND(ISNUMBER(AB21),AB21&gt;0,AK21=0),1,0)</x:f>
        <x:v>0</x:v>
      </x:c>
      <x:c r="AN21" t="n">
        <x:v>22</x:v>
      </x:c>
      <x:c r="AO21" t="n">
        <x:f>IF(AND(ISNUMBER(AB21),AB21&gt;0),1,0)</x:f>
        <x:v>0</x:v>
      </x:c>
      <x:c r="AP21" t="n">
        <x:f>IF(AND(AC21&gt;0,AH21=0),1,0)</x:f>
        <x:v>0</x:v>
      </x:c>
      <x:c r="AQ21" t="n">
        <x:f>IF(AND(AC21&gt;0,AJ21=0),1,0)</x:f>
        <x:v>0</x:v>
      </x:c>
      <x:c r="AR21" t="n">
        <x:f>IF(ISNUMBER(AB21),1,0)</x:f>
        <x:v>0</x:v>
      </x:c>
    </x:row>
    <x:row r="22" s="1211" customFormat="1" ht="24" customHeight="1">
      <x:c r="A22"/>
      <x:c r="B22" s="1923"/>
      <x:c r="C22" s="1923"/>
      <x:c r="D22" s="1923"/>
      <x:c r="E22" s="1923"/>
      <x:c r="F22" s="1923"/>
      <x:c r="G22" s="1923"/>
      <x:c r="H22" s="1923"/>
      <x:c r="I22" s="1923"/>
      <x:c r="J22" s="1923"/>
      <x:c r="K22" s="1923"/>
      <x:c r="L22" s="1923"/>
      <x:c r="M22" s="1923"/>
      <x:c r="AA22" t="n">
        <x:v>3</x:v>
      </x:c>
      <x:c r="AB22" t="str">
        <x:f>IF(ISNUMBER('Résultats détaillés'!T23),'Résultats détaillés'!T23,"")</x:f>
      </x:c>
      <x:c r="AC22" t="n">
        <x:f>IF(AND(ISNUMBER(AB22),AB22&gt;=5),AB22*100+16,0)</x:f>
        <x:v>0</x:v>
      </x:c>
      <x:c r="AD22" t="str">
        <x:f>IF(ISBLANK('Résultats détaillés'!B23),"",'Résultats détaillés'!B23)</x:f>
        <x:v>3.4</x:v>
      </x:c>
      <x:c r="AE22" t="str">
        <x:f>IF(ISBLANK('Résultats détaillés'!C23),"",'Résultats détaillés'!C23)</x:f>
        <x:v>Recruter des personnes aux profils variés dans les métiers du numérique.</x:v>
      </x:c>
      <x:c r="AF22" t="str">
        <x:f>IF(ISBLANK('Résultats détaillés'!E23),"",'Résultats détaillés'!E23)</x:f>
      </x:c>
      <x:c r="AG22" t="str">
        <x:f>IF(ISBLANK('Résultats détaillés'!F23),"",'Résultats détaillés'!F23)</x:f>
      </x:c>
      <x:c r="AH22" t="n">
        <x:f>IF(ISNUMBER('Résultats détaillés'!H23),IF(AND('Résultats détaillés'!H23&gt;=1,'Résultats détaillés'!H23&lt;=4,MOD('Résultats détaillés'!H23,1)=0),'Résultats détaillés'!H23,0),0)</x:f>
        <x:v>0</x:v>
      </x:c>
      <x:c r="AI22" t="str">
        <x:f>IF(ISBLANK('Résultats détaillés'!W23),"",'Résultats détaillés'!W23)</x:f>
      </x:c>
      <x:c r="AJ22" t="n">
        <x:f>IF(LEN(TRIM(AI22))&gt;0,1,0)</x:f>
        <x:v>0</x:v>
      </x:c>
      <x:c r="AK22" t="n">
        <x:f>IF(LEN(TRIM('Résultats détaillés'!G23))&gt;0,1,0)</x:f>
        <x:v>0</x:v>
      </x:c>
      <x:c r="AL22" t="n">
        <x:f>IF(OR(IF(LEN('Résultats détaillés'!E23)=0,FALSE,NOT(IF(ISNUMBER('Résultats détaillés'!E23),AND('Résultats détaillés'!E23&gt;=0,'Résultats détaillés'!E23&lt;=3,MOD('Résultats détaillés'!E23,1)=0),FALSE))),IF(LEN('Résultats détaillés'!F23)=0,FALSE,NOT(IF(ISNUMBER('Résultats détaillés'!F23),AND('Résultats détaillés'!F23&gt;=1,'Résultats détaillés'!F23&lt;=4,MOD('Résultats détaillés'!F23,1)=0),FALSE))),IF(LEN('Résultats détaillés'!H23)=0,FALSE,NOT(IF(ISNUMBER('Résultats détaillés'!H23),AND('Résultats détaillés'!H23&gt;=1,'Résultats détaillés'!H23&lt;=4,MOD('Résultats détaillés'!H23,1)=0),FALSE)))),1,0)</x:f>
        <x:v>0</x:v>
      </x:c>
      <x:c r="AM22" t="n">
        <x:f>IF(AND(ISNUMBER(AB22),AB22&gt;0,AK22=0),1,0)</x:f>
        <x:v>0</x:v>
      </x:c>
      <x:c r="AN22" t="n">
        <x:v>23</x:v>
      </x:c>
      <x:c r="AO22" t="n">
        <x:f>IF(AND(ISNUMBER(AB22),AB22&gt;0),1,0)</x:f>
        <x:v>0</x:v>
      </x:c>
      <x:c r="AP22" t="n">
        <x:f>IF(AND(AC22&gt;0,AH22=0),1,0)</x:f>
        <x:v>0</x:v>
      </x:c>
      <x:c r="AQ22" t="n">
        <x:f>IF(AND(AC22&gt;0,AJ22=0),1,0)</x:f>
        <x:v>0</x:v>
      </x:c>
      <x:c r="AR22" t="n">
        <x:f>IF(ISNUMBER(AB22),1,0)</x:f>
        <x:v>0</x:v>
      </x:c>
    </x:row>
    <x:row r="23" s="1211" customFormat="1" ht="24" customHeight="1">
      <x:c r="A23"/>
      <x:c r="B23" s="1923"/>
      <x:c r="C23" s="1923"/>
      <x:c r="D23" s="1923"/>
      <x:c r="E23" s="1923"/>
      <x:c r="F23" s="1923"/>
      <x:c r="G23" s="1923"/>
      <x:c r="H23" s="1923"/>
      <x:c r="I23" s="1923"/>
      <x:c r="J23" s="1923"/>
      <x:c r="K23" s="1923"/>
      <x:c r="L23" s="1923"/>
      <x:c r="M23" s="1923"/>
      <x:c r="AA23" t="n">
        <x:v>3</x:v>
      </x:c>
      <x:c r="AB23" t="str">
        <x:f>IF(ISNUMBER('Résultats détaillés'!T24),'Résultats détaillés'!T24,"")</x:f>
      </x:c>
      <x:c r="AC23" t="n">
        <x:f>IF(AND(ISNUMBER(AB23),AB23&gt;=5),AB23*100+15,0)</x:f>
        <x:v>0</x:v>
      </x:c>
      <x:c r="AD23" t="str">
        <x:f>IF(ISBLANK('Résultats détaillés'!B24),"",'Résultats détaillés'!B24)</x:f>
        <x:v>3.5</x:v>
      </x:c>
      <x:c r="AE23" t="str">
        <x:f>IF(ISBLANK('Résultats détaillés'!C24),"",'Résultats détaillés'!C24)</x:f>
        <x:v>Améliorer les conditions de travail des personnes qui travaillent dans le numérique.</x:v>
      </x:c>
      <x:c r="AF23" t="str">
        <x:f>IF(ISBLANK('Résultats détaillés'!E24),"",'Résultats détaillés'!E24)</x:f>
      </x:c>
      <x:c r="AG23" t="str">
        <x:f>IF(ISBLANK('Résultats détaillés'!F24),"",'Résultats détaillés'!F24)</x:f>
      </x:c>
      <x:c r="AH23" t="n">
        <x:f>IF(ISNUMBER('Résultats détaillés'!H24),IF(AND('Résultats détaillés'!H24&gt;=1,'Résultats détaillés'!H24&lt;=4,MOD('Résultats détaillés'!H24,1)=0),'Résultats détaillés'!H24,0),0)</x:f>
        <x:v>0</x:v>
      </x:c>
      <x:c r="AI23" t="str">
        <x:f>IF(ISBLANK('Résultats détaillés'!W24),"",'Résultats détaillés'!W24)</x:f>
      </x:c>
      <x:c r="AJ23" t="n">
        <x:f>IF(LEN(TRIM(AI23))&gt;0,1,0)</x:f>
        <x:v>0</x:v>
      </x:c>
      <x:c r="AK23" t="n">
        <x:f>IF(LEN(TRIM('Résultats détaillés'!G24))&gt;0,1,0)</x:f>
        <x:v>0</x:v>
      </x:c>
      <x:c r="AL23" t="n">
        <x:f>IF(OR(IF(LEN('Résultats détaillés'!E24)=0,FALSE,NOT(IF(ISNUMBER('Résultats détaillés'!E24),AND('Résultats détaillés'!E24&gt;=0,'Résultats détaillés'!E24&lt;=3,MOD('Résultats détaillés'!E24,1)=0),FALSE))),IF(LEN('Résultats détaillés'!F24)=0,FALSE,NOT(IF(ISNUMBER('Résultats détaillés'!F24),AND('Résultats détaillés'!F24&gt;=1,'Résultats détaillés'!F24&lt;=4,MOD('Résultats détaillés'!F24,1)=0),FALSE))),IF(LEN('Résultats détaillés'!H24)=0,FALSE,NOT(IF(ISNUMBER('Résultats détaillés'!H24),AND('Résultats détaillés'!H24&gt;=1,'Résultats détaillés'!H24&lt;=4,MOD('Résultats détaillés'!H24,1)=0),FALSE)))),1,0)</x:f>
        <x:v>0</x:v>
      </x:c>
      <x:c r="AM23" t="n">
        <x:f>IF(AND(ISNUMBER(AB23),AB23&gt;0,AK23=0),1,0)</x:f>
        <x:v>0</x:v>
      </x:c>
      <x:c r="AN23" t="n">
        <x:v>24</x:v>
      </x:c>
      <x:c r="AO23" t="n">
        <x:f>IF(AND(ISNUMBER(AB23),AB23&gt;0),1,0)</x:f>
        <x:v>0</x:v>
      </x:c>
      <x:c r="AP23" t="n">
        <x:f>IF(AND(AC23&gt;0,AH23=0),1,0)</x:f>
        <x:v>0</x:v>
      </x:c>
      <x:c r="AQ23" t="n">
        <x:f>IF(AND(AC23&gt;0,AJ23=0),1,0)</x:f>
        <x:v>0</x:v>
      </x:c>
      <x:c r="AR23" t="n">
        <x:f>IF(ISNUMBER(AB23),1,0)</x:f>
        <x:v>0</x:v>
      </x:c>
    </x:row>
    <x:row r="24" s="1211" customFormat="1" ht="24" customHeight="1">
      <x:c r="A24"/>
      <x:c r="B24" s="1923"/>
      <x:c r="C24" s="1923"/>
      <x:c r="D24" s="1923"/>
      <x:c r="E24" s="1923"/>
      <x:c r="F24" s="1923"/>
      <x:c r="G24" s="1923"/>
      <x:c r="H24" s="1923"/>
      <x:c r="I24" s="1923"/>
      <x:c r="J24" s="1923"/>
      <x:c r="K24" s="1923"/>
      <x:c r="L24" s="1923"/>
      <x:c r="M24" s="1923"/>
      <x:c r="AA24" t="n">
        <x:v>3</x:v>
      </x:c>
      <x:c r="AB24" t="str">
        <x:f>IF(ISNUMBER('Résultats détaillés'!T25),'Résultats détaillés'!T25,"")</x:f>
      </x:c>
      <x:c r="AC24" t="n">
        <x:f>IF(AND(ISNUMBER(AB24),AB24&gt;=5),AB24*100+14,0)</x:f>
        <x:v>0</x:v>
      </x:c>
      <x:c r="AD24" t="str">
        <x:f>IF(ISBLANK('Résultats détaillés'!B25),"",'Résultats détaillés'!B25)</x:f>
        <x:v>3.6</x:v>
      </x:c>
      <x:c r="AE24" t="str">
        <x:f>IF(ISBLANK('Résultats détaillés'!C25),"",'Résultats détaillés'!C25)</x:f>
        <x:v>Fixer et appliquer des règles éthiques pour utiliser les algorithmes, en particulier l’intelligence artificielle. Encadrer l’utilisation des données et assurer leur protection.</x:v>
      </x:c>
      <x:c r="AF24" t="str">
        <x:f>IF(ISBLANK('Résultats détaillés'!E25),"",'Résultats détaillés'!E25)</x:f>
      </x:c>
      <x:c r="AG24" t="str">
        <x:f>IF(ISBLANK('Résultats détaillés'!F25),"",'Résultats détaillés'!F25)</x:f>
      </x:c>
      <x:c r="AH24" t="n">
        <x:f>IF(ISNUMBER('Résultats détaillés'!H25),IF(AND('Résultats détaillés'!H25&gt;=1,'Résultats détaillés'!H25&lt;=4,MOD('Résultats détaillés'!H25,1)=0),'Résultats détaillés'!H25,0),0)</x:f>
        <x:v>0</x:v>
      </x:c>
      <x:c r="AI24" t="str">
        <x:f>IF(ISBLANK('Résultats détaillés'!W25),"",'Résultats détaillés'!W25)</x:f>
      </x:c>
      <x:c r="AJ24" t="n">
        <x:f>IF(LEN(TRIM(AI24))&gt;0,1,0)</x:f>
        <x:v>0</x:v>
      </x:c>
      <x:c r="AK24" t="n">
        <x:f>IF(LEN(TRIM('Résultats détaillés'!G25))&gt;0,1,0)</x:f>
        <x:v>0</x:v>
      </x:c>
      <x:c r="AL24" t="n">
        <x:f>IF(OR(IF(LEN('Résultats détaillés'!E25)=0,FALSE,NOT(IF(ISNUMBER('Résultats détaillés'!E25),AND('Résultats détaillés'!E25&gt;=0,'Résultats détaillés'!E25&lt;=3,MOD('Résultats détaillés'!E25,1)=0),FALSE))),IF(LEN('Résultats détaillés'!F25)=0,FALSE,NOT(IF(ISNUMBER('Résultats détaillés'!F25),AND('Résultats détaillés'!F25&gt;=1,'Résultats détaillés'!F25&lt;=4,MOD('Résultats détaillés'!F25,1)=0),FALSE))),IF(LEN('Résultats détaillés'!H25)=0,FALSE,NOT(IF(ISNUMBER('Résultats détaillés'!H25),AND('Résultats détaillés'!H25&gt;=1,'Résultats détaillés'!H25&lt;=4,MOD('Résultats détaillés'!H25,1)=0),FALSE)))),1,0)</x:f>
        <x:v>0</x:v>
      </x:c>
      <x:c r="AM24" t="n">
        <x:f>IF(AND(ISNUMBER(AB24),AB24&gt;0,AK24=0),1,0)</x:f>
        <x:v>0</x:v>
      </x:c>
      <x:c r="AN24" t="n">
        <x:v>25</x:v>
      </x:c>
      <x:c r="AO24" t="n">
        <x:f>IF(AND(ISNUMBER(AB24),AB24&gt;0),1,0)</x:f>
        <x:v>0</x:v>
      </x:c>
      <x:c r="AP24" t="n">
        <x:f>IF(AND(AC24&gt;0,AH24=0),1,0)</x:f>
        <x:v>0</x:v>
      </x:c>
      <x:c r="AQ24" t="n">
        <x:f>IF(AND(AC24&gt;0,AJ24=0),1,0)</x:f>
        <x:v>0</x:v>
      </x:c>
      <x:c r="AR24" t="n">
        <x:f>IF(ISNUMBER(AB24),1,0)</x:f>
        <x:v>0</x:v>
      </x:c>
    </x:row>
    <x:row r="25" s="1211" customFormat="1" ht="24" customHeight="1">
      <x:c r="A25"/>
      <x:c r="B25" s="1923"/>
      <x:c r="C25" s="1923"/>
      <x:c r="D25" s="1923"/>
      <x:c r="E25" s="1923"/>
      <x:c r="F25" s="1923"/>
      <x:c r="G25" s="1923"/>
      <x:c r="H25" s="1923"/>
      <x:c r="I25" s="1923"/>
      <x:c r="J25" s="1923"/>
      <x:c r="K25" s="1923"/>
      <x:c r="L25" s="1923"/>
      <x:c r="M25" s="1923"/>
      <x:c r="AA25" t="n">
        <x:v>3</x:v>
      </x:c>
      <x:c r="AB25" t="str">
        <x:f>IF(ISNUMBER('Résultats détaillés'!T26),'Résultats détaillés'!T26,"")</x:f>
      </x:c>
      <x:c r="AC25" t="n">
        <x:f>IF(AND(ISNUMBER(AB25),AB25&gt;=5),AB25*100+13,0)</x:f>
        <x:v>0</x:v>
      </x:c>
      <x:c r="AD25" t="str">
        <x:f>IF(ISBLANK('Résultats détaillés'!B26),"",'Résultats détaillés'!B26)</x:f>
        <x:v>3.7</x:v>
      </x:c>
      <x:c r="AE25" t="str">
        <x:f>IF(ISBLANK('Résultats détaillés'!C26),"",'Résultats détaillés'!C26)</x:f>
        <x:v>Mettre en place et faire connaître les actions de responsabilité sociétale (RSE), qui prennent en compte les effets de l’organisation sur la société et l’environnement.</x:v>
      </x:c>
      <x:c r="AF25" t="str">
        <x:f>IF(ISBLANK('Résultats détaillés'!E26),"",'Résultats détaillés'!E26)</x:f>
      </x:c>
      <x:c r="AG25" t="str">
        <x:f>IF(ISBLANK('Résultats détaillés'!F26),"",'Résultats détaillés'!F26)</x:f>
      </x:c>
      <x:c r="AH25" t="n">
        <x:f>IF(ISNUMBER('Résultats détaillés'!H26),IF(AND('Résultats détaillés'!H26&gt;=1,'Résultats détaillés'!H26&lt;=4,MOD('Résultats détaillés'!H26,1)=0),'Résultats détaillés'!H26,0),0)</x:f>
        <x:v>0</x:v>
      </x:c>
      <x:c r="AI25" t="str">
        <x:f>IF(ISBLANK('Résultats détaillés'!W26),"",'Résultats détaillés'!W26)</x:f>
      </x:c>
      <x:c r="AJ25" t="n">
        <x:f>IF(LEN(TRIM(AI25))&gt;0,1,0)</x:f>
        <x:v>0</x:v>
      </x:c>
      <x:c r="AK25" t="n">
        <x:f>IF(LEN(TRIM('Résultats détaillés'!G26))&gt;0,1,0)</x:f>
        <x:v>0</x:v>
      </x:c>
      <x:c r="AL25" t="n">
        <x:f>IF(OR(IF(LEN('Résultats détaillés'!E26)=0,FALSE,NOT(IF(ISNUMBER('Résultats détaillés'!E26),AND('Résultats détaillés'!E26&gt;=0,'Résultats détaillés'!E26&lt;=3,MOD('Résultats détaillés'!E26,1)=0),FALSE))),IF(LEN('Résultats détaillés'!F26)=0,FALSE,NOT(IF(ISNUMBER('Résultats détaillés'!F26),AND('Résultats détaillés'!F26&gt;=1,'Résultats détaillés'!F26&lt;=4,MOD('Résultats détaillés'!F26,1)=0),FALSE))),IF(LEN('Résultats détaillés'!H26)=0,FALSE,NOT(IF(ISNUMBER('Résultats détaillés'!H26),AND('Résultats détaillés'!H26&gt;=1,'Résultats détaillés'!H26&lt;=4,MOD('Résultats détaillés'!H26,1)=0),FALSE)))),1,0)</x:f>
        <x:v>0</x:v>
      </x:c>
      <x:c r="AM25" t="n">
        <x:f>IF(AND(ISNUMBER(AB25),AB25&gt;0,AK25=0),1,0)</x:f>
        <x:v>0</x:v>
      </x:c>
      <x:c r="AN25" t="n">
        <x:v>26</x:v>
      </x:c>
      <x:c r="AO25" t="n">
        <x:f>IF(AND(ISNUMBER(AB25),AB25&gt;0),1,0)</x:f>
        <x:v>0</x:v>
      </x:c>
      <x:c r="AP25" t="n">
        <x:f>IF(AND(AC25&gt;0,AH25=0),1,0)</x:f>
        <x:v>0</x:v>
      </x:c>
      <x:c r="AQ25" t="n">
        <x:f>IF(AND(AC25&gt;0,AJ25=0),1,0)</x:f>
        <x:v>0</x:v>
      </x:c>
      <x:c r="AR25" t="n">
        <x:f>IF(ISNUMBER(AB25),1,0)</x:f>
        <x:v>0</x:v>
      </x:c>
    </x:row>
    <x:row r="26" s="1211" customFormat="1" ht="24" customHeight="1">
      <x:c r="A26"/>
      <x:c r="B26" s="1923"/>
      <x:c r="C26" s="1923"/>
      <x:c r="D26" s="1923"/>
      <x:c r="E26" s="1923"/>
      <x:c r="F26" s="1923"/>
      <x:c r="G26" s="1923"/>
      <x:c r="H26" s="1923"/>
      <x:c r="I26" s="1923"/>
      <x:c r="J26" s="1923"/>
      <x:c r="K26" s="1923"/>
      <x:c r="L26" s="1923"/>
      <x:c r="M26" s="1923"/>
      <x:c r="AA26" t="n">
        <x:v>3</x:v>
      </x:c>
      <x:c r="AB26" t="str">
        <x:f>IF(ISNUMBER('Résultats détaillés'!T27),'Résultats détaillés'!T27,"")</x:f>
      </x:c>
      <x:c r="AC26" t="n">
        <x:f>IF(AND(ISNUMBER(AB26),AB26&gt;=5),AB26*100+12,0)</x:f>
        <x:v>0</x:v>
      </x:c>
      <x:c r="AD26" t="str">
        <x:f>IF(ISBLANK('Résultats détaillés'!B27),"",'Résultats détaillés'!B27)</x:f>
        <x:v>3.8</x:v>
      </x:c>
      <x:c r="AE26" t="str">
        <x:f>IF(ISBLANK('Résultats détaillés'!C27),"",'Résultats détaillés'!C27)</x:f>
        <x:v>Indiquer quand une intelligence artificielle répond et expliquer comment elle prend ses décisions. Garder un contrôle humain sur les sujets sensibles.</x:v>
      </x:c>
      <x:c r="AF26" t="str">
        <x:f>IF(ISBLANK('Résultats détaillés'!E27),"",'Résultats détaillés'!E27)</x:f>
      </x:c>
      <x:c r="AG26" t="str">
        <x:f>IF(ISBLANK('Résultats détaillés'!F27),"",'Résultats détaillés'!F27)</x:f>
      </x:c>
      <x:c r="AH26" t="n">
        <x:f>IF(ISNUMBER('Résultats détaillés'!H27),IF(AND('Résultats détaillés'!H27&gt;=1,'Résultats détaillés'!H27&lt;=4,MOD('Résultats détaillés'!H27,1)=0),'Résultats détaillés'!H27,0),0)</x:f>
        <x:v>0</x:v>
      </x:c>
      <x:c r="AI26" t="str">
        <x:f>IF(ISBLANK('Résultats détaillés'!W27),"",'Résultats détaillés'!W27)</x:f>
      </x:c>
      <x:c r="AJ26" t="n">
        <x:f>IF(LEN(TRIM(AI26))&gt;0,1,0)</x:f>
        <x:v>0</x:v>
      </x:c>
      <x:c r="AK26" t="n">
        <x:f>IF(LEN(TRIM('Résultats détaillés'!G27))&gt;0,1,0)</x:f>
        <x:v>0</x:v>
      </x:c>
      <x:c r="AL26" t="n">
        <x:f>IF(OR(IF(LEN('Résultats détaillés'!E27)=0,FALSE,NOT(IF(ISNUMBER('Résultats détaillés'!E27),AND('Résultats détaillés'!E27&gt;=0,'Résultats détaillés'!E27&lt;=3,MOD('Résultats détaillés'!E27,1)=0),FALSE))),IF(LEN('Résultats détaillés'!F27)=0,FALSE,NOT(IF(ISNUMBER('Résultats détaillés'!F27),AND('Résultats détaillés'!F27&gt;=1,'Résultats détaillés'!F27&lt;=4,MOD('Résultats détaillés'!F27,1)=0),FALSE))),IF(LEN('Résultats détaillés'!H27)=0,FALSE,NOT(IF(ISNUMBER('Résultats détaillés'!H27),AND('Résultats détaillés'!H27&gt;=1,'Résultats détaillés'!H27&lt;=4,MOD('Résultats détaillés'!H27,1)=0),FALSE)))),1,0)</x:f>
        <x:v>0</x:v>
      </x:c>
      <x:c r="AM26" t="n">
        <x:f>IF(AND(ISNUMBER(AB26),AB26&gt;0,AK26=0),1,0)</x:f>
        <x:v>0</x:v>
      </x:c>
      <x:c r="AN26" t="n">
        <x:v>27</x:v>
      </x:c>
      <x:c r="AO26" t="n">
        <x:f>IF(AND(ISNUMBER(AB26),AB26&gt;0),1,0)</x:f>
        <x:v>0</x:v>
      </x:c>
      <x:c r="AP26" t="n">
        <x:f>IF(AND(AC26&gt;0,AH26=0),1,0)</x:f>
        <x:v>0</x:v>
      </x:c>
      <x:c r="AQ26" t="n">
        <x:f>IF(AND(AC26&gt;0,AJ26=0),1,0)</x:f>
        <x:v>0</x:v>
      </x:c>
      <x:c r="AR26" t="n">
        <x:f>IF(ISNUMBER(AB26),1,0)</x:f>
        <x:v>0</x:v>
      </x:c>
    </x:row>
    <x:row r="27" s="1211" customFormat="1" ht="24" customHeight="1">
      <x:c r="A27"/>
      <x:c r="B27" s="1923"/>
      <x:c r="C27" s="1923"/>
      <x:c r="D27" s="1923"/>
      <x:c r="E27" s="1923"/>
      <x:c r="F27" s="1923"/>
      <x:c r="G27" s="1923"/>
      <x:c r="H27" s="1923"/>
      <x:c r="I27" s="1923"/>
      <x:c r="J27" s="1923"/>
      <x:c r="K27" s="1923"/>
      <x:c r="L27" s="1923"/>
      <x:c r="M27" s="1923"/>
      <x:c r="AA27" t="n">
        <x:v>4</x:v>
      </x:c>
      <x:c r="AB27" t="str">
        <x:f>IF(ISNUMBER('Résultats détaillés'!T29),'Résultats détaillés'!T29,"")</x:f>
      </x:c>
      <x:c r="AC27" t="n">
        <x:f>IF(AND(ISNUMBER(AB27),AB27&gt;=5),AB27*100+11,0)</x:f>
        <x:v>0</x:v>
      </x:c>
      <x:c r="AD27" t="str">
        <x:f>IF(ISBLANK('Résultats détaillés'!B29),"",'Résultats détaillés'!B29)</x:f>
        <x:v>4.1</x:v>
      </x:c>
      <x:c r="AE27" t="str">
        <x:f>IF(ISBLANK('Résultats détaillés'!C29),"",'Résultats détaillés'!C29)</x:f>
        <x:v>Suivre des normes communes pour recueillir, regrouper, analyser et partager les données sur les effets des technologies de l’information et de la communication (TIC).</x:v>
      </x:c>
      <x:c r="AF27" t="str">
        <x:f>IF(ISBLANK('Résultats détaillés'!E29),"",'Résultats détaillés'!E29)</x:f>
      </x:c>
      <x:c r="AG27" t="str">
        <x:f>IF(ISBLANK('Résultats détaillés'!F29),"",'Résultats détaillés'!F29)</x:f>
      </x:c>
      <x:c r="AH27" t="n">
        <x:f>IF(ISNUMBER('Résultats détaillés'!H29),IF(AND('Résultats détaillés'!H29&gt;=1,'Résultats détaillés'!H29&lt;=4,MOD('Résultats détaillés'!H29,1)=0),'Résultats détaillés'!H29,0),0)</x:f>
        <x:v>0</x:v>
      </x:c>
      <x:c r="AI27" t="str">
        <x:f>IF(ISBLANK('Résultats détaillés'!W29),"",'Résultats détaillés'!W29)</x:f>
      </x:c>
      <x:c r="AJ27" t="n">
        <x:f>IF(LEN(TRIM(AI27))&gt;0,1,0)</x:f>
        <x:v>0</x:v>
      </x:c>
      <x:c r="AK27" t="n">
        <x:f>IF(LEN(TRIM('Résultats détaillés'!G29))&gt;0,1,0)</x:f>
        <x:v>0</x:v>
      </x:c>
      <x:c r="AL27" t="n">
        <x:f>IF(OR(IF(LEN('Résultats détaillés'!E29)=0,FALSE,NOT(IF(ISNUMBER('Résultats détaillés'!E29),AND('Résultats détaillés'!E29&gt;=0,'Résultats détaillés'!E29&lt;=3,MOD('Résultats détaillés'!E29,1)=0),FALSE))),IF(LEN('Résultats détaillés'!F29)=0,FALSE,NOT(IF(ISNUMBER('Résultats détaillés'!F29),AND('Résultats détaillés'!F29&gt;=1,'Résultats détaillés'!F29&lt;=4,MOD('Résultats détaillés'!F29,1)=0),FALSE))),IF(LEN('Résultats détaillés'!H29)=0,FALSE,NOT(IF(ISNUMBER('Résultats détaillés'!H29),AND('Résultats détaillés'!H29&gt;=1,'Résultats détaillés'!H29&lt;=4,MOD('Résultats détaillés'!H29,1)=0),FALSE)))),1,0)</x:f>
        <x:v>0</x:v>
      </x:c>
      <x:c r="AM27" t="n">
        <x:f>IF(AND(ISNUMBER(AB27),AB27&gt;0,AK27=0),1,0)</x:f>
        <x:v>0</x:v>
      </x:c>
      <x:c r="AN27" t="n">
        <x:v>29</x:v>
      </x:c>
      <x:c r="AO27" t="n">
        <x:f>IF(AND(ISNUMBER(AB27),AB27&gt;0),1,0)</x:f>
        <x:v>0</x:v>
      </x:c>
      <x:c r="AP27" t="n">
        <x:f>IF(AND(AC27&gt;0,AH27=0),1,0)</x:f>
        <x:v>0</x:v>
      </x:c>
      <x:c r="AQ27" t="n">
        <x:f>IF(AND(AC27&gt;0,AJ27=0),1,0)</x:f>
        <x:v>0</x:v>
      </x:c>
      <x:c r="AR27" t="n">
        <x:f>IF(ISNUMBER(AB27),1,0)</x:f>
        <x:v>0</x:v>
      </x:c>
    </x:row>
    <x:row r="28" s="1211" customFormat="1" ht="24" customHeight="1">
      <x:c r="A28"/>
      <x:c r="B28" s="1923"/>
      <x:c r="C28" s="1923"/>
      <x:c r="D28" s="1923"/>
      <x:c r="E28" s="1923"/>
      <x:c r="F28" s="1923"/>
      <x:c r="G28" s="1923"/>
      <x:c r="H28" s="1923"/>
      <x:c r="I28" s="1923"/>
      <x:c r="J28" s="1923"/>
      <x:c r="K28" s="1923"/>
      <x:c r="L28" s="1923"/>
      <x:c r="M28" s="1923"/>
      <x:c r="AA28" t="n">
        <x:v>4</x:v>
      </x:c>
      <x:c r="AB28" t="str">
        <x:f>IF(ISNUMBER('Résultats détaillés'!T30),'Résultats détaillés'!T30,"")</x:f>
      </x:c>
      <x:c r="AC28" t="n">
        <x:f>IF(AND(ISNUMBER(AB28),AB28&gt;=5),AB28*100+10,0)</x:f>
        <x:v>0</x:v>
      </x:c>
      <x:c r="AD28" t="str">
        <x:f>IF(ISBLANK('Résultats détaillés'!B30),"",'Résultats détaillés'!B30)</x:f>
        <x:v>4.2</x:v>
      </x:c>
      <x:c r="AE28" t="str">
        <x:f>IF(ISBLANK('Résultats détaillés'!C30),"",'Résultats détaillés'!C30)</x:f>
        <x:v>Évaluer les services numériques au fil du temps et partager les résultats.</x:v>
      </x:c>
      <x:c r="AF28" t="str">
        <x:f>IF(ISBLANK('Résultats détaillés'!E30),"",'Résultats détaillés'!E30)</x:f>
      </x:c>
      <x:c r="AG28" t="str">
        <x:f>IF(ISBLANK('Résultats détaillés'!F30),"",'Résultats détaillés'!F30)</x:f>
      </x:c>
      <x:c r="AH28" t="n">
        <x:f>IF(ISNUMBER('Résultats détaillés'!H30),IF(AND('Résultats détaillés'!H30&gt;=1,'Résultats détaillés'!H30&lt;=4,MOD('Résultats détaillés'!H30,1)=0),'Résultats détaillés'!H30,0),0)</x:f>
        <x:v>0</x:v>
      </x:c>
      <x:c r="AI28" t="str">
        <x:f>IF(ISBLANK('Résultats détaillés'!W30),"",'Résultats détaillés'!W30)</x:f>
      </x:c>
      <x:c r="AJ28" t="n">
        <x:f>IF(LEN(TRIM(AI28))&gt;0,1,0)</x:f>
        <x:v>0</x:v>
      </x:c>
      <x:c r="AK28" t="n">
        <x:f>IF(LEN(TRIM('Résultats détaillés'!G30))&gt;0,1,0)</x:f>
        <x:v>0</x:v>
      </x:c>
      <x:c r="AL28" t="n">
        <x:f>IF(OR(IF(LEN('Résultats détaillés'!E30)=0,FALSE,NOT(IF(ISNUMBER('Résultats détaillés'!E30),AND('Résultats détaillés'!E30&gt;=0,'Résultats détaillés'!E30&lt;=3,MOD('Résultats détaillés'!E30,1)=0),FALSE))),IF(LEN('Résultats détaillés'!F30)=0,FALSE,NOT(IF(ISNUMBER('Résultats détaillés'!F30),AND('Résultats détaillés'!F30&gt;=1,'Résultats détaillés'!F30&lt;=4,MOD('Résultats détaillés'!F30,1)=0),FALSE))),IF(LEN('Résultats détaillés'!H30)=0,FALSE,NOT(IF(ISNUMBER('Résultats détaillés'!H30),AND('Résultats détaillés'!H30&gt;=1,'Résultats détaillés'!H30&lt;=4,MOD('Résultats détaillés'!H30,1)=0),FALSE)))),1,0)</x:f>
        <x:v>0</x:v>
      </x:c>
      <x:c r="AM28" t="n">
        <x:f>IF(AND(ISNUMBER(AB28),AB28&gt;0,AK28=0),1,0)</x:f>
        <x:v>0</x:v>
      </x:c>
      <x:c r="AN28" t="n">
        <x:v>30</x:v>
      </x:c>
      <x:c r="AO28" t="n">
        <x:f>IF(AND(ISNUMBER(AB28),AB28&gt;0),1,0)</x:f>
        <x:v>0</x:v>
      </x:c>
      <x:c r="AP28" t="n">
        <x:f>IF(AND(AC28&gt;0,AH28=0),1,0)</x:f>
        <x:v>0</x:v>
      </x:c>
      <x:c r="AQ28" t="n">
        <x:f>IF(AND(AC28&gt;0,AJ28=0),1,0)</x:f>
        <x:v>0</x:v>
      </x:c>
      <x:c r="AR28" t="n">
        <x:f>IF(ISNUMBER(AB28),1,0)</x:f>
        <x:v>0</x:v>
      </x:c>
    </x:row>
    <x:row r="29" s="1211" customFormat="1" ht="24" customHeight="1">
      <x:c r="A29"/>
      <x:c r="B29" s="1923"/>
      <x:c r="C29" s="1923"/>
      <x:c r="D29" s="1923"/>
      <x:c r="E29" s="1923"/>
      <x:c r="F29" s="1923"/>
      <x:c r="G29" s="1923"/>
      <x:c r="H29" s="1923"/>
      <x:c r="I29" s="1923"/>
      <x:c r="J29" s="1923"/>
      <x:c r="K29" s="1923"/>
      <x:c r="L29" s="1923"/>
      <x:c r="M29" s="1923"/>
      <x:c r="AA29" t="n">
        <x:v>4</x:v>
      </x:c>
      <x:c r="AB29" t="str">
        <x:f>IF(ISNUMBER('Résultats détaillés'!T31),'Résultats détaillés'!T31,"")</x:f>
      </x:c>
      <x:c r="AC29" t="n">
        <x:f>IF(AND(ISNUMBER(AB29),AB29&gt;=5),AB29*100+9,0)</x:f>
        <x:v>0</x:v>
      </x:c>
      <x:c r="AD29" t="str">
        <x:f>IF(ISBLANK('Résultats détaillés'!B31),"",'Résultats détaillés'!B31)</x:f>
        <x:v>4.3</x:v>
      </x:c>
      <x:c r="AE29" t="str">
        <x:f>IF(ISBLANK('Résultats détaillés'!C31),"",'Résultats détaillés'!C31)</x:f>
        <x:v>Innover en utilisant de nouveaux outils numériques. Évaluer leurs effets et expliquer les résultats aux personnes qui les utilisent.</x:v>
      </x:c>
      <x:c r="AF29" t="str">
        <x:f>IF(ISBLANK('Résultats détaillés'!E31),"",'Résultats détaillés'!E31)</x:f>
      </x:c>
      <x:c r="AG29" t="str">
        <x:f>IF(ISBLANK('Résultats détaillés'!F31),"",'Résultats détaillés'!F31)</x:f>
      </x:c>
      <x:c r="AH29" t="n">
        <x:f>IF(ISNUMBER('Résultats détaillés'!H31),IF(AND('Résultats détaillés'!H31&gt;=1,'Résultats détaillés'!H31&lt;=4,MOD('Résultats détaillés'!H31,1)=0),'Résultats détaillés'!H31,0),0)</x:f>
        <x:v>0</x:v>
      </x:c>
      <x:c r="AI29" t="str">
        <x:f>IF(ISBLANK('Résultats détaillés'!W31),"",'Résultats détaillés'!W31)</x:f>
      </x:c>
      <x:c r="AJ29" t="n">
        <x:f>IF(LEN(TRIM(AI29))&gt;0,1,0)</x:f>
        <x:v>0</x:v>
      </x:c>
      <x:c r="AK29" t="n">
        <x:f>IF(LEN(TRIM('Résultats détaillés'!G31))&gt;0,1,0)</x:f>
        <x:v>0</x:v>
      </x:c>
      <x:c r="AL29" t="n">
        <x:f>IF(OR(IF(LEN('Résultats détaillés'!E31)=0,FALSE,NOT(IF(ISNUMBER('Résultats détaillés'!E31),AND('Résultats détaillés'!E31&gt;=0,'Résultats détaillés'!E31&lt;=3,MOD('Résultats détaillés'!E31,1)=0),FALSE))),IF(LEN('Résultats détaillés'!F31)=0,FALSE,NOT(IF(ISNUMBER('Résultats détaillés'!F31),AND('Résultats détaillés'!F31&gt;=1,'Résultats détaillés'!F31&lt;=4,MOD('Résultats détaillés'!F31,1)=0),FALSE))),IF(LEN('Résultats détaillés'!H31)=0,FALSE,NOT(IF(ISNUMBER('Résultats détaillés'!H31),AND('Résultats détaillés'!H31&gt;=1,'Résultats détaillés'!H31&lt;=4,MOD('Résultats détaillés'!H31,1)=0),FALSE)))),1,0)</x:f>
        <x:v>0</x:v>
      </x:c>
      <x:c r="AM29" t="n">
        <x:f>IF(AND(ISNUMBER(AB29),AB29&gt;0,AK29=0),1,0)</x:f>
        <x:v>0</x:v>
      </x:c>
      <x:c r="AN29" t="n">
        <x:v>31</x:v>
      </x:c>
      <x:c r="AO29" t="n">
        <x:f>IF(AND(ISNUMBER(AB29),AB29&gt;0),1,0)</x:f>
        <x:v>0</x:v>
      </x:c>
      <x:c r="AP29" t="n">
        <x:f>IF(AND(AC29&gt;0,AH29=0),1,0)</x:f>
        <x:v>0</x:v>
      </x:c>
      <x:c r="AQ29" t="n">
        <x:f>IF(AND(AC29&gt;0,AJ29=0),1,0)</x:f>
        <x:v>0</x:v>
      </x:c>
      <x:c r="AR29" t="n">
        <x:f>IF(ISNUMBER(AB29),1,0)</x:f>
        <x:v>0</x:v>
      </x:c>
    </x:row>
    <x:row r="30" s="1211" customFormat="1" ht="24" customHeight="1">
      <x:c r="A30"/>
      <x:c r="B30" s="1923"/>
      <x:c r="C30" s="1923"/>
      <x:c r="D30" s="1923"/>
      <x:c r="E30" s="1923"/>
      <x:c r="F30" s="1923"/>
      <x:c r="G30" s="1923"/>
      <x:c r="H30" s="1923"/>
      <x:c r="I30" s="1923"/>
      <x:c r="J30" s="1923"/>
      <x:c r="K30" s="1923"/>
      <x:c r="L30" s="1923"/>
      <x:c r="M30" s="1923"/>
      <x:c r="AA30" t="n">
        <x:v>4</x:v>
      </x:c>
      <x:c r="AB30" t="str">
        <x:f>IF(ISNUMBER('Résultats détaillés'!T32),'Résultats détaillés'!T32,"")</x:f>
      </x:c>
      <x:c r="AC30" t="n">
        <x:f>IF(AND(ISNUMBER(AB30),AB30&gt;=5),AB30*100+8,0)</x:f>
        <x:v>0</x:v>
      </x:c>
      <x:c r="AD30" t="str">
        <x:f>IF(ISBLANK('Résultats détaillés'!B32),"",'Résultats détaillés'!B32)</x:f>
        <x:v>4.4</x:v>
      </x:c>
      <x:c r="AE30" t="str">
        <x:f>IF(ISBLANK('Résultats détaillés'!C32),"",'Résultats détaillés'!C32)</x:f>
        <x:v>Renforcer la souveraineté numérique : garder la maîtrise de nos choix, de nos outils et de nos données.</x:v>
      </x:c>
      <x:c r="AF30" t="str">
        <x:f>IF(ISBLANK('Résultats détaillés'!E32),"",'Résultats détaillés'!E32)</x:f>
      </x:c>
      <x:c r="AG30" t="str">
        <x:f>IF(ISBLANK('Résultats détaillés'!F32),"",'Résultats détaillés'!F32)</x:f>
      </x:c>
      <x:c r="AH30" t="n">
        <x:f>IF(ISNUMBER('Résultats détaillés'!H32),IF(AND('Résultats détaillés'!H32&gt;=1,'Résultats détaillés'!H32&lt;=4,MOD('Résultats détaillés'!H32,1)=0),'Résultats détaillés'!H32,0),0)</x:f>
        <x:v>0</x:v>
      </x:c>
      <x:c r="AI30" t="str">
        <x:f>IF(ISBLANK('Résultats détaillés'!W32),"",'Résultats détaillés'!W32)</x:f>
      </x:c>
      <x:c r="AJ30" t="n">
        <x:f>IF(LEN(TRIM(AI30))&gt;0,1,0)</x:f>
        <x:v>0</x:v>
      </x:c>
      <x:c r="AK30" t="n">
        <x:f>IF(LEN(TRIM('Résultats détaillés'!G32))&gt;0,1,0)</x:f>
        <x:v>0</x:v>
      </x:c>
      <x:c r="AL30" t="n">
        <x:f>IF(OR(IF(LEN('Résultats détaillés'!E32)=0,FALSE,NOT(IF(ISNUMBER('Résultats détaillés'!E32),AND('Résultats détaillés'!E32&gt;=0,'Résultats détaillés'!E32&lt;=3,MOD('Résultats détaillés'!E32,1)=0),FALSE))),IF(LEN('Résultats détaillés'!F32)=0,FALSE,NOT(IF(ISNUMBER('Résultats détaillés'!F32),AND('Résultats détaillés'!F32&gt;=1,'Résultats détaillés'!F32&lt;=4,MOD('Résultats détaillés'!F32,1)=0),FALSE))),IF(LEN('Résultats détaillés'!H32)=0,FALSE,NOT(IF(ISNUMBER('Résultats détaillés'!H32),AND('Résultats détaillés'!H32&gt;=1,'Résultats détaillés'!H32&lt;=4,MOD('Résultats détaillés'!H32,1)=0),FALSE)))),1,0)</x:f>
        <x:v>0</x:v>
      </x:c>
      <x:c r="AM30" t="n">
        <x:f>IF(AND(ISNUMBER(AB30),AB30&gt;0,AK30=0),1,0)</x:f>
        <x:v>0</x:v>
      </x:c>
      <x:c r="AN30" t="n">
        <x:v>32</x:v>
      </x:c>
      <x:c r="AO30" t="n">
        <x:f>IF(AND(ISNUMBER(AB30),AB30&gt;0),1,0)</x:f>
        <x:v>0</x:v>
      </x:c>
      <x:c r="AP30" t="n">
        <x:f>IF(AND(AC30&gt;0,AH30=0),1,0)</x:f>
        <x:v>0</x:v>
      </x:c>
      <x:c r="AQ30" t="n">
        <x:f>IF(AND(AC30&gt;0,AJ30=0),1,0)</x:f>
        <x:v>0</x:v>
      </x:c>
      <x:c r="AR30" t="n">
        <x:f>IF(ISNUMBER(AB30),1,0)</x:f>
        <x:v>0</x:v>
      </x:c>
    </x:row>
    <x:row r="31" s="1211" customFormat="1" ht="24" customHeight="1">
      <x:c r="A31"/>
      <x:c r="B31" s="1923"/>
      <x:c r="C31" s="1923"/>
      <x:c r="D31" s="1923"/>
      <x:c r="E31" s="1923"/>
      <x:c r="F31" s="1923"/>
      <x:c r="G31" s="1923"/>
      <x:c r="H31" s="1923"/>
      <x:c r="I31" s="1923"/>
      <x:c r="J31" s="1923"/>
      <x:c r="K31" s="1923"/>
      <x:c r="L31" s="1923"/>
      <x:c r="M31" s="1923"/>
      <x:c r="AA31" t="n">
        <x:v>5</x:v>
      </x:c>
      <x:c r="AB31" t="str">
        <x:f>IF(ISNUMBER('Résultats détaillés'!T34),'Résultats détaillés'!T34,"")</x:f>
      </x:c>
      <x:c r="AC31" t="n">
        <x:f>IF(AND(ISNUMBER(AB31),AB31&gt;=5),AB31*100+7,0)</x:f>
        <x:v>0</x:v>
      </x:c>
      <x:c r="AD31" t="str">
        <x:f>IF(ISBLANK('Résultats détaillés'!B34),"",'Résultats détaillés'!B34)</x:f>
        <x:v>5.1</x:v>
      </x:c>
      <x:c r="AE31" t="str">
        <x:f>IF(ISBLANK('Résultats détaillés'!C34),"",'Résultats détaillés'!C34)</x:f>
        <x:v>Concevoir les systèmes et les services numériques en intégrant de nouvelles façons de répondre aux besoins sociaux.</x:v>
      </x:c>
      <x:c r="AF31" t="str">
        <x:f>IF(ISBLANK('Résultats détaillés'!E34),"",'Résultats détaillés'!E34)</x:f>
      </x:c>
      <x:c r="AG31" t="str">
        <x:f>IF(ISBLANK('Résultats détaillés'!F34),"",'Résultats détaillés'!F34)</x:f>
      </x:c>
      <x:c r="AH31" t="n">
        <x:f>IF(ISNUMBER('Résultats détaillés'!H34),IF(AND('Résultats détaillés'!H34&gt;=1,'Résultats détaillés'!H34&lt;=4,MOD('Résultats détaillés'!H34,1)=0),'Résultats détaillés'!H34,0),0)</x:f>
        <x:v>0</x:v>
      </x:c>
      <x:c r="AI31" t="str">
        <x:f>IF(ISBLANK('Résultats détaillés'!W34),"",'Résultats détaillés'!W34)</x:f>
      </x:c>
      <x:c r="AJ31" t="n">
        <x:f>IF(LEN(TRIM(AI31))&gt;0,1,0)</x:f>
        <x:v>0</x:v>
      </x:c>
      <x:c r="AK31" t="n">
        <x:f>IF(LEN(TRIM('Résultats détaillés'!G34))&gt;0,1,0)</x:f>
        <x:v>0</x:v>
      </x:c>
      <x:c r="AL31" t="n">
        <x:f>IF(OR(IF(LEN('Résultats détaillés'!E34)=0,FALSE,NOT(IF(ISNUMBER('Résultats détaillés'!E34),AND('Résultats détaillés'!E34&gt;=0,'Résultats détaillés'!E34&lt;=3,MOD('Résultats détaillés'!E34,1)=0),FALSE))),IF(LEN('Résultats détaillés'!F34)=0,FALSE,NOT(IF(ISNUMBER('Résultats détaillés'!F34),AND('Résultats détaillés'!F34&gt;=1,'Résultats détaillés'!F34&lt;=4,MOD('Résultats détaillés'!F34,1)=0),FALSE))),IF(LEN('Résultats détaillés'!H34)=0,FALSE,NOT(IF(ISNUMBER('Résultats détaillés'!H34),AND('Résultats détaillés'!H34&gt;=1,'Résultats détaillés'!H34&lt;=4,MOD('Résultats détaillés'!H34,1)=0),FALSE)))),1,0)</x:f>
        <x:v>0</x:v>
      </x:c>
      <x:c r="AM31" t="n">
        <x:f>IF(AND(ISNUMBER(AB31),AB31&gt;0,AK31=0),1,0)</x:f>
        <x:v>0</x:v>
      </x:c>
      <x:c r="AN31" t="n">
        <x:v>34</x:v>
      </x:c>
      <x:c r="AO31" t="n">
        <x:f>IF(AND(ISNUMBER(AB31),AB31&gt;0),1,0)</x:f>
        <x:v>0</x:v>
      </x:c>
      <x:c r="AP31" t="n">
        <x:f>IF(AND(AC31&gt;0,AH31=0),1,0)</x:f>
        <x:v>0</x:v>
      </x:c>
      <x:c r="AQ31" t="n">
        <x:f>IF(AND(AC31&gt;0,AJ31=0),1,0)</x:f>
        <x:v>0</x:v>
      </x:c>
      <x:c r="AR31" t="n">
        <x:f>IF(ISNUMBER(AB31),1,0)</x:f>
        <x:v>0</x:v>
      </x:c>
    </x:row>
    <x:row r="32" s="1211" customFormat="1" ht="24" customHeight="1">
      <x:c r="A32"/>
      <x:c r="B32" s="1923"/>
      <x:c r="C32" s="1923"/>
      <x:c r="D32" s="1923"/>
      <x:c r="E32" s="1923"/>
      <x:c r="F32" s="1923"/>
      <x:c r="G32" s="1923"/>
      <x:c r="H32" s="1923"/>
      <x:c r="I32" s="1923"/>
      <x:c r="J32" s="1923"/>
      <x:c r="K32" s="1923"/>
      <x:c r="L32" s="1923"/>
      <x:c r="M32" s="1923"/>
      <x:c r="AA32" t="n">
        <x:v>5</x:v>
      </x:c>
      <x:c r="AB32" t="str">
        <x:f>IF(ISNUMBER('Résultats détaillés'!T35),'Résultats détaillés'!T35,"")</x:f>
      </x:c>
      <x:c r="AC32" t="n">
        <x:f>IF(AND(ISNUMBER(AB32),AB32&gt;=5),AB32*100+6,0)</x:f>
        <x:v>0</x:v>
      </x:c>
      <x:c r="AD32" t="str">
        <x:f>IF(ISBLANK('Résultats détaillés'!B35),"",'Résultats détaillés'!B35)</x:f>
        <x:v>5.2</x:v>
      </x:c>
      <x:c r="AE32" t="str">
        <x:f>IF(ISBLANK('Résultats détaillés'!C35),"",'Résultats détaillés'!C35)</x:f>
        <x:v>Faire connaître et soutenir les initiatives des équipes qui encouragent l’engagement, la coopération entre services et le bien-être au travail.</x:v>
      </x:c>
      <x:c r="AF32" t="str">
        <x:f>IF(ISBLANK('Résultats détaillés'!E35),"",'Résultats détaillés'!E35)</x:f>
      </x:c>
      <x:c r="AG32" t="str">
        <x:f>IF(ISBLANK('Résultats détaillés'!F35),"",'Résultats détaillés'!F35)</x:f>
      </x:c>
      <x:c r="AH32" t="n">
        <x:f>IF(ISNUMBER('Résultats détaillés'!H35),IF(AND('Résultats détaillés'!H35&gt;=1,'Résultats détaillés'!H35&lt;=4,MOD('Résultats détaillés'!H35,1)=0),'Résultats détaillés'!H35,0),0)</x:f>
        <x:v>0</x:v>
      </x:c>
      <x:c r="AI32" t="str">
        <x:f>IF(ISBLANK('Résultats détaillés'!W35),"",'Résultats détaillés'!W35)</x:f>
      </x:c>
      <x:c r="AJ32" t="n">
        <x:f>IF(LEN(TRIM(AI32))&gt;0,1,0)</x:f>
        <x:v>0</x:v>
      </x:c>
      <x:c r="AK32" t="n">
        <x:f>IF(LEN(TRIM('Résultats détaillés'!G35))&gt;0,1,0)</x:f>
        <x:v>0</x:v>
      </x:c>
      <x:c r="AL32" t="n">
        <x:f>IF(OR(IF(LEN('Résultats détaillés'!E35)=0,FALSE,NOT(IF(ISNUMBER('Résultats détaillés'!E35),AND('Résultats détaillés'!E35&gt;=0,'Résultats détaillés'!E35&lt;=3,MOD('Résultats détaillés'!E35,1)=0),FALSE))),IF(LEN('Résultats détaillés'!F35)=0,FALSE,NOT(IF(ISNUMBER('Résultats détaillés'!F35),AND('Résultats détaillés'!F35&gt;=1,'Résultats détaillés'!F35&lt;=4,MOD('Résultats détaillés'!F35,1)=0),FALSE))),IF(LEN('Résultats détaillés'!H35)=0,FALSE,NOT(IF(ISNUMBER('Résultats détaillés'!H35),AND('Résultats détaillés'!H35&gt;=1,'Résultats détaillés'!H35&lt;=4,MOD('Résultats détaillés'!H35,1)=0),FALSE)))),1,0)</x:f>
        <x:v>0</x:v>
      </x:c>
      <x:c r="AM32" t="n">
        <x:f>IF(AND(ISNUMBER(AB32),AB32&gt;0,AK32=0),1,0)</x:f>
        <x:v>0</x:v>
      </x:c>
      <x:c r="AN32" t="n">
        <x:v>35</x:v>
      </x:c>
      <x:c r="AO32" t="n">
        <x:f>IF(AND(ISNUMBER(AB32),AB32&gt;0),1,0)</x:f>
        <x:v>0</x:v>
      </x:c>
      <x:c r="AP32" t="n">
        <x:f>IF(AND(AC32&gt;0,AH32=0),1,0)</x:f>
        <x:v>0</x:v>
      </x:c>
      <x:c r="AQ32" t="n">
        <x:f>IF(AND(AC32&gt;0,AJ32=0),1,0)</x:f>
        <x:v>0</x:v>
      </x:c>
      <x:c r="AR32" t="n">
        <x:f>IF(ISNUMBER(AB32),1,0)</x:f>
        <x:v>0</x:v>
      </x:c>
    </x:row>
    <x:row r="33" s="1211" customFormat="1" ht="24" customHeight="1">
      <x:c r="A33"/>
      <x:c r="B33" s="1923"/>
      <x:c r="C33" s="1923"/>
      <x:c r="D33" s="1923"/>
      <x:c r="E33" s="1923"/>
      <x:c r="F33" s="1923"/>
      <x:c r="G33" s="1923"/>
      <x:c r="H33" s="1923"/>
      <x:c r="I33" s="1923"/>
      <x:c r="J33" s="1923"/>
      <x:c r="K33" s="1923"/>
      <x:c r="L33" s="1923"/>
      <x:c r="M33" s="1923"/>
      <x:c r="AA33" t="n">
        <x:v>5</x:v>
      </x:c>
      <x:c r="AB33" t="str">
        <x:f>IF(ISNUMBER('Résultats détaillés'!T36),'Résultats détaillés'!T36,"")</x:f>
      </x:c>
      <x:c r="AC33" t="n">
        <x:f>IF(AND(ISNUMBER(AB33),AB33&gt;=5),AB33*100+5,0)</x:f>
        <x:v>0</x:v>
      </x:c>
      <x:c r="AD33" t="str">
        <x:f>IF(ISBLANK('Résultats détaillés'!B36),"",'Résultats détaillés'!B36)</x:f>
        <x:v>5.3</x:v>
      </x:c>
      <x:c r="AE33" t="str">
        <x:f>IF(ISBLANK('Résultats détaillés'!C36),"",'Résultats détaillés'!C36)</x:f>
        <x:v>Faire participer les personnes et les organisations concernées. S’appuyer sur leurs connaissances des questions d’environnement, de conditions de vie et de société.</x:v>
      </x:c>
      <x:c r="AF33" t="str">
        <x:f>IF(ISBLANK('Résultats détaillés'!E36),"",'Résultats détaillés'!E36)</x:f>
      </x:c>
      <x:c r="AG33" t="str">
        <x:f>IF(ISBLANK('Résultats détaillés'!F36),"",'Résultats détaillés'!F36)</x:f>
      </x:c>
      <x:c r="AH33" t="n">
        <x:f>IF(ISNUMBER('Résultats détaillés'!H36),IF(AND('Résultats détaillés'!H36&gt;=1,'Résultats détaillés'!H36&lt;=4,MOD('Résultats détaillés'!H36,1)=0),'Résultats détaillés'!H36,0),0)</x:f>
        <x:v>0</x:v>
      </x:c>
      <x:c r="AI33" t="str">
        <x:f>IF(ISBLANK('Résultats détaillés'!W36),"",'Résultats détaillés'!W36)</x:f>
      </x:c>
      <x:c r="AJ33" t="n">
        <x:f>IF(LEN(TRIM(AI33))&gt;0,1,0)</x:f>
        <x:v>0</x:v>
      </x:c>
      <x:c r="AK33" t="n">
        <x:f>IF(LEN(TRIM('Résultats détaillés'!G36))&gt;0,1,0)</x:f>
        <x:v>0</x:v>
      </x:c>
      <x:c r="AL33" t="n">
        <x:f>IF(OR(IF(LEN('Résultats détaillés'!E36)=0,FALSE,NOT(IF(ISNUMBER('Résultats détaillés'!E36),AND('Résultats détaillés'!E36&gt;=0,'Résultats détaillés'!E36&lt;=3,MOD('Résultats détaillés'!E36,1)=0),FALSE))),IF(LEN('Résultats détaillés'!F36)=0,FALSE,NOT(IF(ISNUMBER('Résultats détaillés'!F36),AND('Résultats détaillés'!F36&gt;=1,'Résultats détaillés'!F36&lt;=4,MOD('Résultats détaillés'!F36,1)=0),FALSE))),IF(LEN('Résultats détaillés'!H36)=0,FALSE,NOT(IF(ISNUMBER('Résultats détaillés'!H36),AND('Résultats détaillés'!H36&gt;=1,'Résultats détaillés'!H36&lt;=4,MOD('Résultats détaillés'!H36,1)=0),FALSE)))),1,0)</x:f>
        <x:v>0</x:v>
      </x:c>
      <x:c r="AM33" t="n">
        <x:f>IF(AND(ISNUMBER(AB33),AB33&gt;0,AK33=0),1,0)</x:f>
        <x:v>0</x:v>
      </x:c>
      <x:c r="AN33" t="n">
        <x:v>36</x:v>
      </x:c>
      <x:c r="AO33" t="n">
        <x:f>IF(AND(ISNUMBER(AB33),AB33&gt;0),1,0)</x:f>
        <x:v>0</x:v>
      </x:c>
      <x:c r="AP33" t="n">
        <x:f>IF(AND(AC33&gt;0,AH33=0),1,0)</x:f>
        <x:v>0</x:v>
      </x:c>
      <x:c r="AQ33" t="n">
        <x:f>IF(AND(AC33&gt;0,AJ33=0),1,0)</x:f>
        <x:v>0</x:v>
      </x:c>
      <x:c r="AR33" t="n">
        <x:f>IF(ISNUMBER(AB33),1,0)</x:f>
        <x:v>0</x:v>
      </x:c>
    </x:row>
    <x:row r="34" s="1211" customFormat="1" ht="24" customHeight="1">
      <x:c r="A34"/>
      <x:c r="B34" s="1923"/>
      <x:c r="C34" s="1923"/>
      <x:c r="D34" s="1923"/>
      <x:c r="E34" s="1923"/>
      <x:c r="F34" s="1923"/>
      <x:c r="G34" s="1923"/>
      <x:c r="H34" s="1923"/>
      <x:c r="I34" s="1923"/>
      <x:c r="J34" s="1923"/>
      <x:c r="K34" s="1923"/>
      <x:c r="L34" s="1923"/>
      <x:c r="M34" s="1923"/>
      <x:c r="AA34" t="n">
        <x:v>5</x:v>
      </x:c>
      <x:c r="AB34" t="str">
        <x:f>IF(ISNUMBER('Résultats détaillés'!T37),'Résultats détaillés'!T37,"")</x:f>
      </x:c>
      <x:c r="AC34" t="n">
        <x:f>IF(AND(ISNUMBER(AB34),AB34&gt;=5),AB34*100+4,0)</x:f>
        <x:v>0</x:v>
      </x:c>
      <x:c r="AD34" t="str">
        <x:f>IF(ISBLANK('Résultats détaillés'!B37),"",'Résultats détaillés'!B37)</x:f>
        <x:v>5.4</x:v>
      </x:c>
      <x:c r="AE34" t="str">
        <x:f>IF(ISBLANK('Résultats détaillés'!C37),"",'Résultats détaillés'!C37)</x:f>
        <x:v>Permettre aux générations futures d’innover pour mieux vivre ensemble, s’ouvrir aux autres et préserver l’équilibre de la nature.</x:v>
      </x:c>
      <x:c r="AF34" t="str">
        <x:f>IF(ISBLANK('Résultats détaillés'!E37),"",'Résultats détaillés'!E37)</x:f>
      </x:c>
      <x:c r="AG34" t="str">
        <x:f>IF(ISBLANK('Résultats détaillés'!F37),"",'Résultats détaillés'!F37)</x:f>
      </x:c>
      <x:c r="AH34" t="n">
        <x:f>IF(ISNUMBER('Résultats détaillés'!H37),IF(AND('Résultats détaillés'!H37&gt;=1,'Résultats détaillés'!H37&lt;=4,MOD('Résultats détaillés'!H37,1)=0),'Résultats détaillés'!H37,0),0)</x:f>
        <x:v>0</x:v>
      </x:c>
      <x:c r="AI34" t="str">
        <x:f>IF(ISBLANK('Résultats détaillés'!W37),"",'Résultats détaillés'!W37)</x:f>
      </x:c>
      <x:c r="AJ34" t="n">
        <x:f>IF(LEN(TRIM(AI34))&gt;0,1,0)</x:f>
        <x:v>0</x:v>
      </x:c>
      <x:c r="AK34" t="n">
        <x:f>IF(LEN(TRIM('Résultats détaillés'!G37))&gt;0,1,0)</x:f>
        <x:v>0</x:v>
      </x:c>
      <x:c r="AL34" t="n">
        <x:f>IF(OR(IF(LEN('Résultats détaillés'!E37)=0,FALSE,NOT(IF(ISNUMBER('Résultats détaillés'!E37),AND('Résultats détaillés'!E37&gt;=0,'Résultats détaillés'!E37&lt;=3,MOD('Résultats détaillés'!E37,1)=0),FALSE))),IF(LEN('Résultats détaillés'!F37)=0,FALSE,NOT(IF(ISNUMBER('Résultats détaillés'!F37),AND('Résultats détaillés'!F37&gt;=1,'Résultats détaillés'!F37&lt;=4,MOD('Résultats détaillés'!F37,1)=0),FALSE))),IF(LEN('Résultats détaillés'!H37)=0,FALSE,NOT(IF(ISNUMBER('Résultats détaillés'!H37),AND('Résultats détaillés'!H37&gt;=1,'Résultats détaillés'!H37&lt;=4,MOD('Résultats détaillés'!H37,1)=0),FALSE)))),1,0)</x:f>
        <x:v>0</x:v>
      </x:c>
      <x:c r="AM34" t="n">
        <x:f>IF(AND(ISNUMBER(AB34),AB34&gt;0,AK34=0),1,0)</x:f>
        <x:v>0</x:v>
      </x:c>
      <x:c r="AN34" t="n">
        <x:v>37</x:v>
      </x:c>
      <x:c r="AO34" t="n">
        <x:f>IF(AND(ISNUMBER(AB34),AB34&gt;0),1,0)</x:f>
        <x:v>0</x:v>
      </x:c>
      <x:c r="AP34" t="n">
        <x:f>IF(AND(AC34&gt;0,AH34=0),1,0)</x:f>
        <x:v>0</x:v>
      </x:c>
      <x:c r="AQ34" t="n">
        <x:f>IF(AND(AC34&gt;0,AJ34=0),1,0)</x:f>
        <x:v>0</x:v>
      </x:c>
      <x:c r="AR34" t="n">
        <x:f>IF(ISNUMBER(AB34),1,0)</x:f>
        <x:v>0</x:v>
      </x:c>
    </x:row>
    <x:row r="35" s="1211" customFormat="1" ht="24" customHeight="1">
      <x:c r="A35"/>
      <x:c r="B35" s="1923"/>
      <x:c r="C35" s="1923"/>
      <x:c r="D35" s="1923"/>
      <x:c r="E35" s="1923"/>
      <x:c r="F35" s="1923"/>
      <x:c r="G35" s="1923"/>
      <x:c r="H35" s="1923"/>
      <x:c r="I35" s="1923"/>
      <x:c r="J35" s="1923"/>
      <x:c r="K35" s="1923"/>
      <x:c r="L35" s="1923"/>
      <x:c r="M35" s="1923"/>
      <x:c r="AA35" t="n">
        <x:v>5</x:v>
      </x:c>
      <x:c r="AB35" t="str">
        <x:f>IF(ISNUMBER('Résultats détaillés'!T38),'Résultats détaillés'!T38,"")</x:f>
      </x:c>
      <x:c r="AC35" t="n">
        <x:f>IF(AND(ISNUMBER(AB35),AB35&gt;=5),AB35*100+3,0)</x:f>
        <x:v>0</x:v>
      </x:c>
      <x:c r="AD35" t="str">
        <x:f>IF(ISBLANK('Résultats détaillés'!B38),"",'Résultats détaillés'!B38)</x:f>
        <x:v>5.5</x:v>
      </x:c>
      <x:c r="AE35" t="str">
        <x:f>IF(ISBLANK('Résultats détaillés'!C38),"",'Résultats détaillés'!C38)</x:f>
        <x:v>Suivre les résultats obtenus et le respect des règles à l’aide d’indicateurs.</x:v>
      </x:c>
      <x:c r="AF35" t="str">
        <x:f>IF(ISBLANK('Résultats détaillés'!E38),"",'Résultats détaillés'!E38)</x:f>
      </x:c>
      <x:c r="AG35" t="str">
        <x:f>IF(ISBLANK('Résultats détaillés'!F38),"",'Résultats détaillés'!F38)</x:f>
      </x:c>
      <x:c r="AH35" t="n">
        <x:f>IF(ISNUMBER('Résultats détaillés'!H38),IF(AND('Résultats détaillés'!H38&gt;=1,'Résultats détaillés'!H38&lt;=4,MOD('Résultats détaillés'!H38,1)=0),'Résultats détaillés'!H38,0),0)</x:f>
        <x:v>0</x:v>
      </x:c>
      <x:c r="AI35" t="str">
        <x:f>IF(ISBLANK('Résultats détaillés'!W38),"",'Résultats détaillés'!W38)</x:f>
      </x:c>
      <x:c r="AJ35" t="n">
        <x:f>IF(LEN(TRIM(AI35))&gt;0,1,0)</x:f>
        <x:v>0</x:v>
      </x:c>
      <x:c r="AK35" t="n">
        <x:f>IF(LEN(TRIM('Résultats détaillés'!G38))&gt;0,1,0)</x:f>
        <x:v>0</x:v>
      </x:c>
      <x:c r="AL35" t="n">
        <x:f>IF(OR(IF(LEN('Résultats détaillés'!E38)=0,FALSE,NOT(IF(ISNUMBER('Résultats détaillés'!E38),AND('Résultats détaillés'!E38&gt;=0,'Résultats détaillés'!E38&lt;=3,MOD('Résultats détaillés'!E38,1)=0),FALSE))),IF(LEN('Résultats détaillés'!F38)=0,FALSE,NOT(IF(ISNUMBER('Résultats détaillés'!F38),AND('Résultats détaillés'!F38&gt;=1,'Résultats détaillés'!F38&lt;=4,MOD('Résultats détaillés'!F38,1)=0),FALSE))),IF(LEN('Résultats détaillés'!H38)=0,FALSE,NOT(IF(ISNUMBER('Résultats détaillés'!H38),AND('Résultats détaillés'!H38&gt;=1,'Résultats détaillés'!H38&lt;=4,MOD('Résultats détaillés'!H38,1)=0),FALSE)))),1,0)</x:f>
        <x:v>0</x:v>
      </x:c>
      <x:c r="AM35" t="n">
        <x:f>IF(AND(ISNUMBER(AB35),AB35&gt;0,AK35=0),1,0)</x:f>
        <x:v>0</x:v>
      </x:c>
      <x:c r="AN35" t="n">
        <x:v>38</x:v>
      </x:c>
      <x:c r="AO35" t="n">
        <x:f>IF(AND(ISNUMBER(AB35),AB35&gt;0),1,0)</x:f>
        <x:v>0</x:v>
      </x:c>
      <x:c r="AP35" t="n">
        <x:f>IF(AND(AC35&gt;0,AH35=0),1,0)</x:f>
        <x:v>0</x:v>
      </x:c>
      <x:c r="AQ35" t="n">
        <x:f>IF(AND(AC35&gt;0,AJ35=0),1,0)</x:f>
        <x:v>0</x:v>
      </x:c>
      <x:c r="AR35" t="n">
        <x:f>IF(ISNUMBER(AB35),1,0)</x:f>
        <x:v>0</x:v>
      </x:c>
    </x:row>
    <x:row r="36" s="1211" customFormat="1" ht="24" customHeight="1">
      <x:c r="A36"/>
      <x:c r="B36" s="1923"/>
      <x:c r="C36" s="1923"/>
      <x:c r="D36" s="1923"/>
      <x:c r="E36" s="1923"/>
      <x:c r="F36" s="1923"/>
      <x:c r="G36" s="1923"/>
      <x:c r="H36" s="1923"/>
      <x:c r="I36" s="1923"/>
      <x:c r="J36" s="1923"/>
      <x:c r="K36" s="1923"/>
      <x:c r="L36" s="1923"/>
      <x:c r="M36" s="1923"/>
      <x:c r="AA36" t="n">
        <x:v>5</x:v>
      </x:c>
      <x:c r="AB36" t="str">
        <x:f>IF(ISNUMBER('Résultats détaillés'!T39),'Résultats détaillés'!T39,"")</x:f>
      </x:c>
      <x:c r="AC36" t="n">
        <x:f>IF(AND(ISNUMBER(AB36),AB36&gt;=5),AB36*100+2,0)</x:f>
        <x:v>0</x:v>
      </x:c>
      <x:c r="AD36" t="str">
        <x:f>IF(ISBLANK('Résultats détaillés'!B39),"",'Résultats détaillés'!B39)</x:f>
        <x:v>5.6</x:v>
      </x:c>
      <x:c r="AE36" t="str">
        <x:f>IF(ISBLANK('Résultats détaillés'!C39),"",'Résultats détaillés'!C39)</x:f>
        <x:v>Proposer des améliorations et de nouvelles idées pour un numérique responsable, y compris des solutions sans outils numériques.</x:v>
      </x:c>
      <x:c r="AF36" t="str">
        <x:f>IF(ISBLANK('Résultats détaillés'!E39),"",'Résultats détaillés'!E39)</x:f>
      </x:c>
      <x:c r="AG36" t="str">
        <x:f>IF(ISBLANK('Résultats détaillés'!F39),"",'Résultats détaillés'!F39)</x:f>
      </x:c>
      <x:c r="AH36" t="n">
        <x:f>IF(ISNUMBER('Résultats détaillés'!H39),IF(AND('Résultats détaillés'!H39&gt;=1,'Résultats détaillés'!H39&lt;=4,MOD('Résultats détaillés'!H39,1)=0),'Résultats détaillés'!H39,0),0)</x:f>
        <x:v>0</x:v>
      </x:c>
      <x:c r="AI36" t="str">
        <x:f>IF(ISBLANK('Résultats détaillés'!W39),"",'Résultats détaillés'!W39)</x:f>
      </x:c>
      <x:c r="AJ36" t="n">
        <x:f>IF(LEN(TRIM(AI36))&gt;0,1,0)</x:f>
        <x:v>0</x:v>
      </x:c>
      <x:c r="AK36" t="n">
        <x:f>IF(LEN(TRIM('Résultats détaillés'!G39))&gt;0,1,0)</x:f>
        <x:v>0</x:v>
      </x:c>
      <x:c r="AL36" t="n">
        <x:f>IF(OR(IF(LEN('Résultats détaillés'!E39)=0,FALSE,NOT(IF(ISNUMBER('Résultats détaillés'!E39),AND('Résultats détaillés'!E39&gt;=0,'Résultats détaillés'!E39&lt;=3,MOD('Résultats détaillés'!E39,1)=0),FALSE))),IF(LEN('Résultats détaillés'!F39)=0,FALSE,NOT(IF(ISNUMBER('Résultats détaillés'!F39),AND('Résultats détaillés'!F39&gt;=1,'Résultats détaillés'!F39&lt;=4,MOD('Résultats détaillés'!F39,1)=0),FALSE))),IF(LEN('Résultats détaillés'!H39)=0,FALSE,NOT(IF(ISNUMBER('Résultats détaillés'!H39),AND('Résultats détaillés'!H39&gt;=1,'Résultats détaillés'!H39&lt;=4,MOD('Résultats détaillés'!H39,1)=0),FALSE)))),1,0)</x:f>
        <x:v>0</x:v>
      </x:c>
      <x:c r="AM36" t="n">
        <x:f>IF(AND(ISNUMBER(AB36),AB36&gt;0,AK36=0),1,0)</x:f>
        <x:v>0</x:v>
      </x:c>
      <x:c r="AN36" t="n">
        <x:v>39</x:v>
      </x:c>
      <x:c r="AO36" t="n">
        <x:f>IF(AND(ISNUMBER(AB36),AB36&gt;0),1,0)</x:f>
        <x:v>0</x:v>
      </x:c>
      <x:c r="AP36" t="n">
        <x:f>IF(AND(AC36&gt;0,AH36=0),1,0)</x:f>
        <x:v>0</x:v>
      </x:c>
      <x:c r="AQ36" t="n">
        <x:f>IF(AND(AC36&gt;0,AJ36=0),1,0)</x:f>
        <x:v>0</x:v>
      </x:c>
      <x:c r="AR36" t="n">
        <x:f>IF(ISNUMBER(AB36),1,0)</x:f>
        <x:v>0</x:v>
      </x:c>
    </x:row>
    <x:row r="37" s="1211" customFormat="1" ht="30" customHeight="1">
      <x:c r="A37"/>
      <x:c r="B37" s="1950" t="str">
        <x:v>Comprendre les notes et les besoins</x:v>
      </x:c>
      <x:c r="C37" s="1951"/>
      <x:c r="D37" s="1951"/>
      <x:c r="E37" s="1951"/>
      <x:c r="F37" s="1951"/>
      <x:c r="G37" s="1951"/>
      <x:c r="H37" s="1951"/>
      <x:c r="I37" s="1951"/>
      <x:c r="J37" s="1951"/>
      <x:c r="K37" s="1951"/>
      <x:c r="L37" s="1951"/>
      <x:c r="M37" s="1952"/>
      <x:c r="AA37" t="n">
        <x:v>5</x:v>
      </x:c>
      <x:c r="AB37" t="str">
        <x:f>IF(ISNUMBER('Résultats détaillés'!T40),'Résultats détaillés'!T40,"")</x:f>
      </x:c>
      <x:c r="AC37" t="n">
        <x:f>IF(AND(ISNUMBER(AB37),AB37&gt;=5),AB37*100+1,0)</x:f>
        <x:v>0</x:v>
      </x:c>
      <x:c r="AD37" t="str">
        <x:f>IF(ISBLANK('Résultats détaillés'!B40),"",'Résultats détaillés'!B40)</x:f>
        <x:v>5.7</x:v>
      </x:c>
      <x:c r="AE37" t="str">
        <x:f>IF(ISBLANK('Résultats détaillés'!C40),"",'Résultats détaillés'!C40)</x:f>
        <x:v>Décider avec les équipes comment utiliser l’intelligence artificielle. Les former à ses limites et préserver le sens de leur travail.</x:v>
      </x:c>
      <x:c r="AF37" t="str">
        <x:f>IF(ISBLANK('Résultats détaillés'!E40),"",'Résultats détaillés'!E40)</x:f>
      </x:c>
      <x:c r="AG37" t="str">
        <x:f>IF(ISBLANK('Résultats détaillés'!F40),"",'Résultats détaillés'!F40)</x:f>
      </x:c>
      <x:c r="AH37" t="n">
        <x:f>IF(ISNUMBER('Résultats détaillés'!H40),IF(AND('Résultats détaillés'!H40&gt;=1,'Résultats détaillés'!H40&lt;=4,MOD('Résultats détaillés'!H40,1)=0),'Résultats détaillés'!H40,0),0)</x:f>
        <x:v>0</x:v>
      </x:c>
      <x:c r="AI37" t="str">
        <x:f>IF(ISBLANK('Résultats détaillés'!W40),"",'Résultats détaillés'!W40)</x:f>
      </x:c>
      <x:c r="AJ37" t="n">
        <x:f>IF(LEN(TRIM(AI37))&gt;0,1,0)</x:f>
        <x:v>0</x:v>
      </x:c>
      <x:c r="AK37" t="n">
        <x:f>IF(LEN(TRIM('Résultats détaillés'!G40))&gt;0,1,0)</x:f>
        <x:v>0</x:v>
      </x:c>
      <x:c r="AL37" t="n">
        <x:f>IF(OR(IF(LEN('Résultats détaillés'!E40)=0,FALSE,NOT(IF(ISNUMBER('Résultats détaillés'!E40),AND('Résultats détaillés'!E40&gt;=0,'Résultats détaillés'!E40&lt;=3,MOD('Résultats détaillés'!E40,1)=0),FALSE))),IF(LEN('Résultats détaillés'!F40)=0,FALSE,NOT(IF(ISNUMBER('Résultats détaillés'!F40),AND('Résultats détaillés'!F40&gt;=1,'Résultats détaillés'!F40&lt;=4,MOD('Résultats détaillés'!F40,1)=0),FALSE))),IF(LEN('Résultats détaillés'!H40)=0,FALSE,NOT(IF(ISNUMBER('Résultats détaillés'!H40),AND('Résultats détaillés'!H40&gt;=1,'Résultats détaillés'!H40&lt;=4,MOD('Résultats détaillés'!H40,1)=0),FALSE)))),1,0)</x:f>
        <x:v>0</x:v>
      </x:c>
      <x:c r="AM37" t="n">
        <x:f>IF(AND(ISNUMBER(AB37),AB37&gt;0,AK37=0),1,0)</x:f>
        <x:v>0</x:v>
      </x:c>
      <x:c r="AN37" t="n">
        <x:v>40</x:v>
      </x:c>
      <x:c r="AO37" t="n">
        <x:f>IF(AND(ISNUMBER(AB37),AB37&gt;0),1,0)</x:f>
        <x:v>0</x:v>
      </x:c>
      <x:c r="AP37" t="n">
        <x:f>IF(AND(AC37&gt;0,AH37=0),1,0)</x:f>
        <x:v>0</x:v>
      </x:c>
      <x:c r="AQ37" t="n">
        <x:f>IF(AND(AC37&gt;0,AJ37=0),1,0)</x:f>
        <x:v>0</x:v>
      </x:c>
      <x:c r="AR37" t="n">
        <x:f>IF(ISNUMBER(AB37),1,0)</x:f>
        <x:v>0</x:v>
      </x:c>
    </x:row>
    <x:row r="38" s="1211" customFormat="1" ht="24" customHeight="1">
      <x:c r="A38"/>
      <x:c r="B38" s="1940" t="str">
        <x:v>Importance et niveau atteint</x:v>
      </x:c>
      <x:c r="C38" s="1940"/>
      <x:c r="D38" s="1940"/>
      <x:c r="E38" s="1940"/>
      <x:c r="F38" s="1940"/>
      <x:c r="G38" s="1940"/>
      <x:c r="H38" s="1923"/>
      <x:c r="I38" s="1945" t="str">
        <x:v>Compétences nécessaires pour les priorités</x:v>
      </x:c>
      <x:c r="J38" s="1945"/>
      <x:c r="K38" s="1945"/>
      <x:c r="L38" s="1945"/>
      <x:c r="M38" s="1945"/>
    </x:row>
    <x:row r="39" s="1211" customFormat="1" ht="38" customHeight="1">
      <x:c r="A39"/>
      <x:c r="B39" s="1991" t="str">
        <x:v>Importance</x:v>
      </x:c>
      <x:c r="C39" s="1991" t="str">
        <x:v>1. Pas du tout</x:v>
      </x:c>
      <x:c r="D39" s="1991" t="str">
        <x:v>2. En partie</x:v>
      </x:c>
      <x:c r="E39" s="1991" t="str">
        <x:v>3. En bonne voie</x:v>
      </x:c>
      <x:c r="F39" s="1991" t="str">
        <x:v>4. Atteinte</x:v>
      </x:c>
      <x:c r="G39" s="1991" t="str">
        <x:v>Total</x:v>
      </x:c>
      <x:c r="H39" s="1923"/>
      <x:c r="I39" s="2009" t="str">
        <x:v>Équipe à mobiliser</x:v>
      </x:c>
      <x:c r="J39" s="2010"/>
      <x:c r="K39" s="2010"/>
      <x:c r="L39" s="2010"/>
      <x:c r="M39" s="2011" t="str">
        <x:v>Cibles</x:v>
      </x:c>
    </x:row>
    <x:row r="40" s="1211" customFormat="1" ht="30" customHeight="1">
      <x:c r="A40"/>
      <x:c r="B40" s="1992" t="str">
        <x:v>3. Très importante</x:v>
      </x:c>
      <x:c r="C40" s="1999" t="n">
        <x:f>COUNTIFS($AO$6:$AO$37,1,$AF$6:$AF$37,3,$AG$6:$AG$37,1)</x:f>
        <x:v>0</x:v>
      </x:c>
      <x:c r="D40" s="2000" t="n">
        <x:f>COUNTIFS($AO$6:$AO$37,1,$AF$6:$AF$37,3,$AG$6:$AG$37,2)</x:f>
        <x:v>0</x:v>
      </x:c>
      <x:c r="E40" s="2001" t="n">
        <x:f>COUNTIFS($AO$6:$AO$37,1,$AF$6:$AF$37,3,$AG$6:$AG$37,3)</x:f>
        <x:v>0</x:v>
      </x:c>
      <x:c r="F40" s="2002" t="n">
        <x:f>COUNTIFS($AO$6:$AO$37,1,$AF$6:$AF$37,3,$AG$6:$AG$37,4)</x:f>
        <x:v>0</x:v>
      </x:c>
      <x:c r="G40" s="2003" t="n">
        <x:f>SUM(C40:F40)</x:f>
        <x:v>0</x:v>
      </x:c>
      <x:c r="H40" s="1923"/>
      <x:c r="I40" s="2012" t="str">
        <x:v>Équipe NR / RSE</x:v>
      </x:c>
      <x:c r="J40" s="2008"/>
      <x:c r="K40" s="2008"/>
      <x:c r="L40" s="2008"/>
      <x:c r="M40" s="2018" t="n">
        <x:f>COUNTIFS($AC$6:$AC$37,"&gt;0",$AH$6:$AH$37,1)</x:f>
        <x:v>0</x:v>
      </x:c>
    </x:row>
    <x:row r="41" s="1211" customFormat="1" ht="30" customHeight="1">
      <x:c r="A41"/>
      <x:c r="B41" s="1992" t="str">
        <x:v>2. Importante</x:v>
      </x:c>
      <x:c r="C41" s="2000" t="n">
        <x:f>COUNTIFS($AO$6:$AO$37,1,$AF$6:$AF$37,2,$AG$6:$AG$37,1)</x:f>
        <x:v>0</x:v>
      </x:c>
      <x:c r="D41" s="2001" t="n">
        <x:f>COUNTIFS($AO$6:$AO$37,1,$AF$6:$AF$37,2,$AG$6:$AG$37,2)</x:f>
        <x:v>0</x:v>
      </x:c>
      <x:c r="E41" s="2002" t="n">
        <x:f>COUNTIFS($AO$6:$AO$37,1,$AF$6:$AF$37,2,$AG$6:$AG$37,3)</x:f>
        <x:v>0</x:v>
      </x:c>
      <x:c r="F41" s="2004" t="n">
        <x:f>COUNTIFS($AO$6:$AO$37,1,$AF$6:$AF$37,2,$AG$6:$AG$37,4)</x:f>
        <x:v>0</x:v>
      </x:c>
      <x:c r="G41" s="2003" t="n">
        <x:f>SUM(C41:F41)</x:f>
        <x:v>0</x:v>
      </x:c>
      <x:c r="H41" s="1923"/>
      <x:c r="I41" s="2014" t="str">
        <x:v>NR / RSE et informatique (DSI)</x:v>
      </x:c>
      <x:c r="J41" s="1931"/>
      <x:c r="K41" s="1931"/>
      <x:c r="L41" s="1931"/>
      <x:c r="M41" s="2018" t="n">
        <x:f>COUNTIFS($AC$6:$AC$37,"&gt;0",$AH$6:$AH$37,2)</x:f>
        <x:v>0</x:v>
      </x:c>
    </x:row>
    <x:row r="42" s="1211" customFormat="1" ht="30" customHeight="1">
      <x:c r="A42"/>
      <x:c r="B42" s="1992" t="str">
        <x:v>1. Peu importante</x:v>
      </x:c>
      <x:c r="C42" s="2005" t="n">
        <x:f>COUNTIFS($AO$6:$AO$37,1,$AF$6:$AF$37,1,$AG$6:$AG$37,1)</x:f>
        <x:v>0</x:v>
      </x:c>
      <x:c r="D42" s="2005" t="n">
        <x:f>COUNTIFS($AO$6:$AO$37,1,$AF$6:$AF$37,1,$AG$6:$AG$37,2)</x:f>
        <x:v>0</x:v>
      </x:c>
      <x:c r="E42" s="2004" t="n">
        <x:f>COUNTIFS($AO$6:$AO$37,1,$AF$6:$AF$37,1,$AG$6:$AG$37,3)</x:f>
        <x:v>0</x:v>
      </x:c>
      <x:c r="F42" s="2004" t="n">
        <x:f>COUNTIFS($AO$6:$AO$37,1,$AF$6:$AF$37,1,$AG$6:$AG$37,4)</x:f>
        <x:v>0</x:v>
      </x:c>
      <x:c r="G42" s="2003" t="n">
        <x:f>SUM(C42:F42)</x:f>
        <x:v>0</x:v>
      </x:c>
      <x:c r="H42" s="1923"/>
      <x:c r="I42" s="2012" t="str">
        <x:v>NR / RSE et équipe hors DSI</x:v>
      </x:c>
      <x:c r="J42" s="2008"/>
      <x:c r="K42" s="2008"/>
      <x:c r="L42" s="2008"/>
      <x:c r="M42" s="2018" t="n">
        <x:f>COUNTIFS($AC$6:$AC$37,"&gt;0",$AH$6:$AH$37,3)</x:f>
        <x:v>0</x:v>
      </x:c>
    </x:row>
    <x:row r="43" s="1211" customFormat="1" ht="30" customHeight="1">
      <x:c r="A43"/>
      <x:c r="B43" s="1955" t="str">
        <x:v>Total</x:v>
      </x:c>
      <x:c r="C43" s="2006" t="n">
        <x:f>SUM(C40:C42)</x:f>
        <x:v>0</x:v>
      </x:c>
      <x:c r="D43" s="2006" t="n">
        <x:f>SUM(D40:D42)</x:f>
        <x:v>0</x:v>
      </x:c>
      <x:c r="E43" s="2006" t="n">
        <x:f>SUM(E40:E42)</x:f>
        <x:v>0</x:v>
      </x:c>
      <x:c r="F43" s="2006" t="n">
        <x:f>SUM(F40:F42)</x:f>
        <x:v>0</x:v>
      </x:c>
      <x:c r="G43" s="2006" t="n">
        <x:f>SUM(G40:G42)</x:f>
        <x:v>0</x:v>
      </x:c>
      <x:c r="H43" s="1923"/>
      <x:c r="I43" s="2014" t="str">
        <x:v>Intervention extérieure</x:v>
      </x:c>
      <x:c r="J43" s="1931"/>
      <x:c r="K43" s="1931"/>
      <x:c r="L43" s="1931"/>
      <x:c r="M43" s="2018" t="n">
        <x:f>COUNTIFS($AC$6:$AC$37,"&gt;0",$AH$6:$AH$37,4)</x:f>
        <x:v>0</x:v>
      </x:c>
    </x:row>
    <x:row r="44" s="1211" customFormat="1" ht="30" customHeight="1">
      <x:c r="A44"/>
      <x:c r="B44" s="1923"/>
      <x:c r="C44" s="1923"/>
      <x:c r="D44" s="1923"/>
      <x:c r="E44" s="1923"/>
      <x:c r="F44" s="1923"/>
      <x:c r="G44" s="1923"/>
      <x:c r="H44" s="1923"/>
      <x:c r="I44" s="2015" t="str">
        <x:v>À préciser</x:v>
      </x:c>
      <x:c r="J44" s="2016"/>
      <x:c r="K44" s="2016"/>
      <x:c r="L44" s="2016"/>
      <x:c r="M44" s="2019" t="n">
        <x:f>COUNTIFS($AC$6:$AC$37,"&gt;0",$AH$6:$AH$37,0)</x:f>
        <x:v>0</x:v>
      </x:c>
    </x:row>
    <x:row r="45" s="1211" customFormat="1" ht="24" customHeight="1">
      <x:c r="A45"/>
      <x:c r="B45" s="1949" t="str">
        <x:v>La matrice compte les cibles applicables évaluées. Les couleurs suivent les niveaux de priorité du document.</x:v>
      </x:c>
      <x:c r="C45" s="1949"/>
      <x:c r="D45" s="1949"/>
      <x:c r="E45" s="1949"/>
      <x:c r="F45" s="1949"/>
      <x:c r="G45" s="1949"/>
      <x:c r="H45" s="2020"/>
      <x:c r="I45" s="1949" t="str">
        <x:v>NR : numérique responsable. RSE : responsabilité sociétale. Ce tableau concerne les urgentes et les prioritaires.</x:v>
      </x:c>
      <x:c r="J45" s="1949"/>
      <x:c r="K45" s="1949"/>
      <x:c r="L45" s="1949"/>
      <x:c r="M45" s="1949"/>
    </x:row>
    <x:row r="46" s="1211" customFormat="1" ht="24" customHeight="1">
      <x:c r="A46"/>
      <x:c r="B46" s="1949"/>
      <x:c r="C46" s="1949"/>
      <x:c r="D46" s="1949"/>
      <x:c r="E46" s="1949"/>
      <x:c r="F46" s="1949"/>
      <x:c r="G46" s="1949"/>
      <x:c r="H46" s="2020"/>
      <x:c r="I46" s="1949"/>
      <x:c r="J46" s="1949"/>
      <x:c r="K46" s="1949"/>
      <x:c r="L46" s="1949"/>
      <x:c r="M46" s="1949"/>
    </x:row>
    <x:row r="47" s="1211" customFormat="1" ht="24" customHeight="1">
      <x:c r="A47"/>
      <x:c r="B47" s="1923"/>
      <x:c r="C47" s="1923"/>
      <x:c r="D47" s="1923"/>
      <x:c r="E47" s="1923"/>
      <x:c r="F47" s="1923"/>
      <x:c r="G47" s="1923"/>
      <x:c r="H47" s="1923"/>
      <x:c r="I47" s="1923"/>
      <x:c r="J47" s="1923"/>
      <x:c r="K47" s="1923"/>
      <x:c r="L47" s="1923"/>
      <x:c r="M47" s="1923"/>
    </x:row>
    <x:row r="48" s="1211" customFormat="1" ht="30" customHeight="1">
      <x:c r="A48"/>
      <x:c r="B48" s="1950" t="str">
        <x:v>Informations à compléter</x:v>
      </x:c>
      <x:c r="C48" s="1951"/>
      <x:c r="D48" s="1951"/>
      <x:c r="E48" s="1951"/>
      <x:c r="F48" s="1951"/>
      <x:c r="G48" s="1951"/>
      <x:c r="H48" s="1951"/>
      <x:c r="I48" s="1951"/>
      <x:c r="J48" s="1951"/>
      <x:c r="K48" s="1951"/>
      <x:c r="L48" s="1951"/>
      <x:c r="M48" s="1952"/>
    </x:row>
    <x:row r="49" s="1211" customFormat="1" ht="24" customHeight="1">
      <x:c r="A49"/>
      <x:c r="B49" s="1926" t="str">
        <x:v>Point à vérifier</x:v>
      </x:c>
      <x:c r="C49" s="1926"/>
      <x:c r="D49" s="1926"/>
      <x:c r="E49" s="1926"/>
      <x:c r="F49" s="1926"/>
      <x:c r="G49" s="1953" t="str">
        <x:v>Cibles</x:v>
      </x:c>
      <x:c r="H49" s="1926" t="str">
        <x:v>Comment lire ce nombre</x:v>
      </x:c>
      <x:c r="I49" s="1926"/>
      <x:c r="J49" s="1926"/>
      <x:c r="K49" s="1926"/>
      <x:c r="L49" s="1926"/>
      <x:c r="M49" s="1926"/>
    </x:row>
    <x:row r="50" s="1211" customFormat="1" ht="32" customHeight="1">
      <x:c r="A50"/>
      <x:c r="B50" s="2021" t="str">
        <x:v>Évaluation à compléter</x:v>
      </x:c>
      <x:c r="C50" s="2021"/>
      <x:c r="D50" s="2021"/>
      <x:c r="E50" s="2021"/>
      <x:c r="F50" s="2021"/>
      <x:c r="G50" s="2023" t="n">
        <x:f>E16</x:f>
        <x:v>32</x:v>
      </x:c>
      <x:c r="H50" s="2021" t="str">
        <x:v>Une priorité ne peut pas encore être calculée.</x:v>
      </x:c>
      <x:c r="I50" s="2021"/>
      <x:c r="J50" s="2021"/>
      <x:c r="K50" s="2021"/>
      <x:c r="L50" s="2021"/>
      <x:c r="M50" s="2021"/>
    </x:row>
    <x:row r="51" s="1211" customFormat="1" ht="32" customHeight="1">
      <x:c r="A51"/>
      <x:c r="B51" s="1931" t="str">
        <x:v>Notes hors échelle</x:v>
      </x:c>
      <x:c r="C51" s="1931"/>
      <x:c r="D51" s="1931"/>
      <x:c r="E51" s="1931"/>
      <x:c r="F51" s="1931"/>
      <x:c r="G51" s="1971" t="n">
        <x:f>SUM($AL$6:$AL$37)</x:f>
        <x:v>0</x:v>
      </x:c>
      <x:c r="H51" s="1931" t="str">
        <x:v>Au moins une note saisie ne respecte pas les choix proposés.</x:v>
      </x:c>
      <x:c r="I51" s="1931"/>
      <x:c r="J51" s="1931"/>
      <x:c r="K51" s="1931"/>
      <x:c r="L51" s="1931"/>
      <x:c r="M51" s="1931"/>
    </x:row>
    <x:row r="52" s="1211" customFormat="1" ht="32" customHeight="1">
      <x:c r="A52"/>
      <x:c r="B52" s="2021" t="str">
        <x:v>Justification du niveau actuel absente</x:v>
      </x:c>
      <x:c r="C52" s="2021"/>
      <x:c r="D52" s="2021"/>
      <x:c r="E52" s="2021"/>
      <x:c r="F52" s="2021"/>
      <x:c r="G52" s="2023" t="n">
        <x:f>SUM($AM$6:$AM$37)</x:f>
        <x:v>0</x:v>
      </x:c>
      <x:c r="H52" s="2021" t="str">
        <x:v>Cibles applicables évaluées sans explication de la note.</x:v>
      </x:c>
      <x:c r="I52" s="2021"/>
      <x:c r="J52" s="2021"/>
      <x:c r="K52" s="2021"/>
      <x:c r="L52" s="2021"/>
      <x:c r="M52" s="2021"/>
    </x:row>
    <x:row r="53" s="1211" customFormat="1" ht="32" customHeight="1">
      <x:c r="A53"/>
      <x:c r="B53" s="1931" t="str">
        <x:v>Compétences à préciser sur les priorités</x:v>
      </x:c>
      <x:c r="C53" s="1931"/>
      <x:c r="D53" s="1931"/>
      <x:c r="E53" s="1931"/>
      <x:c r="F53" s="1931"/>
      <x:c r="G53" s="1971" t="n">
        <x:f>SUM($AP$6:$AP$37)</x:f>
        <x:v>0</x:v>
      </x:c>
      <x:c r="H53" s="1931" t="str">
        <x:v>Cibles urgentes ou prioritaires sans choix de compétences valide.</x:v>
      </x:c>
      <x:c r="I53" s="1931"/>
      <x:c r="J53" s="1931"/>
      <x:c r="K53" s="1931"/>
      <x:c r="L53" s="1931"/>
      <x:c r="M53" s="1931"/>
    </x:row>
    <x:row r="54" s="1211" customFormat="1" ht="32" customHeight="1">
      <x:c r="A54"/>
      <x:c r="B54" s="2021" t="str">
        <x:v>Action à proposer sur les priorités</x:v>
      </x:c>
      <x:c r="C54" s="2021"/>
      <x:c r="D54" s="2021"/>
      <x:c r="E54" s="2021"/>
      <x:c r="F54" s="2021"/>
      <x:c r="G54" s="2023" t="n">
        <x:f>SUM($AQ$6:$AQ$37)</x:f>
        <x:v>0</x:v>
      </x:c>
      <x:c r="H54" s="2021" t="str">
        <x:v>Cibles urgentes ou prioritaires sans proposition écrite.</x:v>
      </x:c>
      <x:c r="I54" s="2021"/>
      <x:c r="J54" s="2021"/>
      <x:c r="K54" s="2021"/>
      <x:c r="L54" s="2021"/>
      <x:c r="M54" s="2021"/>
    </x:row>
    <x:row r="55" s="1211" customFormat="1" ht="24" customHeight="1">
      <x:c r="A55"/>
      <x:c r="B55" s="1923"/>
      <x:c r="C55" s="1923"/>
      <x:c r="D55" s="1923"/>
      <x:c r="E55" s="1923"/>
      <x:c r="F55" s="1923"/>
      <x:c r="G55" s="1923"/>
      <x:c r="H55" s="1923"/>
      <x:c r="I55" s="1923"/>
      <x:c r="J55" s="1923"/>
      <x:c r="K55" s="1923"/>
      <x:c r="L55" s="1923"/>
      <x:c r="M55" s="1923"/>
    </x:row>
    <x:row r="56" s="1211" customFormat="1" ht="24" customHeight="1">
      <x:c r="A56"/>
      <x:c r="B56" s="1949" t="str">
        <x:v>Une cellule de taux vide signifie qu’aucune cible ne permet encore de calculer ce taux. Une importance de 0 indique une cible non applicable.</x:v>
      </x:c>
      <x:c r="C56" s="1949"/>
      <x:c r="D56" s="1949"/>
      <x:c r="E56" s="1949"/>
      <x:c r="F56" s="1949"/>
      <x:c r="G56" s="1949"/>
      <x:c r="H56" s="1949"/>
      <x:c r="I56" s="1949"/>
      <x:c r="J56" s="1949"/>
      <x:c r="K56" s="1949"/>
      <x:c r="L56" s="1949"/>
      <x:c r="M56" s="1949"/>
    </x:row>
    <x:row r="57" s="1211" customFormat="1" ht="24" customHeight="1">
      <x:c r="A57"/>
      <x:c r="B57" s="1923"/>
      <x:c r="C57" s="1923"/>
      <x:c r="D57" s="1923"/>
      <x:c r="E57" s="1923"/>
      <x:c r="F57" s="1923"/>
      <x:c r="G57" s="1923"/>
      <x:c r="H57" s="1923"/>
      <x:c r="I57" s="1923"/>
      <x:c r="J57" s="1923"/>
      <x:c r="K57" s="1923"/>
      <x:c r="L57" s="1923"/>
      <x:c r="M57" s="1923"/>
    </x:row>
    <x:row r="58" s="1211" customFormat="1" ht="30" customHeight="1">
      <x:c r="A58"/>
      <x:c r="B58" s="2024" t="str">
        <x:v>Cibles à traiter en premier</x:v>
      </x:c>
      <x:c r="C58" s="2025"/>
      <x:c r="D58" s="2025"/>
      <x:c r="E58" s="2025"/>
      <x:c r="F58" s="2025"/>
      <x:c r="G58" s="2025"/>
      <x:c r="H58" s="2025"/>
      <x:c r="I58" s="2025"/>
      <x:c r="J58" s="2025"/>
      <x:c r="K58" s="2025"/>
      <x:c r="L58" s="2025"/>
      <x:c r="M58" s="2026"/>
    </x:row>
    <x:row r="59" s="1211" customFormat="1" ht="24" customHeight="1">
      <x:c r="A59"/>
      <x:c r="B59" s="1931" t="str">
        <x:f>IF(H16+I16=0,IF(D16=0,"La liste apparaîtra après la saisie des notes.","Aucune cible urgente ou prioritaire parmi les cibles évaluées."),"Les "&amp;MIN(10,H16+I16)&amp;" premières cibles sur "&amp;(H16+I16)&amp;" urgentes ou prioritaires. Ordre : urgence, puis numéro de cible.")</x:f>
        <x:v>La liste apparaîtra après la saisie des notes.</x:v>
      </x:c>
      <x:c r="C59" s="1931"/>
      <x:c r="D59" s="1931"/>
      <x:c r="E59" s="1931"/>
      <x:c r="F59" s="1931"/>
      <x:c r="G59" s="1931"/>
      <x:c r="H59" s="1931"/>
      <x:c r="I59" s="1931"/>
      <x:c r="J59" s="1931"/>
      <x:c r="K59" s="1931"/>
      <x:c r="L59" s="1931"/>
      <x:c r="M59" s="1931"/>
    </x:row>
    <x:row r="60" s="1211" customFormat="1" ht="40" customHeight="1">
      <x:c r="A60"/>
      <x:c r="B60" s="1926" t="str">
        <x:v>Cible</x:v>
      </x:c>
      <x:c r="C60" s="1926" t="str">
        <x:v>Ce que l’on cherche à faire</x:v>
      </x:c>
      <x:c r="D60" s="1926"/>
      <x:c r="E60" s="1926"/>
      <x:c r="F60" s="1926"/>
      <x:c r="G60" s="1926" t="str">
        <x:v>Priorité</x:v>
      </x:c>
      <x:c r="H60" s="1926" t="str">
        <x:v>Niveau / 4</x:v>
      </x:c>
      <x:c r="I60" s="1926" t="str">
        <x:v>Compétences</x:v>
      </x:c>
      <x:c r="J60" s="1926" t="str">
        <x:v>Action proposée (extrait)</x:v>
      </x:c>
      <x:c r="K60" s="1926"/>
      <x:c r="L60" s="1926"/>
      <x:c r="M60" s="1926"/>
    </x:row>
    <x:row r="61" s="1211" customFormat="1" ht="112" customHeight="1">
      <x:c r="B61" s="2034" t="str">
        <x:f>IF(ISNUMBER($AS61),INDEX($AD$6:$AD$37,$AS61),"")</x:f>
      </x:c>
      <x:c r="C61" s="2035" t="str">
        <x:f>IF(ISNUMBER($AS61),INDEX($AE$6:$AE$37,$AS61),"")</x:f>
      </x:c>
      <x:c r="D61" s="2035"/>
      <x:c r="E61" s="2035"/>
      <x:c r="F61" s="2035"/>
      <x:c r="G61" s="2036" t="str">
        <x:f>IF(ISNUMBER($AS61),IF(INDEX($AB$6:$AB$37,$AS61)=6,"Urgente","Prioritaire"),"")</x:f>
      </x:c>
      <x:c r="H61" s="2036" t="str">
        <x:f>IF(ISNUMBER($AS61),INDEX($AG$6:$AG$37,$AS61),"")</x:f>
      </x:c>
      <x:c r="I61" s="2036" t="str">
        <x:f>IF(ISNUMBER($AS61),IF(INDEX($AH$6:$AH$37,$AS61)=0,"À préciser",CHOOSE(INDEX($AH$6:$AH$37,$AS61),"NR / RSE","Avec DSI","Hors DSI","Externe")),"")</x:f>
      </x:c>
      <x:c r="J61" s="2035" t="str">
        <x:f>IF(ISNUMBER($AS61),IF(INDEX($AJ$6:$AJ$37,$AS61)=0,"À proposer",LEFT(INDEX($AI$6:$AI$37,$AS61),180)&amp;IF(LEN(INDEX($AI$6:$AI$37,$AS61))&gt;180,"…","")),"")</x:f>
      </x:c>
      <x:c r="K61" s="2035"/>
      <x:c r="L61" s="2035"/>
      <x:c r="M61" s="2037"/>
      <x:c r="AS61" t="str">
        <x:f>IF(1&gt;$H$16+$I$16,"",MATCH(LARGE($AC$6:$AC$37,1),$AC$6:$AC$37,0))</x:f>
      </x:c>
    </x:row>
    <x:row r="62" s="1211" customFormat="1" ht="112" customHeight="1">
      <x:c r="B62" s="2030" t="str">
        <x:f>IF(ISNUMBER($AS62),INDEX($AD$6:$AD$37,$AS62),"")</x:f>
      </x:c>
      <x:c r="C62" s="2031" t="str">
        <x:f>IF(ISNUMBER($AS62),INDEX($AE$6:$AE$37,$AS62),"")</x:f>
      </x:c>
      <x:c r="D62" s="2031"/>
      <x:c r="E62" s="2031"/>
      <x:c r="F62" s="2031"/>
      <x:c r="G62" s="2032" t="str">
        <x:f>IF(ISNUMBER($AS62),IF(INDEX($AB$6:$AB$37,$AS62)=6,"Urgente","Prioritaire"),"")</x:f>
      </x:c>
      <x:c r="H62" s="2032" t="str">
        <x:f>IF(ISNUMBER($AS62),INDEX($AG$6:$AG$37,$AS62),"")</x:f>
      </x:c>
      <x:c r="I62" s="2032" t="str">
        <x:f>IF(ISNUMBER($AS62),IF(INDEX($AH$6:$AH$37,$AS62)=0,"À préciser",CHOOSE(INDEX($AH$6:$AH$37,$AS62),"NR / RSE","Avec DSI","Hors DSI","Externe")),"")</x:f>
      </x:c>
      <x:c r="J62" s="2031" t="str">
        <x:f>IF(ISNUMBER($AS62),IF(INDEX($AJ$6:$AJ$37,$AS62)=0,"À proposer",LEFT(INDEX($AI$6:$AI$37,$AS62),180)&amp;IF(LEN(INDEX($AI$6:$AI$37,$AS62))&gt;180,"…","")),"")</x:f>
      </x:c>
      <x:c r="K62" s="2031"/>
      <x:c r="L62" s="2031"/>
      <x:c r="M62" s="2033"/>
      <x:c r="AS62" t="str">
        <x:f>IF(2&gt;$H$16+$I$16,"",MATCH(LARGE($AC$6:$AC$37,2),$AC$6:$AC$37,0))</x:f>
      </x:c>
    </x:row>
    <x:row r="63" s="1211" customFormat="1" ht="112" customHeight="1">
      <x:c r="B63" s="2034" t="str">
        <x:f>IF(ISNUMBER($AS63),INDEX($AD$6:$AD$37,$AS63),"")</x:f>
      </x:c>
      <x:c r="C63" s="2035" t="str">
        <x:f>IF(ISNUMBER($AS63),INDEX($AE$6:$AE$37,$AS63),"")</x:f>
      </x:c>
      <x:c r="D63" s="2035"/>
      <x:c r="E63" s="2035"/>
      <x:c r="F63" s="2035"/>
      <x:c r="G63" s="2036" t="str">
        <x:f>IF(ISNUMBER($AS63),IF(INDEX($AB$6:$AB$37,$AS63)=6,"Urgente","Prioritaire"),"")</x:f>
      </x:c>
      <x:c r="H63" s="2036" t="str">
        <x:f>IF(ISNUMBER($AS63),INDEX($AG$6:$AG$37,$AS63),"")</x:f>
      </x:c>
      <x:c r="I63" s="2036" t="str">
        <x:f>IF(ISNUMBER($AS63),IF(INDEX($AH$6:$AH$37,$AS63)=0,"À préciser",CHOOSE(INDEX($AH$6:$AH$37,$AS63),"NR / RSE","Avec DSI","Hors DSI","Externe")),"")</x:f>
      </x:c>
      <x:c r="J63" s="2035" t="str">
        <x:f>IF(ISNUMBER($AS63),IF(INDEX($AJ$6:$AJ$37,$AS63)=0,"À proposer",LEFT(INDEX($AI$6:$AI$37,$AS63),180)&amp;IF(LEN(INDEX($AI$6:$AI$37,$AS63))&gt;180,"…","")),"")</x:f>
      </x:c>
      <x:c r="K63" s="2035"/>
      <x:c r="L63" s="2035"/>
      <x:c r="M63" s="2037"/>
      <x:c r="AS63" t="str">
        <x:f>IF(3&gt;$H$16+$I$16,"",MATCH(LARGE($AC$6:$AC$37,3),$AC$6:$AC$37,0))</x:f>
      </x:c>
    </x:row>
    <x:row r="64" s="1211" customFormat="1" ht="112" customHeight="1">
      <x:c r="B64" s="2030" t="str">
        <x:f>IF(ISNUMBER($AS64),INDEX($AD$6:$AD$37,$AS64),"")</x:f>
      </x:c>
      <x:c r="C64" s="2031" t="str">
        <x:f>IF(ISNUMBER($AS64),INDEX($AE$6:$AE$37,$AS64),"")</x:f>
      </x:c>
      <x:c r="D64" s="2031"/>
      <x:c r="E64" s="2031"/>
      <x:c r="F64" s="2031"/>
      <x:c r="G64" s="2032" t="str">
        <x:f>IF(ISNUMBER($AS64),IF(INDEX($AB$6:$AB$37,$AS64)=6,"Urgente","Prioritaire"),"")</x:f>
      </x:c>
      <x:c r="H64" s="2032" t="str">
        <x:f>IF(ISNUMBER($AS64),INDEX($AG$6:$AG$37,$AS64),"")</x:f>
      </x:c>
      <x:c r="I64" s="2032" t="str">
        <x:f>IF(ISNUMBER($AS64),IF(INDEX($AH$6:$AH$37,$AS64)=0,"À préciser",CHOOSE(INDEX($AH$6:$AH$37,$AS64),"NR / RSE","Avec DSI","Hors DSI","Externe")),"")</x:f>
      </x:c>
      <x:c r="J64" s="2031" t="str">
        <x:f>IF(ISNUMBER($AS64),IF(INDEX($AJ$6:$AJ$37,$AS64)=0,"À proposer",LEFT(INDEX($AI$6:$AI$37,$AS64),180)&amp;IF(LEN(INDEX($AI$6:$AI$37,$AS64))&gt;180,"…","")),"")</x:f>
      </x:c>
      <x:c r="K64" s="2031"/>
      <x:c r="L64" s="2031"/>
      <x:c r="M64" s="2033"/>
      <x:c r="AS64" t="str">
        <x:f>IF(4&gt;$H$16+$I$16,"",MATCH(LARGE($AC$6:$AC$37,4),$AC$6:$AC$37,0))</x:f>
      </x:c>
    </x:row>
    <x:row r="65" s="1211" customFormat="1" ht="112" customHeight="1">
      <x:c r="B65" s="2034" t="str">
        <x:f>IF(ISNUMBER($AS65),INDEX($AD$6:$AD$37,$AS65),"")</x:f>
      </x:c>
      <x:c r="C65" s="2035" t="str">
        <x:f>IF(ISNUMBER($AS65),INDEX($AE$6:$AE$37,$AS65),"")</x:f>
      </x:c>
      <x:c r="D65" s="2035"/>
      <x:c r="E65" s="2035"/>
      <x:c r="F65" s="2035"/>
      <x:c r="G65" s="2036" t="str">
        <x:f>IF(ISNUMBER($AS65),IF(INDEX($AB$6:$AB$37,$AS65)=6,"Urgente","Prioritaire"),"")</x:f>
      </x:c>
      <x:c r="H65" s="2036" t="str">
        <x:f>IF(ISNUMBER($AS65),INDEX($AG$6:$AG$37,$AS65),"")</x:f>
      </x:c>
      <x:c r="I65" s="2036" t="str">
        <x:f>IF(ISNUMBER($AS65),IF(INDEX($AH$6:$AH$37,$AS65)=0,"À préciser",CHOOSE(INDEX($AH$6:$AH$37,$AS65),"NR / RSE","Avec DSI","Hors DSI","Externe")),"")</x:f>
      </x:c>
      <x:c r="J65" s="2035" t="str">
        <x:f>IF(ISNUMBER($AS65),IF(INDEX($AJ$6:$AJ$37,$AS65)=0,"À proposer",LEFT(INDEX($AI$6:$AI$37,$AS65),180)&amp;IF(LEN(INDEX($AI$6:$AI$37,$AS65))&gt;180,"…","")),"")</x:f>
      </x:c>
      <x:c r="K65" s="2035"/>
      <x:c r="L65" s="2035"/>
      <x:c r="M65" s="2037"/>
      <x:c r="AS65" t="str">
        <x:f>IF(5&gt;$H$16+$I$16,"",MATCH(LARGE($AC$6:$AC$37,5),$AC$6:$AC$37,0))</x:f>
      </x:c>
    </x:row>
    <x:row r="66" s="1211" customFormat="1" ht="112" customHeight="1">
      <x:c r="B66" s="2030" t="str">
        <x:f>IF(ISNUMBER($AS66),INDEX($AD$6:$AD$37,$AS66),"")</x:f>
      </x:c>
      <x:c r="C66" s="2031" t="str">
        <x:f>IF(ISNUMBER($AS66),INDEX($AE$6:$AE$37,$AS66),"")</x:f>
      </x:c>
      <x:c r="D66" s="2031"/>
      <x:c r="E66" s="2031"/>
      <x:c r="F66" s="2031"/>
      <x:c r="G66" s="2032" t="str">
        <x:f>IF(ISNUMBER($AS66),IF(INDEX($AB$6:$AB$37,$AS66)=6,"Urgente","Prioritaire"),"")</x:f>
      </x:c>
      <x:c r="H66" s="2032" t="str">
        <x:f>IF(ISNUMBER($AS66),INDEX($AG$6:$AG$37,$AS66),"")</x:f>
      </x:c>
      <x:c r="I66" s="2032" t="str">
        <x:f>IF(ISNUMBER($AS66),IF(INDEX($AH$6:$AH$37,$AS66)=0,"À préciser",CHOOSE(INDEX($AH$6:$AH$37,$AS66),"NR / RSE","Avec DSI","Hors DSI","Externe")),"")</x:f>
      </x:c>
      <x:c r="J66" s="2031" t="str">
        <x:f>IF(ISNUMBER($AS66),IF(INDEX($AJ$6:$AJ$37,$AS66)=0,"À proposer",LEFT(INDEX($AI$6:$AI$37,$AS66),180)&amp;IF(LEN(INDEX($AI$6:$AI$37,$AS66))&gt;180,"…","")),"")</x:f>
      </x:c>
      <x:c r="K66" s="2031"/>
      <x:c r="L66" s="2031"/>
      <x:c r="M66" s="2033"/>
      <x:c r="AS66" t="str">
        <x:f>IF(6&gt;$H$16+$I$16,"",MATCH(LARGE($AC$6:$AC$37,6),$AC$6:$AC$37,0))</x:f>
      </x:c>
    </x:row>
    <x:row r="67" s="1211" customFormat="1" ht="112" customHeight="1">
      <x:c r="B67" s="2034" t="str">
        <x:f>IF(ISNUMBER($AS67),INDEX($AD$6:$AD$37,$AS67),"")</x:f>
      </x:c>
      <x:c r="C67" s="2035" t="str">
        <x:f>IF(ISNUMBER($AS67),INDEX($AE$6:$AE$37,$AS67),"")</x:f>
      </x:c>
      <x:c r="D67" s="2035"/>
      <x:c r="E67" s="2035"/>
      <x:c r="F67" s="2035"/>
      <x:c r="G67" s="2036" t="str">
        <x:f>IF(ISNUMBER($AS67),IF(INDEX($AB$6:$AB$37,$AS67)=6,"Urgente","Prioritaire"),"")</x:f>
      </x:c>
      <x:c r="H67" s="2036" t="str">
        <x:f>IF(ISNUMBER($AS67),INDEX($AG$6:$AG$37,$AS67),"")</x:f>
      </x:c>
      <x:c r="I67" s="2036" t="str">
        <x:f>IF(ISNUMBER($AS67),IF(INDEX($AH$6:$AH$37,$AS67)=0,"À préciser",CHOOSE(INDEX($AH$6:$AH$37,$AS67),"NR / RSE","Avec DSI","Hors DSI","Externe")),"")</x:f>
      </x:c>
      <x:c r="J67" s="2035" t="str">
        <x:f>IF(ISNUMBER($AS67),IF(INDEX($AJ$6:$AJ$37,$AS67)=0,"À proposer",LEFT(INDEX($AI$6:$AI$37,$AS67),180)&amp;IF(LEN(INDEX($AI$6:$AI$37,$AS67))&gt;180,"…","")),"")</x:f>
      </x:c>
      <x:c r="K67" s="2035"/>
      <x:c r="L67" s="2035"/>
      <x:c r="M67" s="2037"/>
      <x:c r="AS67" t="str">
        <x:f>IF(7&gt;$H$16+$I$16,"",MATCH(LARGE($AC$6:$AC$37,7),$AC$6:$AC$37,0))</x:f>
      </x:c>
    </x:row>
    <x:row r="68" s="1211" customFormat="1" ht="112" customHeight="1">
      <x:c r="B68" s="2030" t="str">
        <x:f>IF(ISNUMBER($AS68),INDEX($AD$6:$AD$37,$AS68),"")</x:f>
      </x:c>
      <x:c r="C68" s="2031" t="str">
        <x:f>IF(ISNUMBER($AS68),INDEX($AE$6:$AE$37,$AS68),"")</x:f>
      </x:c>
      <x:c r="D68" s="2031"/>
      <x:c r="E68" s="2031"/>
      <x:c r="F68" s="2031"/>
      <x:c r="G68" s="2032" t="str">
        <x:f>IF(ISNUMBER($AS68),IF(INDEX($AB$6:$AB$37,$AS68)=6,"Urgente","Prioritaire"),"")</x:f>
      </x:c>
      <x:c r="H68" s="2032" t="str">
        <x:f>IF(ISNUMBER($AS68),INDEX($AG$6:$AG$37,$AS68),"")</x:f>
      </x:c>
      <x:c r="I68" s="2032" t="str">
        <x:f>IF(ISNUMBER($AS68),IF(INDEX($AH$6:$AH$37,$AS68)=0,"À préciser",CHOOSE(INDEX($AH$6:$AH$37,$AS68),"NR / RSE","Avec DSI","Hors DSI","Externe")),"")</x:f>
      </x:c>
      <x:c r="J68" s="2031" t="str">
        <x:f>IF(ISNUMBER($AS68),IF(INDEX($AJ$6:$AJ$37,$AS68)=0,"À proposer",LEFT(INDEX($AI$6:$AI$37,$AS68),180)&amp;IF(LEN(INDEX($AI$6:$AI$37,$AS68))&gt;180,"…","")),"")</x:f>
      </x:c>
      <x:c r="K68" s="2031"/>
      <x:c r="L68" s="2031"/>
      <x:c r="M68" s="2033"/>
      <x:c r="AS68" t="str">
        <x:f>IF(8&gt;$H$16+$I$16,"",MATCH(LARGE($AC$6:$AC$37,8),$AC$6:$AC$37,0))</x:f>
      </x:c>
    </x:row>
    <x:row r="69" s="1211" customFormat="1" ht="112" customHeight="1">
      <x:c r="B69" s="2034" t="str">
        <x:f>IF(ISNUMBER($AS69),INDEX($AD$6:$AD$37,$AS69),"")</x:f>
      </x:c>
      <x:c r="C69" s="2035" t="str">
        <x:f>IF(ISNUMBER($AS69),INDEX($AE$6:$AE$37,$AS69),"")</x:f>
      </x:c>
      <x:c r="D69" s="2035"/>
      <x:c r="E69" s="2035"/>
      <x:c r="F69" s="2035"/>
      <x:c r="G69" s="2036" t="str">
        <x:f>IF(ISNUMBER($AS69),IF(INDEX($AB$6:$AB$37,$AS69)=6,"Urgente","Prioritaire"),"")</x:f>
      </x:c>
      <x:c r="H69" s="2036" t="str">
        <x:f>IF(ISNUMBER($AS69),INDEX($AG$6:$AG$37,$AS69),"")</x:f>
      </x:c>
      <x:c r="I69" s="2036" t="str">
        <x:f>IF(ISNUMBER($AS69),IF(INDEX($AH$6:$AH$37,$AS69)=0,"À préciser",CHOOSE(INDEX($AH$6:$AH$37,$AS69),"NR / RSE","Avec DSI","Hors DSI","Externe")),"")</x:f>
      </x:c>
      <x:c r="J69" s="2035" t="str">
        <x:f>IF(ISNUMBER($AS69),IF(INDEX($AJ$6:$AJ$37,$AS69)=0,"À proposer",LEFT(INDEX($AI$6:$AI$37,$AS69),180)&amp;IF(LEN(INDEX($AI$6:$AI$37,$AS69))&gt;180,"…","")),"")</x:f>
      </x:c>
      <x:c r="K69" s="2035"/>
      <x:c r="L69" s="2035"/>
      <x:c r="M69" s="2037"/>
      <x:c r="AS69" t="str">
        <x:f>IF(9&gt;$H$16+$I$16,"",MATCH(LARGE($AC$6:$AC$37,9),$AC$6:$AC$37,0))</x:f>
      </x:c>
    </x:row>
    <x:row r="70" s="1211" customFormat="1" ht="112" customHeight="1">
      <x:c r="B70" s="2030" t="str">
        <x:f>IF(ISNUMBER($AS70),INDEX($AD$6:$AD$37,$AS70),"")</x:f>
      </x:c>
      <x:c r="C70" s="2031" t="str">
        <x:f>IF(ISNUMBER($AS70),INDEX($AE$6:$AE$37,$AS70),"")</x:f>
      </x:c>
      <x:c r="D70" s="2031"/>
      <x:c r="E70" s="2031"/>
      <x:c r="F70" s="2031"/>
      <x:c r="G70" s="2032" t="str">
        <x:f>IF(ISNUMBER($AS70),IF(INDEX($AB$6:$AB$37,$AS70)=6,"Urgente","Prioritaire"),"")</x:f>
      </x:c>
      <x:c r="H70" s="2032" t="str">
        <x:f>IF(ISNUMBER($AS70),INDEX($AG$6:$AG$37,$AS70),"")</x:f>
      </x:c>
      <x:c r="I70" s="2032" t="str">
        <x:f>IF(ISNUMBER($AS70),IF(INDEX($AH$6:$AH$37,$AS70)=0,"À préciser",CHOOSE(INDEX($AH$6:$AH$37,$AS70),"NR / RSE","Avec DSI","Hors DSI","Externe")),"")</x:f>
      </x:c>
      <x:c r="J70" s="2031" t="str">
        <x:f>IF(ISNUMBER($AS70),IF(INDEX($AJ$6:$AJ$37,$AS70)=0,"À proposer",LEFT(INDEX($AI$6:$AI$37,$AS70),180)&amp;IF(LEN(INDEX($AI$6:$AI$37,$AS70))&gt;180,"…","")),"")</x:f>
      </x:c>
      <x:c r="K70" s="2031"/>
      <x:c r="L70" s="2031"/>
      <x:c r="M70" s="2033"/>
      <x:c r="AS70" t="str">
        <x:f>IF(10&gt;$H$16+$I$16,"",MATCH(LARGE($AC$6:$AC$37,10),$AC$6:$AC$37,0))</x:f>
      </x:c>
    </x:row>
    <x:row r="71" s="1211" customFormat="1" ht="24" customHeight="1">
      <x:c r="B71" s="1923"/>
      <x:c r="C71" s="1923"/>
      <x:c r="D71" s="1923"/>
      <x:c r="E71" s="1923"/>
      <x:c r="F71" s="1923"/>
      <x:c r="G71" s="1923"/>
      <x:c r="H71" s="1923"/>
      <x:c r="I71" s="1923"/>
      <x:c r="J71" s="1923"/>
      <x:c r="K71" s="1923"/>
      <x:c r="L71" s="1923"/>
      <x:c r="M71" s="1923"/>
    </x:row>
    <x:row r="72" s="1211" customFormat="1" ht="24" customHeight="1">
      <x:c r="B72" s="1949" t="str">
        <x:v>Les actions sont abrégées ici. Consulter l’onglet ONR de la cible pour lire le texte complet et préparer la mise en œuvre.</x:v>
      </x:c>
      <x:c r="C72" s="1949"/>
      <x:c r="D72" s="1949"/>
      <x:c r="E72" s="1949"/>
      <x:c r="F72" s="1949"/>
      <x:c r="G72" s="1949"/>
      <x:c r="H72" s="1949"/>
      <x:c r="I72" s="1949"/>
      <x:c r="J72" s="1949"/>
      <x:c r="K72" s="1949"/>
      <x:c r="L72" s="1949"/>
      <x:c r="M72" s="1949"/>
    </x:row>
    <x:row r="73" s="1211" customFormat="1" ht="24" customHeight="1">
      <x:c r="B73" s="1949" t="str">
        <x:v>Au-delà de dix priorités, consulter « Résultats détaillés ». Les égalités de priorité sont classées par numéro, sans différence d’importance.</x:v>
      </x:c>
      <x:c r="C73" s="1949"/>
      <x:c r="D73" s="1949"/>
      <x:c r="E73" s="1949"/>
      <x:c r="F73" s="1949"/>
      <x:c r="G73" s="1949"/>
      <x:c r="H73" s="1949"/>
      <x:c r="I73" s="1949"/>
      <x:c r="J73" s="1949"/>
      <x:c r="K73" s="1949"/>
      <x:c r="L73" s="1949"/>
      <x:c r="M73" s="1949"/>
    </x:row>
    <x:row r="74" s="1211" customFormat="1" ht="24" customHeight="1">
      <x:c r="B74" s="1923"/>
      <x:c r="C74" s="1923"/>
      <x:c r="D74" s="1923"/>
      <x:c r="E74" s="1923"/>
      <x:c r="F74" s="1923"/>
      <x:c r="G74" s="1923"/>
      <x:c r="H74" s="1923"/>
      <x:c r="I74" s="1923"/>
      <x:c r="J74" s="1923"/>
      <x:c r="K74" s="1923"/>
      <x:c r="L74" s="1923"/>
      <x:c r="M74" s="1923"/>
    </x:row>
    <x:row r="75" s="1211" customFormat="1"/>
    <x:row r="76" s="1211" customFormat="1"/>
    <x:row r="77" s="1211" customFormat="1"/>
    <x:row r="78" s="1211" customFormat="1"/>
    <x:row r="79" s="1211" customFormat="1"/>
    <x:row r="80" s="1211" customFormat="1"/>
    <x:row r="81" s="1211" customFormat="1"/>
    <x:row r="82" s="1211" customFormat="1"/>
    <x:row r="83" s="1211" customFormat="1"/>
    <x:row r="84" s="1211" customFormat="1"/>
    <x:row r="85" s="1211" customFormat="1"/>
    <x:row r="86" s="1211" customFormat="1"/>
    <x:row r="87" s="1211" customFormat="1"/>
    <x:row r="88" s="1211" customFormat="1"/>
    <x:row r="89" s="1211" customFormat="1"/>
    <x:row r="90" s="1211" customFormat="1"/>
    <x:row r="91" s="1211" customFormat="1"/>
    <x:row r="92" s="1211" customFormat="1"/>
    <x:row r="93" s="1211" customFormat="1"/>
    <x:row r="94" s="1211" customFormat="1"/>
    <x:row r="95" s="1211" customFormat="1"/>
    <x:row r="96" s="1211" customFormat="1"/>
    <x:row r="97" s="1211" customFormat="1"/>
    <x:row r="98" s="1211" customFormat="1"/>
    <x:row r="99" s="1211" customFormat="1"/>
    <x:row r="100" s="1211" customFormat="1"/>
    <x:row r="101" s="1211" customFormat="1"/>
    <x:row r="102" s="1211" customFormat="1"/>
    <x:row r="103" s="1211" customFormat="1"/>
    <x:row r="104" s="1211" customFormat="1"/>
    <x:row r="105" s="1211" customFormat="1"/>
    <x:row r="106" s="1211" customFormat="1"/>
    <x:row r="107" s="1211" customFormat="1"/>
    <x:row r="108" s="1211" customFormat="1"/>
    <x:row r="109" s="1211" customFormat="1"/>
    <x:row r="110" s="1211" customFormat="1"/>
    <x:row r="111" s="1211" customFormat="1"/>
    <x:row r="112" s="1211" customFormat="1"/>
    <x:row r="113" s="1211" customFormat="1"/>
    <x:row r="114" s="1211" customFormat="1"/>
    <x:row r="115" s="1211" customFormat="1"/>
    <x:row r="116" s="1211" customFormat="1"/>
    <x:row r="117" s="1211" customFormat="1"/>
    <x:row r="118" s="1211" customFormat="1"/>
    <x:row r="119" s="1211" customFormat="1"/>
    <x:row r="120" s="1211" customFormat="1"/>
    <x:row r="121" s="1211" customFormat="1"/>
    <x:row r="122" s="1211" customFormat="1"/>
    <x:row r="123" s="1211" customFormat="1"/>
    <x:row r="124" s="1211" customFormat="1"/>
    <x:row r="125" s="1211" customFormat="1"/>
    <x:row r="126" s="1211" customFormat="1"/>
    <x:row r="127" s="1211" customFormat="1"/>
    <x:row r="128" s="1211" customFormat="1"/>
    <x:row r="129" s="1211" customFormat="1"/>
    <x:row r="130" s="1211" customFormat="1"/>
    <x:row r="131" s="1211" customFormat="1"/>
    <x:row r="132" s="1211" customFormat="1"/>
    <x:row r="133" s="1211" customFormat="1"/>
    <x:row r="134" s="1211" customFormat="1"/>
    <x:row r="135" s="1211" customFormat="1"/>
    <x:row r="136" s="1211" customFormat="1"/>
    <x:row r="137" s="1211" customFormat="1"/>
    <x:row r="138" s="1211" customFormat="1"/>
    <x:row r="139" s="1211" customFormat="1"/>
    <x:row r="140" s="1211" customFormat="1"/>
    <x:row r="141" s="1211" customFormat="1"/>
    <x:row r="142" s="1211" customFormat="1"/>
    <x:row r="143" s="1211" customFormat="1"/>
    <x:row r="144" s="1211" customFormat="1"/>
    <x:row r="145" s="1211" customFormat="1"/>
    <x:row r="146" s="1211" customFormat="1"/>
    <x:row r="147" s="1211" customFormat="1"/>
    <x:row r="148" s="1211" customFormat="1"/>
    <x:row r="149" s="1211" customFormat="1"/>
    <x:row r="150" s="1211" customFormat="1"/>
    <x:row r="151" s="1211" customFormat="1"/>
    <x:row r="152" s="1211" customFormat="1"/>
    <x:row r="153" s="1211" customFormat="1"/>
    <x:row r="154" s="1211" customFormat="1"/>
    <x:row r="155" s="1211" customFormat="1"/>
    <x:row r="156" s="1211" customFormat="1"/>
    <x:row r="157" s="1211" customFormat="1"/>
    <x:row r="158" s="1211" customFormat="1"/>
    <x:row r="159" s="1211" customFormat="1"/>
    <x:row r="160" s="1211" customFormat="1"/>
    <x:row r="161" s="1211" customFormat="1"/>
    <x:row r="162" s="1211" customFormat="1"/>
    <x:row r="163" s="1211" customFormat="1"/>
    <x:row r="164" s="1211" customFormat="1"/>
    <x:row r="165" s="1211" customFormat="1"/>
    <x:row r="166" s="1211" customFormat="1"/>
    <x:row r="167" s="1211" customFormat="1"/>
    <x:row r="168" s="1211" customFormat="1"/>
    <x:row r="169" s="1211" customFormat="1"/>
    <x:row r="170" s="1211" customFormat="1"/>
    <x:row r="171" s="1211" customFormat="1"/>
    <x:row r="172" s="1211" customFormat="1"/>
    <x:row r="173" s="1211" customFormat="1"/>
    <x:row r="174" s="1211" customFormat="1"/>
    <x:row r="175" s="1211" customFormat="1"/>
    <x:row r="176" s="1211" customFormat="1"/>
    <x:row r="177" s="1211" customFormat="1"/>
    <x:row r="178" s="1211" customFormat="1"/>
    <x:row r="179" s="1211" customFormat="1"/>
    <x:row r="180" s="1211" customFormat="1"/>
    <x:row r="181" s="1211" customFormat="1"/>
    <x:row r="182" s="1211" customFormat="1"/>
    <x:row r="183" s="1211" customFormat="1"/>
    <x:row r="184" s="1211" customFormat="1"/>
    <x:row r="185" s="1211" customFormat="1"/>
    <x:row r="186" s="1211" customFormat="1"/>
    <x:row r="187" s="1211" customFormat="1"/>
    <x:row r="188" s="1211" customFormat="1"/>
    <x:row r="189" s="1211" customFormat="1"/>
    <x:row r="190" s="1211" customFormat="1"/>
    <x:row r="191" s="1211" customFormat="1"/>
    <x:row r="192" s="1211" customFormat="1"/>
    <x:row r="193" s="1211" customFormat="1"/>
    <x:row r="194" s="1211" customFormat="1"/>
    <x:row r="195" s="1211" customFormat="1"/>
    <x:row r="196" s="1211" customFormat="1"/>
    <x:row r="197" s="1211" customFormat="1"/>
    <x:row r="198" s="1211" customFormat="1"/>
    <x:row r="199" s="1211" customFormat="1"/>
    <x:row r="200" s="1211" customFormat="1"/>
    <x:row r="201" s="1211" customFormat="1"/>
    <x:row r="202" s="1211" customFormat="1"/>
    <x:row r="203" s="1211" customFormat="1"/>
    <x:row r="204" s="1211" customFormat="1"/>
    <x:row r="205" s="1211" customFormat="1"/>
    <x:row r="206" s="1211" customFormat="1"/>
    <x:row r="207" s="1211" customFormat="1"/>
    <x:row r="208" s="1211" customFormat="1"/>
    <x:row r="209" s="1211" customFormat="1"/>
    <x:row r="210" s="1211" customFormat="1"/>
    <x:row r="211" s="1211" customFormat="1"/>
    <x:row r="212" s="1211" customFormat="1"/>
    <x:row r="213" s="1211" customFormat="1"/>
    <x:row r="214" s="1211" customFormat="1"/>
    <x:row r="215" s="1211" customFormat="1"/>
    <x:row r="216" s="1211" customFormat="1"/>
    <x:row r="217" s="1211" customFormat="1"/>
    <x:row r="218" s="1211" customFormat="1"/>
    <x:row r="219" s="1211" customFormat="1"/>
    <x:row r="220" s="1211" customFormat="1"/>
    <x:row r="221" s="1211" customFormat="1"/>
    <x:row r="222" s="1211" customFormat="1"/>
    <x:row r="223" s="1211" customFormat="1"/>
    <x:row r="224" s="1211" customFormat="1"/>
    <x:row r="225" s="1211" customFormat="1"/>
    <x:row r="226" s="1211" customFormat="1"/>
    <x:row r="227" s="1211" customFormat="1"/>
    <x:row r="228" s="1211" customFormat="1"/>
    <x:row r="229" s="1211" customFormat="1"/>
    <x:row r="230" s="1211" customFormat="1"/>
    <x:row r="231" s="1211" customFormat="1"/>
    <x:row r="232" s="1211" customFormat="1"/>
    <x:row r="233" s="1211" customFormat="1"/>
    <x:row r="234" s="1211" customFormat="1"/>
    <x:row r="235" s="1211" customFormat="1"/>
    <x:row r="236" s="1211" customFormat="1"/>
    <x:row r="237" s="1211" customFormat="1"/>
    <x:row r="238" s="1211" customFormat="1"/>
    <x:row r="239" s="1211" customFormat="1"/>
    <x:row r="240" s="1211" customFormat="1"/>
    <x:row r="241" s="1211" customFormat="1"/>
    <x:row r="242" s="1211" customFormat="1"/>
    <x:row r="243" s="1211" customFormat="1"/>
    <x:row r="244" s="1211" customFormat="1"/>
    <x:row r="245" s="1211" customFormat="1"/>
    <x:row r="246" s="1211" customFormat="1"/>
    <x:row r="247" s="1211" customFormat="1"/>
    <x:row r="248" s="1211" customFormat="1"/>
    <x:row r="249" s="1211" customFormat="1"/>
    <x:row r="250" s="1211" customFormat="1"/>
    <x:row r="251" s="1211" customFormat="1"/>
    <x:row r="252" s="1211" customFormat="1"/>
    <x:row r="253" s="1211" customFormat="1"/>
    <x:row r="254" s="1211" customFormat="1"/>
    <x:row r="255" s="1211" customFormat="1"/>
    <x:row r="256" s="1211" customFormat="1"/>
    <x:row r="257" s="1211" customFormat="1"/>
    <x:row r="258" s="1211" customFormat="1"/>
    <x:row r="259" s="1211" customFormat="1"/>
    <x:row r="260" s="1211" customFormat="1"/>
    <x:row r="261" s="1211" customFormat="1"/>
    <x:row r="262" s="1211" customFormat="1"/>
    <x:row r="263" s="1211" customFormat="1"/>
    <x:row r="264" s="1211" customFormat="1"/>
    <x:row r="265" s="1211" customFormat="1"/>
    <x:row r="266" s="1211" customFormat="1"/>
    <x:row r="267" s="1211" customFormat="1"/>
    <x:row r="268" s="1211" customFormat="1"/>
    <x:row r="269" s="1211" customFormat="1"/>
    <x:row r="270" s="1211" customFormat="1"/>
    <x:row r="271" s="1211" customFormat="1"/>
    <x:row r="272" s="1211" customFormat="1"/>
    <x:row r="273" s="1211" customFormat="1"/>
    <x:row r="274" s="1211" customFormat="1"/>
    <x:row r="275" s="1211" customFormat="1"/>
    <x:row r="276" s="1211" customFormat="1"/>
    <x:row r="277" s="1211" customFormat="1"/>
    <x:row r="278" s="1211" customFormat="1"/>
    <x:row r="279" s="1211" customFormat="1"/>
    <x:row r="280" s="1211" customFormat="1"/>
    <x:row r="281" s="1211" customFormat="1"/>
    <x:row r="282" s="1211" customFormat="1"/>
    <x:row r="283" s="1211" customFormat="1"/>
    <x:row r="284" s="1211" customFormat="1"/>
    <x:row r="285" s="1211" customFormat="1"/>
    <x:row r="286" s="1211" customFormat="1"/>
    <x:row r="287" s="1211" customFormat="1"/>
    <x:row r="288" s="1211" customFormat="1"/>
    <x:row r="289" s="1211" customFormat="1"/>
    <x:row r="290" s="1211" customFormat="1"/>
    <x:row r="291" s="1211" customFormat="1"/>
    <x:row r="292" s="1211" customFormat="1"/>
    <x:row r="293" s="1211" customFormat="1"/>
    <x:row r="294" s="1211" customFormat="1"/>
    <x:row r="295" s="1211" customFormat="1"/>
    <x:row r="296" s="1211" customFormat="1"/>
    <x:row r="297" s="1211" customFormat="1"/>
    <x:row r="298" s="1211" customFormat="1"/>
    <x:row r="299" s="1211" customFormat="1"/>
    <x:row r="300" s="1211" customFormat="1"/>
    <x:row r="301" s="1211" customFormat="1"/>
    <x:row r="302" s="1211" customFormat="1"/>
    <x:row r="303" s="1211" customFormat="1"/>
    <x:row r="304" s="1211" customFormat="1"/>
    <x:row r="305" s="1211" customFormat="1"/>
    <x:row r="306" s="1211" customFormat="1"/>
    <x:row r="307" s="1211" customFormat="1"/>
    <x:row r="308" s="1211" customFormat="1"/>
    <x:row r="309" s="1211" customFormat="1"/>
    <x:row r="310" s="1211" customFormat="1"/>
    <x:row r="311" s="1211" customFormat="1"/>
    <x:row r="312" s="1211" customFormat="1"/>
    <x:row r="313" s="1211" customFormat="1"/>
    <x:row r="314" s="1211" customFormat="1"/>
    <x:row r="315" s="1211" customFormat="1"/>
    <x:row r="316" s="1211" customFormat="1"/>
    <x:row r="317" s="1211" customFormat="1"/>
    <x:row r="318" s="1211" customFormat="1"/>
    <x:row r="319" s="1211" customFormat="1"/>
    <x:row r="320" s="1211" customFormat="1"/>
    <x:row r="321" s="1211" customFormat="1"/>
    <x:row r="322" s="1211" customFormat="1"/>
    <x:row r="323" s="1211" customFormat="1"/>
    <x:row r="324" s="1211" customFormat="1"/>
    <x:row r="325" s="1211" customFormat="1"/>
    <x:row r="326" s="1211" customFormat="1"/>
    <x:row r="327" s="1211" customFormat="1"/>
    <x:row r="328" s="1211" customFormat="1"/>
    <x:row r="329" s="1211" customFormat="1"/>
    <x:row r="330" s="1211" customFormat="1"/>
    <x:row r="331" s="1211" customFormat="1"/>
    <x:row r="332" s="1211" customFormat="1"/>
    <x:row r="333" s="1211" customFormat="1"/>
    <x:row r="334" s="1211" customFormat="1"/>
    <x:row r="335" s="1211" customFormat="1"/>
    <x:row r="336" s="1211" customFormat="1"/>
    <x:row r="337" s="1211" customFormat="1"/>
    <x:row r="338" s="1211" customFormat="1"/>
    <x:row r="339" s="1211" customFormat="1"/>
    <x:row r="340" s="1211" customFormat="1"/>
    <x:row r="341" s="1211" customFormat="1"/>
    <x:row r="342" s="1211" customFormat="1"/>
    <x:row r="343" s="1211" customFormat="1"/>
    <x:row r="344" s="1211" customFormat="1"/>
    <x:row r="345" s="1211" customFormat="1"/>
    <x:row r="346" s="1211" customFormat="1"/>
    <x:row r="347" s="1211" customFormat="1"/>
    <x:row r="348" s="1211" customFormat="1"/>
    <x:row r="349" s="1211" customFormat="1"/>
    <x:row r="350" s="1211" customFormat="1"/>
    <x:row r="351" s="1211" customFormat="1"/>
    <x:row r="352" s="1211" customFormat="1"/>
    <x:row r="353" s="1211" customFormat="1"/>
    <x:row r="354" s="1211" customFormat="1"/>
    <x:row r="355" s="1211" customFormat="1"/>
    <x:row r="356" s="1211" customFormat="1"/>
    <x:row r="357" s="1211" customFormat="1"/>
    <x:row r="358" s="1211" customFormat="1"/>
    <x:row r="359" s="1211" customFormat="1"/>
    <x:row r="360" s="1211" customFormat="1"/>
    <x:row r="361" s="1211" customFormat="1"/>
    <x:row r="362" s="1211" customFormat="1"/>
    <x:row r="363" s="1211" customFormat="1"/>
    <x:row r="364" s="1211" customFormat="1"/>
    <x:row r="365" s="1211" customFormat="1"/>
    <x:row r="366" s="1211" customFormat="1"/>
    <x:row r="367" s="1211" customFormat="1"/>
    <x:row r="368" s="1211" customFormat="1"/>
    <x:row r="369" s="1211" customFormat="1"/>
    <x:row r="370" s="1211" customFormat="1"/>
    <x:row r="371" s="1211" customFormat="1"/>
    <x:row r="372" s="1211" customFormat="1"/>
    <x:row r="373" s="1211" customFormat="1"/>
    <x:row r="374" s="1211" customFormat="1"/>
    <x:row r="375" s="1211" customFormat="1"/>
    <x:row r="376" s="1211" customFormat="1"/>
    <x:row r="377" s="1211" customFormat="1"/>
    <x:row r="378" s="1211" customFormat="1"/>
    <x:row r="379" s="1211" customFormat="1"/>
    <x:row r="380" s="1211" customFormat="1"/>
    <x:row r="381" s="1211" customFormat="1"/>
    <x:row r="382" s="1211" customFormat="1"/>
    <x:row r="383" s="1211" customFormat="1"/>
    <x:row r="384" s="1211" customFormat="1"/>
    <x:row r="385" s="1211" customFormat="1"/>
    <x:row r="386" s="1211" customFormat="1"/>
    <x:row r="387" s="1211" customFormat="1"/>
    <x:row r="388" s="1211" customFormat="1"/>
    <x:row r="389" s="1211" customFormat="1"/>
    <x:row r="390" s="1211" customFormat="1"/>
    <x:row r="391" s="1211" customFormat="1"/>
    <x:row r="392" s="1211" customFormat="1"/>
    <x:row r="393" s="1211" customFormat="1"/>
    <x:row r="394" s="1211" customFormat="1"/>
    <x:row r="395" s="1211" customFormat="1"/>
    <x:row r="396" s="1211" customFormat="1"/>
    <x:row r="397" s="1211" customFormat="1"/>
    <x:row r="398" s="1211" customFormat="1"/>
    <x:row r="399" s="1211" customFormat="1"/>
    <x:row r="400" s="1211" customFormat="1"/>
    <x:row r="401" s="1211" customFormat="1"/>
    <x:row r="402" s="1211" customFormat="1"/>
    <x:row r="403" s="1211" customFormat="1"/>
    <x:row r="404" s="1211" customFormat="1"/>
    <x:row r="405" s="1211" customFormat="1"/>
    <x:row r="406" s="1211" customFormat="1"/>
    <x:row r="407" s="1211" customFormat="1"/>
    <x:row r="408" s="1211" customFormat="1"/>
    <x:row r="409" s="1211" customFormat="1"/>
    <x:row r="410" s="1211" customFormat="1"/>
    <x:row r="411" s="1211" customFormat="1"/>
    <x:row r="412" s="1211" customFormat="1"/>
    <x:row r="413" s="1211" customFormat="1"/>
    <x:row r="414" s="1211" customFormat="1"/>
    <x:row r="415" s="1211" customFormat="1"/>
    <x:row r="416" s="1211" customFormat="1"/>
    <x:row r="417" s="1211" customFormat="1"/>
    <x:row r="418" s="1211" customFormat="1"/>
    <x:row r="419" s="1211" customFormat="1"/>
    <x:row r="420" s="1211" customFormat="1"/>
    <x:row r="421" s="1211" customFormat="1"/>
    <x:row r="422" s="1211" customFormat="1"/>
    <x:row r="423" s="1211" customFormat="1"/>
    <x:row r="424" s="1211" customFormat="1"/>
    <x:row r="425" s="1211" customFormat="1"/>
    <x:row r="426" s="1211" customFormat="1"/>
    <x:row r="427" s="1211" customFormat="1"/>
    <x:row r="428" s="1211" customFormat="1"/>
    <x:row r="429" s="1211" customFormat="1"/>
    <x:row r="430" s="1211" customFormat="1"/>
    <x:row r="431" s="1211" customFormat="1"/>
    <x:row r="432" s="1211" customFormat="1"/>
    <x:row r="433" s="1211" customFormat="1"/>
    <x:row r="434" s="1211" customFormat="1"/>
    <x:row r="435" s="1211" customFormat="1"/>
    <x:row r="436" s="1211" customFormat="1"/>
    <x:row r="437" s="1211" customFormat="1"/>
    <x:row r="438" s="1211" customFormat="1"/>
    <x:row r="439" s="1211" customFormat="1"/>
    <x:row r="440" s="1211" customFormat="1"/>
    <x:row r="441" s="1211" customFormat="1"/>
    <x:row r="442" s="1211" customFormat="1"/>
    <x:row r="443" s="1211" customFormat="1"/>
    <x:row r="444" s="1211" customFormat="1"/>
    <x:row r="445" s="1211" customFormat="1"/>
    <x:row r="446" s="1211" customFormat="1"/>
    <x:row r="447" s="1211" customFormat="1"/>
    <x:row r="448" s="1211" customFormat="1"/>
    <x:row r="449" s="1211" customFormat="1"/>
    <x:row r="450" s="1211" customFormat="1"/>
    <x:row r="451" s="1211" customFormat="1"/>
    <x:row r="452" s="1211" customFormat="1"/>
    <x:row r="453" s="1211" customFormat="1"/>
    <x:row r="454" s="1211" customFormat="1"/>
    <x:row r="455" s="1211" customFormat="1"/>
    <x:row r="456" s="1211" customFormat="1"/>
    <x:row r="457" s="1211" customFormat="1"/>
    <x:row r="458" s="1211" customFormat="1"/>
    <x:row r="459" s="1211" customFormat="1"/>
    <x:row r="460" s="1211" customFormat="1"/>
    <x:row r="461" s="1211" customFormat="1"/>
    <x:row r="462" s="1211" customFormat="1"/>
    <x:row r="463" s="1211" customFormat="1"/>
    <x:row r="464" s="1211" customFormat="1"/>
    <x:row r="465" s="1211" customFormat="1"/>
    <x:row r="466" s="1211" customFormat="1"/>
    <x:row r="467" s="1211" customFormat="1"/>
    <x:row r="468" s="1211" customFormat="1"/>
    <x:row r="469" s="1211" customFormat="1"/>
    <x:row r="470" s="1211" customFormat="1"/>
    <x:row r="471" s="1211" customFormat="1"/>
    <x:row r="472" s="1211" customFormat="1"/>
    <x:row r="473" s="1211" customFormat="1"/>
    <x:row r="474" s="1211" customFormat="1"/>
    <x:row r="475" s="1211" customFormat="1"/>
    <x:row r="476" s="1211" customFormat="1"/>
    <x:row r="477" s="1211" customFormat="1"/>
    <x:row r="478" s="1211" customFormat="1"/>
    <x:row r="479" s="1211" customFormat="1"/>
    <x:row r="480" s="1211" customFormat="1"/>
    <x:row r="481" s="1211" customFormat="1"/>
    <x:row r="482" s="1211" customFormat="1"/>
    <x:row r="483" s="1211" customFormat="1"/>
    <x:row r="484" s="1211" customFormat="1"/>
    <x:row r="485" s="1211" customFormat="1"/>
    <x:row r="486" s="1211" customFormat="1"/>
    <x:row r="487" s="1211" customFormat="1"/>
    <x:row r="488" s="1211" customFormat="1"/>
    <x:row r="489" s="1211" customFormat="1"/>
    <x:row r="490" s="1211" customFormat="1"/>
    <x:row r="491" s="1211" customFormat="1"/>
    <x:row r="492" s="1211" customFormat="1"/>
    <x:row r="493" s="1211" customFormat="1"/>
    <x:row r="494" s="1211" customFormat="1"/>
    <x:row r="495" s="1211" customFormat="1"/>
    <x:row r="496" s="1211" customFormat="1"/>
    <x:row r="497" s="1211" customFormat="1"/>
    <x:row r="498" s="1211" customFormat="1"/>
    <x:row r="499" s="1211" customFormat="1"/>
    <x:row r="500" s="1211" customFormat="1"/>
    <x:row r="501" s="1211" customFormat="1"/>
    <x:row r="502" s="1211" customFormat="1"/>
    <x:row r="503" s="1211" customFormat="1"/>
    <x:row r="504" s="1211" customFormat="1"/>
    <x:row r="505" s="1211" customFormat="1"/>
    <x:row r="506" s="1211" customFormat="1"/>
    <x:row r="507" s="1211" customFormat="1"/>
    <x:row r="508" s="1211" customFormat="1"/>
    <x:row r="509" s="1211" customFormat="1"/>
    <x:row r="510" s="1211" customFormat="1"/>
    <x:row r="511" s="1211" customFormat="1"/>
    <x:row r="512" s="1211" customFormat="1"/>
    <x:row r="513" s="1211" customFormat="1"/>
    <x:row r="514" s="1211" customFormat="1"/>
    <x:row r="515" s="1211" customFormat="1"/>
    <x:row r="516" s="1211" customFormat="1"/>
    <x:row r="517" s="1211" customFormat="1"/>
    <x:row r="518" s="1211" customFormat="1"/>
    <x:row r="519" s="1211" customFormat="1"/>
    <x:row r="520" s="1211" customFormat="1"/>
    <x:row r="521" s="1211" customFormat="1"/>
    <x:row r="522" s="1211" customFormat="1"/>
    <x:row r="523" s="1211" customFormat="1"/>
    <x:row r="524" s="1211" customFormat="1"/>
    <x:row r="525" s="1211" customFormat="1"/>
    <x:row r="526" s="1211" customFormat="1"/>
    <x:row r="527" s="1211" customFormat="1"/>
    <x:row r="528" s="1211" customFormat="1"/>
    <x:row r="529" s="1211" customFormat="1"/>
    <x:row r="530" s="1211" customFormat="1"/>
    <x:row r="531" s="1211" customFormat="1"/>
    <x:row r="532" s="1211" customFormat="1"/>
    <x:row r="533" s="1211" customFormat="1"/>
    <x:row r="534" s="1211" customFormat="1"/>
    <x:row r="535" s="1211" customFormat="1"/>
    <x:row r="536" s="1211" customFormat="1"/>
    <x:row r="537" s="1211" customFormat="1"/>
    <x:row r="538" s="1211" customFormat="1"/>
    <x:row r="539" s="1211" customFormat="1"/>
    <x:row r="540" s="1211" customFormat="1"/>
    <x:row r="541" s="1211" customFormat="1"/>
    <x:row r="542" s="1211" customFormat="1"/>
    <x:row r="543" s="1211" customFormat="1"/>
    <x:row r="544" s="1211" customFormat="1"/>
    <x:row r="545" s="1211" customFormat="1"/>
    <x:row r="546" s="1211" customFormat="1"/>
    <x:row r="547" s="1211" customFormat="1"/>
    <x:row r="548" s="1211" customFormat="1"/>
    <x:row r="549" s="1211" customFormat="1"/>
    <x:row r="550" s="1211" customFormat="1"/>
    <x:row r="551" s="1211" customFormat="1"/>
    <x:row r="552" s="1211" customFormat="1"/>
    <x:row r="553" s="1211" customFormat="1"/>
    <x:row r="554" s="1211" customFormat="1"/>
    <x:row r="555" s="1211" customFormat="1"/>
    <x:row r="556" s="1211" customFormat="1"/>
    <x:row r="557" s="1211" customFormat="1"/>
    <x:row r="558" s="1211" customFormat="1"/>
    <x:row r="559" s="1211" customFormat="1"/>
    <x:row r="560" s="1211" customFormat="1"/>
    <x:row r="561" s="1211" customFormat="1"/>
    <x:row r="562" s="1211" customFormat="1"/>
    <x:row r="563" s="1211" customFormat="1"/>
    <x:row r="564" s="1211" customFormat="1"/>
    <x:row r="565" s="1211" customFormat="1"/>
    <x:row r="566" s="1211" customFormat="1"/>
    <x:row r="567" s="1211" customFormat="1"/>
    <x:row r="568" s="1211" customFormat="1"/>
    <x:row r="569" s="1211" customFormat="1"/>
    <x:row r="570" s="1211" customFormat="1"/>
    <x:row r="571" s="1211" customFormat="1"/>
    <x:row r="572" s="1211" customFormat="1"/>
    <x:row r="573" s="1211" customFormat="1"/>
    <x:row r="574" s="1211" customFormat="1"/>
    <x:row r="575" s="1211" customFormat="1"/>
    <x:row r="576" s="1211" customFormat="1"/>
    <x:row r="577" s="1211" customFormat="1"/>
    <x:row r="578" s="1211" customFormat="1"/>
    <x:row r="579" s="1211" customFormat="1"/>
    <x:row r="580" s="1211" customFormat="1"/>
    <x:row r="581" s="1211" customFormat="1"/>
    <x:row r="582" s="1211" customFormat="1"/>
    <x:row r="583" s="1211" customFormat="1"/>
    <x:row r="584" s="1211" customFormat="1"/>
    <x:row r="585" s="1211" customFormat="1"/>
    <x:row r="586" s="1211" customFormat="1"/>
    <x:row r="587" s="1211" customFormat="1"/>
    <x:row r="588" s="1211" customFormat="1"/>
    <x:row r="589" s="1211" customFormat="1"/>
    <x:row r="590" s="1211" customFormat="1"/>
    <x:row r="591" s="1211" customFormat="1"/>
    <x:row r="592" s="1211" customFormat="1"/>
    <x:row r="593" s="1211" customFormat="1"/>
    <x:row r="594" s="1211" customFormat="1"/>
    <x:row r="595" s="1211" customFormat="1"/>
    <x:row r="596" s="1211" customFormat="1"/>
    <x:row r="597" s="1211" customFormat="1"/>
    <x:row r="598" s="1211" customFormat="1"/>
    <x:row r="599" s="1211" customFormat="1"/>
    <x:row r="600" s="1211" customFormat="1"/>
    <x:row r="601" s="1211" customFormat="1"/>
    <x:row r="602" s="1211" customFormat="1"/>
    <x:row r="603" s="1211" customFormat="1"/>
    <x:row r="604" s="1211" customFormat="1"/>
    <x:row r="605" s="1211" customFormat="1"/>
    <x:row r="606" s="1211" customFormat="1"/>
    <x:row r="607" s="1211" customFormat="1"/>
    <x:row r="608" s="1211" customFormat="1"/>
    <x:row r="609" s="1211" customFormat="1"/>
    <x:row r="610" s="1211" customFormat="1"/>
    <x:row r="611" s="1211" customFormat="1"/>
    <x:row r="612" s="1211" customFormat="1"/>
    <x:row r="613" s="1211" customFormat="1"/>
    <x:row r="614" s="1211" customFormat="1"/>
    <x:row r="615" s="1211" customFormat="1"/>
    <x:row r="616" s="1211" customFormat="1"/>
    <x:row r="617" s="1211" customFormat="1"/>
    <x:row r="618" s="1211" customFormat="1"/>
    <x:row r="619" s="1211" customFormat="1"/>
    <x:row r="620" s="1211" customFormat="1"/>
    <x:row r="621" s="1211" customFormat="1"/>
    <x:row r="622" s="1211" customFormat="1"/>
    <x:row r="623" s="1211" customFormat="1"/>
    <x:row r="624" s="1211" customFormat="1"/>
    <x:row r="625" s="1211" customFormat="1"/>
    <x:row r="626" s="1211" customFormat="1"/>
    <x:row r="627" s="1211" customFormat="1"/>
    <x:row r="628" s="1211" customFormat="1"/>
    <x:row r="629" s="1211" customFormat="1"/>
    <x:row r="630" s="1211" customFormat="1"/>
    <x:row r="631" s="1211" customFormat="1"/>
    <x:row r="632" s="1211" customFormat="1"/>
    <x:row r="633" s="1211" customFormat="1"/>
    <x:row r="634" s="1211" customFormat="1"/>
    <x:row r="635" s="1211" customFormat="1"/>
    <x:row r="636" s="1211" customFormat="1"/>
    <x:row r="637" s="1211" customFormat="1"/>
    <x:row r="638" s="1211" customFormat="1"/>
    <x:row r="639" s="1211" customFormat="1"/>
    <x:row r="640" s="1211" customFormat="1"/>
    <x:row r="641" s="1211" customFormat="1"/>
    <x:row r="642" s="1211" customFormat="1"/>
    <x:row r="643" s="1211" customFormat="1"/>
    <x:row r="644" s="1211" customFormat="1"/>
    <x:row r="645" s="1211" customFormat="1"/>
    <x:row r="646" s="1211" customFormat="1"/>
    <x:row r="647" s="1211" customFormat="1"/>
    <x:row r="648" s="1211" customFormat="1"/>
    <x:row r="649" s="1211" customFormat="1"/>
    <x:row r="650" s="1211" customFormat="1"/>
    <x:row r="651" s="1211" customFormat="1"/>
    <x:row r="652" s="1211" customFormat="1"/>
    <x:row r="653" s="1211" customFormat="1"/>
    <x:row r="654" s="1211" customFormat="1"/>
    <x:row r="655" s="1211" customFormat="1"/>
    <x:row r="656" s="1211" customFormat="1"/>
    <x:row r="657" s="1211" customFormat="1"/>
    <x:row r="658" s="1211" customFormat="1"/>
    <x:row r="659" s="1211" customFormat="1"/>
    <x:row r="660" s="1211" customFormat="1"/>
    <x:row r="661" s="1211" customFormat="1"/>
    <x:row r="662" s="1211" customFormat="1"/>
    <x:row r="663" s="1211" customFormat="1"/>
    <x:row r="664" s="1211" customFormat="1"/>
    <x:row r="665" s="1211" customFormat="1"/>
    <x:row r="666" s="1211" customFormat="1"/>
    <x:row r="667" s="1211" customFormat="1"/>
    <x:row r="668" s="1211" customFormat="1"/>
    <x:row r="669" s="1211" customFormat="1"/>
    <x:row r="670" s="1211" customFormat="1"/>
    <x:row r="671" s="1211" customFormat="1"/>
    <x:row r="672" s="1211" customFormat="1"/>
    <x:row r="673" s="1211" customFormat="1"/>
    <x:row r="674" s="1211" customFormat="1"/>
    <x:row r="675" s="1211" customFormat="1"/>
    <x:row r="676" s="1211" customFormat="1"/>
    <x:row r="677" s="1211" customFormat="1"/>
    <x:row r="678" s="1211" customFormat="1"/>
    <x:row r="679" s="1211" customFormat="1"/>
    <x:row r="680" s="1211" customFormat="1"/>
    <x:row r="681" s="1211" customFormat="1"/>
    <x:row r="682" s="1211" customFormat="1"/>
    <x:row r="683" s="1211" customFormat="1"/>
    <x:row r="684" s="1211" customFormat="1"/>
    <x:row r="685" s="1211" customFormat="1"/>
    <x:row r="686" s="1211" customFormat="1"/>
    <x:row r="687" s="1211" customFormat="1"/>
    <x:row r="688" s="1211" customFormat="1"/>
    <x:row r="689" s="1211" customFormat="1"/>
    <x:row r="690" s="1211" customFormat="1"/>
    <x:row r="691" s="1211" customFormat="1"/>
    <x:row r="692" s="1211" customFormat="1"/>
    <x:row r="693" s="1211" customFormat="1"/>
    <x:row r="694" s="1211" customFormat="1"/>
    <x:row r="695" s="1211" customFormat="1"/>
    <x:row r="696" s="1211" customFormat="1"/>
    <x:row r="697" s="1211" customFormat="1"/>
    <x:row r="698" s="1211" customFormat="1"/>
    <x:row r="699" s="1211" customFormat="1"/>
    <x:row r="700" s="1211" customFormat="1"/>
    <x:row r="701" s="1211" customFormat="1"/>
    <x:row r="702" s="1211" customFormat="1"/>
    <x:row r="703" s="1211" customFormat="1"/>
    <x:row r="704" s="1211" customFormat="1"/>
    <x:row r="705" s="1211" customFormat="1"/>
    <x:row r="706" s="1211" customFormat="1"/>
    <x:row r="707" s="1211" customFormat="1"/>
    <x:row r="708" s="1211" customFormat="1"/>
    <x:row r="709" s="1211" customFormat="1"/>
    <x:row r="710" s="1211" customFormat="1"/>
    <x:row r="711" s="1211" customFormat="1"/>
    <x:row r="712" s="1211" customFormat="1"/>
    <x:row r="713" s="1211" customFormat="1"/>
    <x:row r="714" s="1211" customFormat="1"/>
    <x:row r="715" s="1211" customFormat="1"/>
    <x:row r="716" s="1211" customFormat="1"/>
    <x:row r="717" s="1211" customFormat="1"/>
    <x:row r="718" s="1211" customFormat="1"/>
    <x:row r="719" s="1211" customFormat="1"/>
    <x:row r="720" s="1211" customFormat="1"/>
    <x:row r="721" s="1211" customFormat="1"/>
    <x:row r="722" s="1211" customFormat="1"/>
    <x:row r="723" s="1211" customFormat="1"/>
    <x:row r="724" s="1211" customFormat="1"/>
    <x:row r="725" s="1211" customFormat="1"/>
    <x:row r="726" s="1211" customFormat="1"/>
    <x:row r="727" s="1211" customFormat="1"/>
    <x:row r="728" s="1211" customFormat="1"/>
    <x:row r="729" s="1211" customFormat="1"/>
    <x:row r="730" s="1211" customFormat="1"/>
    <x:row r="731" s="1211" customFormat="1"/>
    <x:row r="732" s="1211" customFormat="1"/>
    <x:row r="733" s="1211" customFormat="1"/>
    <x:row r="734" s="1211" customFormat="1"/>
    <x:row r="735" s="1211" customFormat="1"/>
    <x:row r="736" s="1211" customFormat="1"/>
    <x:row r="737" s="1211" customFormat="1"/>
    <x:row r="738" s="1211" customFormat="1"/>
    <x:row r="739" s="1211" customFormat="1"/>
    <x:row r="740" s="1211" customFormat="1"/>
    <x:row r="741" s="1211" customFormat="1"/>
    <x:row r="742" s="1211" customFormat="1"/>
    <x:row r="743" s="1211" customFormat="1"/>
    <x:row r="744" s="1211" customFormat="1"/>
    <x:row r="745" s="1211" customFormat="1"/>
    <x:row r="746" s="1211" customFormat="1"/>
    <x:row r="747" s="1211" customFormat="1"/>
    <x:row r="748" s="1211" customFormat="1"/>
    <x:row r="749" s="1211" customFormat="1"/>
    <x:row r="750" s="1211" customFormat="1"/>
    <x:row r="751" s="1211" customFormat="1"/>
    <x:row r="752" s="1211" customFormat="1"/>
    <x:row r="753" s="1211" customFormat="1"/>
    <x:row r="754" s="1211" customFormat="1"/>
    <x:row r="755" s="1211" customFormat="1"/>
    <x:row r="756" s="1211" customFormat="1"/>
    <x:row r="757" s="1211" customFormat="1"/>
    <x:row r="758" s="1211" customFormat="1"/>
    <x:row r="759" s="1211" customFormat="1"/>
    <x:row r="760" s="1211" customFormat="1"/>
    <x:row r="761" s="1211" customFormat="1"/>
    <x:row r="762" s="1211" customFormat="1"/>
    <x:row r="763" s="1211" customFormat="1"/>
    <x:row r="764" s="1211" customFormat="1"/>
    <x:row r="765" s="1211" customFormat="1"/>
    <x:row r="766" s="1211" customFormat="1"/>
    <x:row r="767" s="1211" customFormat="1"/>
    <x:row r="768" s="1211" customFormat="1"/>
    <x:row r="769" s="1211" customFormat="1"/>
    <x:row r="770" s="1211" customFormat="1"/>
    <x:row r="771" s="1211" customFormat="1"/>
    <x:row r="772" s="1211" customFormat="1"/>
    <x:row r="773" s="1211" customFormat="1"/>
    <x:row r="774" s="1211" customFormat="1"/>
    <x:row r="775" s="1211" customFormat="1"/>
    <x:row r="776" s="1211" customFormat="1"/>
    <x:row r="777" s="1211" customFormat="1"/>
    <x:row r="778" s="1211" customFormat="1"/>
    <x:row r="779" s="1211" customFormat="1"/>
    <x:row r="780" s="1211" customFormat="1"/>
    <x:row r="781" s="1211" customFormat="1"/>
    <x:row r="782" s="1211" customFormat="1"/>
    <x:row r="783" s="1211" customFormat="1"/>
    <x:row r="784" s="1211" customFormat="1"/>
    <x:row r="785" s="1211" customFormat="1"/>
    <x:row r="786" s="1211" customFormat="1"/>
    <x:row r="787" s="1211" customFormat="1"/>
    <x:row r="788" s="1211" customFormat="1"/>
    <x:row r="789" s="1211" customFormat="1"/>
    <x:row r="790" s="1211" customFormat="1"/>
    <x:row r="791" s="1211" customFormat="1"/>
    <x:row r="792" s="1211" customFormat="1"/>
    <x:row r="793" s="1211" customFormat="1"/>
    <x:row r="794" s="1211" customFormat="1"/>
    <x:row r="795" s="1211" customFormat="1"/>
    <x:row r="796" s="1211" customFormat="1"/>
    <x:row r="797" s="1211" customFormat="1"/>
    <x:row r="798" s="1211" customFormat="1"/>
    <x:row r="799" s="1211" customFormat="1"/>
    <x:row r="800" s="1211" customFormat="1"/>
    <x:row r="801" s="1211" customFormat="1"/>
    <x:row r="802" s="1211" customFormat="1"/>
    <x:row r="803" s="1211" customFormat="1"/>
    <x:row r="804" s="1211" customFormat="1"/>
    <x:row r="805" s="1211" customFormat="1"/>
    <x:row r="806" s="1211" customFormat="1"/>
    <x:row r="807" s="1211" customFormat="1"/>
    <x:row r="808" s="1211" customFormat="1"/>
    <x:row r="809" s="1211" customFormat="1"/>
    <x:row r="810" s="1211" customFormat="1"/>
    <x:row r="811" s="1211" customFormat="1"/>
    <x:row r="812" s="1211" customFormat="1"/>
    <x:row r="813" s="1211" customFormat="1"/>
    <x:row r="814" s="1211" customFormat="1"/>
    <x:row r="815" s="1211" customFormat="1"/>
    <x:row r="816" s="1211" customFormat="1"/>
    <x:row r="817" s="1211" customFormat="1"/>
    <x:row r="818" s="1211" customFormat="1"/>
    <x:row r="819" s="1211" customFormat="1"/>
    <x:row r="820" s="1211" customFormat="1"/>
    <x:row r="821" s="1211" customFormat="1"/>
    <x:row r="822" s="1211" customFormat="1"/>
    <x:row r="823" s="1211" customFormat="1"/>
    <x:row r="824" s="1211" customFormat="1"/>
    <x:row r="825" s="1211" customFormat="1"/>
    <x:row r="826" s="1211" customFormat="1"/>
    <x:row r="827" s="1211" customFormat="1"/>
    <x:row r="828" s="1211" customFormat="1"/>
    <x:row r="829" s="1211" customFormat="1"/>
    <x:row r="830" s="1211" customFormat="1"/>
    <x:row r="831" s="1211" customFormat="1"/>
    <x:row r="832" s="1211" customFormat="1"/>
    <x:row r="833" s="1211" customFormat="1"/>
    <x:row r="834" s="1211" customFormat="1"/>
    <x:row r="835" s="1211" customFormat="1"/>
    <x:row r="836" s="1211" customFormat="1"/>
    <x:row r="837" s="1211" customFormat="1"/>
    <x:row r="838" s="1211" customFormat="1"/>
    <x:row r="839" s="1211" customFormat="1"/>
    <x:row r="840" s="1211" customFormat="1"/>
    <x:row r="841" s="1211" customFormat="1"/>
    <x:row r="842" s="1211" customFormat="1"/>
    <x:row r="843" s="1211" customFormat="1"/>
    <x:row r="844" s="1211" customFormat="1"/>
    <x:row r="845" s="1211" customFormat="1"/>
    <x:row r="846" s="1211" customFormat="1"/>
    <x:row r="847" s="1211" customFormat="1"/>
    <x:row r="848" s="1211" customFormat="1"/>
    <x:row r="849" s="1211" customFormat="1"/>
    <x:row r="850" s="1211" customFormat="1"/>
    <x:row r="851" s="1211" customFormat="1"/>
    <x:row r="852" s="1211" customFormat="1"/>
    <x:row r="853" s="1211" customFormat="1"/>
    <x:row r="854" s="1211" customFormat="1"/>
    <x:row r="855" s="1211" customFormat="1"/>
    <x:row r="856" s="1211" customFormat="1"/>
    <x:row r="857" s="1211" customFormat="1"/>
    <x:row r="858" s="1211" customFormat="1"/>
    <x:row r="859" s="1211" customFormat="1"/>
    <x:row r="860" s="1211" customFormat="1"/>
    <x:row r="861" s="1211" customFormat="1"/>
    <x:row r="862" s="1211" customFormat="1"/>
    <x:row r="863" s="1211" customFormat="1"/>
    <x:row r="864" s="1211" customFormat="1"/>
    <x:row r="865" s="1211" customFormat="1"/>
    <x:row r="866" s="1211" customFormat="1"/>
    <x:row r="867" s="1211" customFormat="1"/>
    <x:row r="868" s="1211" customFormat="1"/>
    <x:row r="869" s="1211" customFormat="1"/>
    <x:row r="870" s="1211" customFormat="1"/>
    <x:row r="871" s="1211" customFormat="1"/>
    <x:row r="872" s="1211" customFormat="1"/>
    <x:row r="873" s="1211" customFormat="1"/>
    <x:row r="874" s="1211" customFormat="1"/>
    <x:row r="875" s="1211" customFormat="1"/>
    <x:row r="876" s="1211" customFormat="1"/>
    <x:row r="877" s="1211" customFormat="1"/>
    <x:row r="878" s="1211" customFormat="1"/>
    <x:row r="879" s="1211" customFormat="1"/>
    <x:row r="880" s="1211" customFormat="1"/>
    <x:row r="881" s="1211" customFormat="1"/>
    <x:row r="882" s="1211" customFormat="1"/>
    <x:row r="883" s="1211" customFormat="1"/>
    <x:row r="884" s="1211" customFormat="1"/>
    <x:row r="885" s="1211" customFormat="1"/>
    <x:row r="886" s="1211" customFormat="1"/>
    <x:row r="887" s="1211" customFormat="1"/>
    <x:row r="888" s="1211" customFormat="1"/>
    <x:row r="889" s="1211" customFormat="1"/>
    <x:row r="890" s="1211" customFormat="1"/>
    <x:row r="891" s="1211" customFormat="1"/>
    <x:row r="892" s="1211" customFormat="1"/>
    <x:row r="893" s="1211" customFormat="1"/>
    <x:row r="894" s="1211" customFormat="1"/>
    <x:row r="895" s="1211" customFormat="1"/>
    <x:row r="896" s="1211" customFormat="1"/>
    <x:row r="897" s="1211" customFormat="1"/>
    <x:row r="898" s="1211" customFormat="1"/>
    <x:row r="899" s="1211" customFormat="1"/>
    <x:row r="900" s="1211" customFormat="1"/>
    <x:row r="901" s="1211" customFormat="1"/>
    <x:row r="902" s="1211" customFormat="1"/>
    <x:row r="903" s="1211" customFormat="1"/>
    <x:row r="904" s="1211" customFormat="1"/>
    <x:row r="905" s="1211" customFormat="1"/>
    <x:row r="906" s="1211" customFormat="1"/>
    <x:row r="907" s="1211" customFormat="1"/>
    <x:row r="908" s="1211" customFormat="1"/>
    <x:row r="909" s="1211" customFormat="1"/>
    <x:row r="910" s="1211" customFormat="1"/>
    <x:row r="911" s="1211" customFormat="1"/>
    <x:row r="912" s="1211" customFormat="1"/>
    <x:row r="913" s="1211" customFormat="1"/>
    <x:row r="914" s="1211" customFormat="1"/>
    <x:row r="915" s="1211" customFormat="1"/>
    <x:row r="916" s="1211" customFormat="1"/>
    <x:row r="917" s="1211" customFormat="1"/>
    <x:row r="918" s="1211" customFormat="1"/>
    <x:row r="919" s="1211" customFormat="1"/>
    <x:row r="920" s="1211" customFormat="1"/>
    <x:row r="921" s="1211" customFormat="1"/>
    <x:row r="922" s="1211" customFormat="1"/>
    <x:row r="923" s="1211" customFormat="1"/>
    <x:row r="924" s="1211" customFormat="1"/>
    <x:row r="925" s="1211" customFormat="1"/>
    <x:row r="926" s="1211" customFormat="1"/>
    <x:row r="927" s="1211" customFormat="1"/>
    <x:row r="928" s="1211" customFormat="1"/>
    <x:row r="929" s="1211" customFormat="1"/>
    <x:row r="930" s="1211" customFormat="1"/>
    <x:row r="931" s="1211" customFormat="1"/>
    <x:row r="932" s="1211" customFormat="1"/>
    <x:row r="933" s="1211" customFormat="1"/>
    <x:row r="934" s="1211" customFormat="1"/>
    <x:row r="935" s="1211" customFormat="1"/>
    <x:row r="936" s="1211" customFormat="1"/>
    <x:row r="937" s="1211" customFormat="1"/>
    <x:row r="938" s="1211" customFormat="1"/>
    <x:row r="939" s="1211" customFormat="1"/>
    <x:row r="940" s="1211" customFormat="1"/>
    <x:row r="941" s="1211" customFormat="1"/>
    <x:row r="942" s="1211" customFormat="1"/>
    <x:row r="943" s="1211" customFormat="1"/>
    <x:row r="944" s="1211" customFormat="1"/>
    <x:row r="945" s="1211" customFormat="1"/>
    <x:row r="946" s="1211" customFormat="1"/>
    <x:row r="947" s="1211" customFormat="1"/>
    <x:row r="948" s="1211" customFormat="1"/>
    <x:row r="949" s="1211" customFormat="1"/>
    <x:row r="950" s="1211" customFormat="1"/>
    <x:row r="951" s="1211" customFormat="1"/>
    <x:row r="952" s="1211" customFormat="1"/>
    <x:row r="953" s="1211" customFormat="1"/>
    <x:row r="954" s="1211" customFormat="1"/>
    <x:row r="955" s="1211" customFormat="1"/>
    <x:row r="956" s="1211" customFormat="1"/>
    <x:row r="957" s="1211" customFormat="1"/>
    <x:row r="958" s="1211" customFormat="1"/>
    <x:row r="959" s="1211" customFormat="1"/>
    <x:row r="960" s="1211" customFormat="1"/>
    <x:row r="961" s="1211" customFormat="1"/>
    <x:row r="962" s="1211" customFormat="1"/>
    <x:row r="963" s="1211" customFormat="1"/>
    <x:row r="964" s="1211" customFormat="1"/>
    <x:row r="965" s="1211" customFormat="1"/>
    <x:row r="966" s="1211" customFormat="1"/>
    <x:row r="967" s="1211" customFormat="1"/>
    <x:row r="968" s="1211" customFormat="1"/>
    <x:row r="969" s="1211" customFormat="1"/>
    <x:row r="970" s="1211" customFormat="1"/>
    <x:row r="971" s="1211" customFormat="1"/>
    <x:row r="972" s="1211" customFormat="1"/>
    <x:row r="973" s="1211" customFormat="1"/>
    <x:row r="974" s="1211" customFormat="1"/>
    <x:row r="975" s="1211" customFormat="1"/>
    <x:row r="976" s="1211" customFormat="1"/>
    <x:row r="977" s="1211" customFormat="1"/>
    <x:row r="978" s="1211" customFormat="1"/>
    <x:row r="979" s="1211" customFormat="1"/>
    <x:row r="980" s="1211" customFormat="1"/>
    <x:row r="981" s="1211" customFormat="1"/>
    <x:row r="982" s="1211" customFormat="1"/>
    <x:row r="983" s="1211" customFormat="1"/>
    <x:row r="984" s="1211" customFormat="1"/>
    <x:row r="985" s="1211" customFormat="1"/>
    <x:row r="986" s="1211" customFormat="1"/>
    <x:row r="987" s="1211" customFormat="1"/>
    <x:row r="988" s="1211" customFormat="1"/>
    <x:row r="989" s="1211" customFormat="1"/>
    <x:row r="990" s="1211" customFormat="1"/>
    <x:row r="991" s="1211" customFormat="1"/>
    <x:row r="992" s="1211" customFormat="1"/>
    <x:row r="993" s="1211" customFormat="1"/>
    <x:row r="994" s="1211" customFormat="1"/>
    <x:row r="995" s="1211" customFormat="1"/>
    <x:row r="996" s="1211" customFormat="1"/>
    <x:row r="997" s="1211" customFormat="1"/>
    <x:row r="998" s="1211" customFormat="1"/>
    <x:row r="999" s="1211" customFormat="1"/>
    <x:row r="1000" s="1211" customFormat="1"/>
    <x:row r="1001" s="1211" customFormat="1"/>
    <x:row r="1002" s="1211" customFormat="1"/>
    <x:row r="1003" s="1211" customFormat="1"/>
    <x:row r="1004" s="1211" customFormat="1"/>
    <x:row r="1005" s="1211" customFormat="1"/>
    <x:row r="1006" s="1211" customFormat="1"/>
    <x:row r="1007" s="1211" customFormat="1"/>
    <x:row r="1008" s="1211" customFormat="1"/>
    <x:row r="1009" s="1211" customFormat="1"/>
    <x:row r="1010" s="1211" customFormat="1"/>
    <x:row r="1011" s="1211" customFormat="1"/>
    <x:row r="1012" s="1211" customFormat="1"/>
    <x:row r="1013" s="1211" customFormat="1"/>
    <x:row r="1014" s="1211" customFormat="1"/>
    <x:row r="1015" s="1211" customFormat="1"/>
    <x:row r="1016" s="1211" customFormat="1"/>
    <x:row r="1017" s="1211" customFormat="1"/>
    <x:row r="1018" s="1211" customFormat="1"/>
    <x:row r="1019" s="1211" customFormat="1"/>
    <x:row r="1020" s="1211" customFormat="1"/>
    <x:row r="1021" s="1211" customFormat="1"/>
    <x:row r="1022" s="1211" customFormat="1"/>
    <x:row r="1023" s="1211" customFormat="1"/>
    <x:row r="1024" s="1211" customFormat="1"/>
    <x:row r="1025" s="1211" customFormat="1"/>
    <x:row r="1026" s="1211" customFormat="1"/>
    <x:row r="1027" s="1211" customFormat="1"/>
    <x:row r="1028" s="1211" customFormat="1"/>
    <x:row r="1029" s="1211" customFormat="1"/>
    <x:row r="1030" s="1211" customFormat="1"/>
    <x:row r="1031" s="1211" customFormat="1"/>
    <x:row r="1032" s="1211" customFormat="1"/>
    <x:row r="1033" s="1211" customFormat="1"/>
    <x:row r="1034" s="1211" customFormat="1"/>
    <x:row r="1035" s="1211" customFormat="1"/>
    <x:row r="1036" s="1211" customFormat="1"/>
    <x:row r="1037" s="1211" customFormat="1"/>
    <x:row r="1038" s="1211" customFormat="1"/>
    <x:row r="1039" s="1211" customFormat="1"/>
    <x:row r="1040" s="1211" customFormat="1"/>
    <x:row r="1041" s="1211" customFormat="1"/>
    <x:row r="1042" s="1211" customFormat="1"/>
    <x:row r="1043" s="1211" customFormat="1"/>
    <x:row r="1044" s="1211" customFormat="1"/>
    <x:row r="1045" s="1211" customFormat="1"/>
    <x:row r="1046" s="1211" customFormat="1"/>
    <x:row r="1047" s="1211" customFormat="1"/>
    <x:row r="1048" s="1211" customFormat="1"/>
    <x:row r="1049" s="1211" customFormat="1"/>
    <x:row r="1050" s="1211" customFormat="1"/>
    <x:row r="1051" s="1211" customFormat="1"/>
    <x:row r="1052" s="1211" customFormat="1"/>
    <x:row r="1053" s="1211" customFormat="1"/>
    <x:row r="1054" s="1211" customFormat="1"/>
    <x:row r="1055" s="1211" customFormat="1"/>
    <x:row r="1056" s="1211" customFormat="1"/>
    <x:row r="1057" s="1211" customFormat="1"/>
    <x:row r="1058" s="1211" customFormat="1"/>
    <x:row r="1059" s="1211" customFormat="1"/>
    <x:row r="1060" s="1211" customFormat="1"/>
    <x:row r="1061" s="1211" customFormat="1"/>
    <x:row r="1062" s="1211" customFormat="1"/>
    <x:row r="1063" s="1211" customFormat="1"/>
    <x:row r="1064" s="1211" customFormat="1"/>
    <x:row r="1065" s="1211" customFormat="1"/>
    <x:row r="1066" s="1211" customFormat="1"/>
    <x:row r="1067" s="1211" customFormat="1"/>
    <x:row r="1068" s="1211" customFormat="1"/>
    <x:row r="1069" s="1211" customFormat="1"/>
    <x:row r="1070" s="1211" customFormat="1"/>
    <x:row r="1071" s="1211" customFormat="1"/>
    <x:row r="1072" s="1211" customFormat="1"/>
    <x:row r="1073" s="1211" customFormat="1"/>
    <x:row r="1074" s="1211" customFormat="1"/>
    <x:row r="1075" s="1211" customFormat="1"/>
    <x:row r="1076" s="1211" customFormat="1"/>
    <x:row r="1077" s="1211" customFormat="1"/>
    <x:row r="1078" s="1211" customFormat="1"/>
    <x:row r="1079" s="1211" customFormat="1"/>
    <x:row r="1080" s="1211" customFormat="1"/>
    <x:row r="1081" s="1211" customFormat="1"/>
    <x:row r="1082" s="1211" customFormat="1"/>
    <x:row r="1083" s="1211" customFormat="1"/>
    <x:row r="1084" s="1211" customFormat="1"/>
    <x:row r="1085" s="1211" customFormat="1"/>
    <x:row r="1086" s="1211" customFormat="1"/>
    <x:row r="1087" s="1211" customFormat="1"/>
    <x:row r="1088" s="1211" customFormat="1"/>
    <x:row r="1089" s="1211" customFormat="1"/>
    <x:row r="1090" s="1211" customFormat="1"/>
    <x:row r="1091" s="1211" customFormat="1"/>
    <x:row r="1092" s="1211" customFormat="1"/>
    <x:row r="1093" s="1211" customFormat="1"/>
    <x:row r="1094" s="1211" customFormat="1"/>
    <x:row r="1095" s="1211" customFormat="1"/>
    <x:row r="1096" s="1211" customFormat="1"/>
    <x:row r="1097" s="1211" customFormat="1"/>
    <x:row r="1098" s="1211" customFormat="1"/>
    <x:row r="1099" s="1211" customFormat="1"/>
    <x:row r="1100" s="1211" customFormat="1"/>
    <x:row r="1101" s="1211" customFormat="1"/>
    <x:row r="1102" s="1211" customFormat="1"/>
    <x:row r="1103" s="1211" customFormat="1"/>
    <x:row r="1104" s="1211" customFormat="1"/>
    <x:row r="1105" s="1211" customFormat="1"/>
    <x:row r="1106" s="1211" customFormat="1"/>
    <x:row r="1107" s="1211" customFormat="1"/>
    <x:row r="1108" s="1211" customFormat="1"/>
    <x:row r="1109" s="1211" customFormat="1"/>
    <x:row r="1110" s="1211" customFormat="1"/>
    <x:row r="1111" s="1211" customFormat="1"/>
    <x:row r="1112" s="1211" customFormat="1"/>
    <x:row r="1113" s="1211" customFormat="1"/>
    <x:row r="1114" s="1211" customFormat="1"/>
    <x:row r="1115" s="1211" customFormat="1"/>
    <x:row r="1116" s="1211" customFormat="1"/>
    <x:row r="1117" s="1211" customFormat="1"/>
    <x:row r="1118" s="1211" customFormat="1"/>
    <x:row r="1119" s="1211" customFormat="1"/>
    <x:row r="1120" s="1211" customFormat="1"/>
    <x:row r="1121" s="1211" customFormat="1"/>
    <x:row r="1122" s="1211" customFormat="1"/>
    <x:row r="1123" s="1211" customFormat="1"/>
    <x:row r="1124" s="1211" customFormat="1"/>
    <x:row r="1125" s="1211" customFormat="1"/>
    <x:row r="1126" s="1211" customFormat="1"/>
    <x:row r="1127" s="1211" customFormat="1"/>
    <x:row r="1128" s="1211" customFormat="1"/>
    <x:row r="1129" s="1211" customFormat="1"/>
    <x:row r="1130" s="1211" customFormat="1"/>
    <x:row r="1131" s="1211" customFormat="1"/>
    <x:row r="1132" s="1211" customFormat="1"/>
    <x:row r="1133" s="1211" customFormat="1"/>
    <x:row r="1134" s="1211" customFormat="1"/>
    <x:row r="1135" s="1211" customFormat="1"/>
    <x:row r="1136" s="1211" customFormat="1"/>
    <x:row r="1137" s="1211" customFormat="1"/>
    <x:row r="1138" s="1211" customFormat="1"/>
    <x:row r="1139" s="1211" customFormat="1"/>
    <x:row r="1140" s="1211" customFormat="1"/>
    <x:row r="1141" s="1211" customFormat="1"/>
    <x:row r="1142" s="1211" customFormat="1"/>
    <x:row r="1143" s="1211" customFormat="1"/>
    <x:row r="1144" s="1211" customFormat="1"/>
    <x:row r="1145" s="1211" customFormat="1"/>
    <x:row r="1146" s="1211" customFormat="1"/>
    <x:row r="1147" s="1211" customFormat="1"/>
    <x:row r="1148" s="1211" customFormat="1"/>
    <x:row r="1149" s="1211" customFormat="1"/>
    <x:row r="1150" s="1211" customFormat="1"/>
    <x:row r="1151" s="1211" customFormat="1"/>
    <x:row r="1152" s="1211" customFormat="1"/>
    <x:row r="1153" s="1211" customFormat="1"/>
    <x:row r="1154" s="1211" customFormat="1"/>
    <x:row r="1155" s="1211" customFormat="1"/>
    <x:row r="1156" s="1211" customFormat="1"/>
    <x:row r="1157" s="1211" customFormat="1"/>
    <x:row r="1158" s="1211" customFormat="1"/>
    <x:row r="1159" s="1211" customFormat="1"/>
    <x:row r="1160" s="1211" customFormat="1"/>
    <x:row r="1161" s="1211" customFormat="1"/>
    <x:row r="1162" s="1211" customFormat="1"/>
    <x:row r="1163" s="1211" customFormat="1"/>
    <x:row r="1164" s="1211" customFormat="1"/>
    <x:row r="1165" s="1211" customFormat="1"/>
    <x:row r="1166" s="1211" customFormat="1"/>
    <x:row r="1167" s="1211" customFormat="1"/>
    <x:row r="1168" s="1211" customFormat="1"/>
    <x:row r="1169" s="1211" customFormat="1"/>
    <x:row r="1170" s="1211" customFormat="1"/>
    <x:row r="1171" s="1211" customFormat="1"/>
    <x:row r="1172" s="1211" customFormat="1"/>
    <x:row r="1173" s="1211" customFormat="1"/>
    <x:row r="1174" s="1211" customFormat="1"/>
    <x:row r="1175" s="1211" customFormat="1"/>
    <x:row r="1176" s="1211" customFormat="1"/>
    <x:row r="1177" s="1211" customFormat="1"/>
    <x:row r="1178" s="1211" customFormat="1"/>
    <x:row r="1179" s="1211" customFormat="1"/>
    <x:row r="1180" s="1211" customFormat="1"/>
    <x:row r="1181" s="1211" customFormat="1"/>
    <x:row r="1182" s="1211" customFormat="1"/>
    <x:row r="1183" s="1211" customFormat="1"/>
    <x:row r="1184" s="1211" customFormat="1"/>
    <x:row r="1185" s="1211" customFormat="1"/>
    <x:row r="1186" s="1211" customFormat="1"/>
    <x:row r="1187" s="1211" customFormat="1"/>
    <x:row r="1188" s="1211" customFormat="1"/>
    <x:row r="1189" s="1211" customFormat="1"/>
    <x:row r="1190" s="1211" customFormat="1"/>
    <x:row r="1191" s="1211" customFormat="1"/>
    <x:row r="1192" s="1211" customFormat="1"/>
    <x:row r="1193" s="1211" customFormat="1"/>
    <x:row r="1194" s="1211" customFormat="1"/>
    <x:row r="1195" s="1211" customFormat="1"/>
    <x:row r="1196" s="1211" customFormat="1"/>
    <x:row r="1197" s="1211" customFormat="1"/>
    <x:row r="1198" s="1211" customFormat="1"/>
    <x:row r="1199" s="1211" customFormat="1"/>
    <x:row r="1200" s="1211" customFormat="1"/>
    <x:row r="1201" s="1211" customFormat="1"/>
    <x:row r="1202" s="1211" customFormat="1"/>
    <x:row r="1203" s="1211" customFormat="1"/>
    <x:row r="1204" s="1211" customFormat="1"/>
    <x:row r="1205" s="1211" customFormat="1"/>
    <x:row r="1206" s="1211" customFormat="1"/>
    <x:row r="1207" s="1211" customFormat="1"/>
    <x:row r="1208" s="1211" customFormat="1"/>
    <x:row r="1209" s="1211" customFormat="1"/>
    <x:row r="1210" s="1211" customFormat="1"/>
    <x:row r="1211" s="1211" customFormat="1"/>
    <x:row r="1212" s="1211" customFormat="1"/>
    <x:row r="1213" s="1211" customFormat="1"/>
    <x:row r="1214" s="1211" customFormat="1"/>
    <x:row r="1215" s="1211" customFormat="1"/>
    <x:row r="1216" s="1211" customFormat="1"/>
    <x:row r="1217" s="1211" customFormat="1"/>
    <x:row r="1218" s="1211" customFormat="1"/>
    <x:row r="1219" s="1211" customFormat="1"/>
    <x:row r="1220" s="1211" customFormat="1"/>
    <x:row r="1221" s="1211" customFormat="1"/>
    <x:row r="1222" s="1211" customFormat="1"/>
    <x:row r="1223" s="1211" customFormat="1"/>
    <x:row r="1224" s="1211" customFormat="1"/>
    <x:row r="1225" s="1211" customFormat="1"/>
    <x:row r="1226" s="1211" customFormat="1"/>
    <x:row r="1227" s="1211" customFormat="1"/>
    <x:row r="1228" s="1211" customFormat="1"/>
    <x:row r="1229" s="1211" customFormat="1"/>
    <x:row r="1230" s="1211" customFormat="1"/>
    <x:row r="1231" s="1211" customFormat="1"/>
    <x:row r="1232" s="1211" customFormat="1"/>
    <x:row r="1233" s="1211" customFormat="1"/>
    <x:row r="1234" s="1211" customFormat="1"/>
    <x:row r="1235" s="1211" customFormat="1"/>
    <x:row r="1236" s="1211" customFormat="1"/>
    <x:row r="1237" s="1211" customFormat="1"/>
    <x:row r="1238" s="1211" customFormat="1"/>
    <x:row r="1239" s="1211" customFormat="1"/>
    <x:row r="1240" s="1211" customFormat="1"/>
    <x:row r="1241" s="1211" customFormat="1"/>
    <x:row r="1242" s="1211" customFormat="1"/>
    <x:row r="1243" s="1211" customFormat="1"/>
    <x:row r="1244" s="1211" customFormat="1"/>
    <x:row r="1245" s="1211" customFormat="1"/>
    <x:row r="1246" s="1211" customFormat="1"/>
    <x:row r="1247" s="1211" customFormat="1"/>
    <x:row r="1248" s="1211" customFormat="1"/>
    <x:row r="1249" s="1211" customFormat="1"/>
    <x:row r="1250" s="1211" customFormat="1"/>
    <x:row r="1251" s="1211" customFormat="1"/>
    <x:row r="1252" s="1211" customFormat="1"/>
    <x:row r="1253" s="1211" customFormat="1"/>
    <x:row r="1254" s="1211" customFormat="1"/>
    <x:row r="1255" s="1211" customFormat="1"/>
    <x:row r="1256" s="1211" customFormat="1"/>
    <x:row r="1257" s="1211" customFormat="1"/>
    <x:row r="1258" s="1211" customFormat="1"/>
    <x:row r="1259" s="1211" customFormat="1"/>
    <x:row r="1260" s="1211" customFormat="1"/>
    <x:row r="1261" s="1211" customFormat="1"/>
    <x:row r="1262" s="1211" customFormat="1"/>
    <x:row r="1263" s="1211" customFormat="1"/>
    <x:row r="1264" s="1211" customFormat="1"/>
    <x:row r="1265" s="1211" customFormat="1"/>
    <x:row r="1266" s="1211" customFormat="1"/>
    <x:row r="1267" s="1211" customFormat="1"/>
    <x:row r="1268" s="1211" customFormat="1"/>
    <x:row r="1269" s="1211" customFormat="1"/>
    <x:row r="1270" s="1211" customFormat="1"/>
    <x:row r="1271" s="1211" customFormat="1"/>
    <x:row r="1272" s="1211" customFormat="1"/>
    <x:row r="1273" s="1211" customFormat="1"/>
    <x:row r="1274" s="1211" customFormat="1"/>
    <x:row r="1275" s="1211" customFormat="1"/>
    <x:row r="1276" s="1211" customFormat="1"/>
    <x:row r="1277" s="1211" customFormat="1"/>
    <x:row r="1278" s="1211" customFormat="1"/>
    <x:row r="1279" s="1211" customFormat="1"/>
    <x:row r="1280" s="1211" customFormat="1"/>
    <x:row r="1281" s="1211" customFormat="1"/>
    <x:row r="1282" s="1211" customFormat="1"/>
    <x:row r="1283" s="1211" customFormat="1"/>
    <x:row r="1284" s="1211" customFormat="1"/>
    <x:row r="1285" s="1211" customFormat="1"/>
    <x:row r="1286" s="1211" customFormat="1"/>
    <x:row r="1287" s="1211" customFormat="1"/>
    <x:row r="1288" s="1211" customFormat="1"/>
    <x:row r="1289" s="1211" customFormat="1"/>
    <x:row r="1290" s="1211" customFormat="1"/>
    <x:row r="1291" s="1211" customFormat="1"/>
    <x:row r="1292" s="1211" customFormat="1"/>
    <x:row r="1293" s="1211" customFormat="1"/>
    <x:row r="1294" s="1211" customFormat="1"/>
    <x:row r="1295" s="1211" customFormat="1"/>
    <x:row r="1296" s="1211" customFormat="1"/>
    <x:row r="1297" s="1211" customFormat="1"/>
    <x:row r="1298" s="1211" customFormat="1"/>
    <x:row r="1299" s="1211" customFormat="1"/>
    <x:row r="1300" s="1211" customFormat="1"/>
    <x:row r="1301" s="1211" customFormat="1"/>
    <x:row r="1302" s="1211" customFormat="1"/>
    <x:row r="1303" s="1211" customFormat="1"/>
    <x:row r="1304" s="1211" customFormat="1"/>
    <x:row r="1305" s="1211" customFormat="1"/>
    <x:row r="1306" s="1211" customFormat="1"/>
    <x:row r="1307" s="1211" customFormat="1"/>
    <x:row r="1308" s="1211" customFormat="1"/>
    <x:row r="1309" s="1211" customFormat="1"/>
    <x:row r="1310" s="1211" customFormat="1"/>
    <x:row r="1311" s="1211" customFormat="1"/>
    <x:row r="1312" s="1211" customFormat="1"/>
    <x:row r="1313" s="1211" customFormat="1"/>
    <x:row r="1314" s="1211" customFormat="1"/>
    <x:row r="1315" s="1211" customFormat="1"/>
    <x:row r="1316" s="1211" customFormat="1"/>
    <x:row r="1317" s="1211" customFormat="1"/>
    <x:row r="1318" s="1211" customFormat="1"/>
    <x:row r="1319" s="1211" customFormat="1"/>
    <x:row r="1320" s="1211" customFormat="1"/>
    <x:row r="1321" s="1211" customFormat="1"/>
    <x:row r="1322" s="1211" customFormat="1"/>
    <x:row r="1323" s="1211" customFormat="1"/>
    <x:row r="1324" s="1211" customFormat="1"/>
    <x:row r="1325" s="1211" customFormat="1"/>
    <x:row r="1326" s="1211" customFormat="1"/>
    <x:row r="1327" s="1211" customFormat="1"/>
    <x:row r="1328" s="1211" customFormat="1"/>
    <x:row r="1329" s="1211" customFormat="1"/>
    <x:row r="1330" s="1211" customFormat="1"/>
    <x:row r="1331" s="1211" customFormat="1"/>
    <x:row r="1332" s="1211" customFormat="1"/>
    <x:row r="1333" s="1211" customFormat="1"/>
    <x:row r="1334" s="1211" customFormat="1"/>
    <x:row r="1335" s="1211" customFormat="1"/>
    <x:row r="1336" s="1211" customFormat="1"/>
    <x:row r="1337" s="1211" customFormat="1"/>
    <x:row r="1338" s="1211" customFormat="1"/>
    <x:row r="1339" s="1211" customFormat="1"/>
    <x:row r="1340" s="1211" customFormat="1"/>
    <x:row r="1341" s="1211" customFormat="1"/>
    <x:row r="1342" s="1211" customFormat="1"/>
    <x:row r="1343" s="1211" customFormat="1"/>
    <x:row r="1344" s="1211" customFormat="1"/>
    <x:row r="1345" s="1211" customFormat="1"/>
    <x:row r="1346" s="1211" customFormat="1"/>
    <x:row r="1347" s="1211" customFormat="1"/>
    <x:row r="1348" s="1211" customFormat="1"/>
    <x:row r="1349" s="1211" customFormat="1"/>
    <x:row r="1350" s="1211" customFormat="1"/>
    <x:row r="1351" s="1211" customFormat="1"/>
    <x:row r="1352" s="1211" customFormat="1"/>
    <x:row r="1353" s="1211" customFormat="1"/>
    <x:row r="1354" s="1211" customFormat="1"/>
    <x:row r="1355" s="1211" customFormat="1"/>
    <x:row r="1356" s="1211" customFormat="1"/>
    <x:row r="1357" s="1211" customFormat="1"/>
    <x:row r="1358" s="1211" customFormat="1"/>
    <x:row r="1359" s="1211" customFormat="1"/>
    <x:row r="1360" s="1211" customFormat="1"/>
    <x:row r="1361" s="1211" customFormat="1"/>
    <x:row r="1362" s="1211" customFormat="1"/>
    <x:row r="1363" s="1211" customFormat="1"/>
    <x:row r="1364" s="1211" customFormat="1"/>
    <x:row r="1365" s="1211" customFormat="1"/>
  </x:sheetData>
  <x:mergeCells>
    <x:mergeCell ref="B2:J2"/>
    <x:mergeCell ref="B3:J3"/>
    <x:mergeCell ref="B5:C5"/>
    <x:mergeCell ref="B6:C6"/>
    <x:mergeCell ref="D5:E5"/>
    <x:mergeCell ref="D6:E6"/>
    <x:mergeCell ref="F5:G5"/>
    <x:mergeCell ref="F6:G6"/>
    <x:mergeCell ref="H5:I5"/>
    <x:mergeCell ref="H6:I6"/>
    <x:mergeCell ref="J5:K5"/>
    <x:mergeCell ref="J6:K6"/>
    <x:mergeCell ref="L5:M5"/>
    <x:mergeCell ref="L6:M6"/>
    <x:mergeCell ref="B7:M7"/>
    <x:mergeCell ref="B9:M9"/>
    <x:mergeCell ref="B18:M18"/>
    <x:mergeCell ref="B19:M19"/>
    <x:mergeCell ref="B21:M21"/>
    <x:mergeCell ref="B37:M37"/>
    <x:mergeCell ref="B38:G38"/>
    <x:mergeCell ref="I38:M38"/>
    <x:mergeCell ref="I39:L39"/>
    <x:mergeCell ref="I40:L40"/>
    <x:mergeCell ref="I41:L41"/>
    <x:mergeCell ref="I42:L42"/>
    <x:mergeCell ref="I43:L43"/>
    <x:mergeCell ref="I44:L44"/>
    <x:mergeCell ref="B45:G46"/>
    <x:mergeCell ref="I45:M46"/>
    <x:mergeCell ref="B48:M48"/>
    <x:mergeCell ref="B49:F49"/>
    <x:mergeCell ref="H49:M49"/>
    <x:mergeCell ref="B50:F50"/>
    <x:mergeCell ref="H50:M50"/>
    <x:mergeCell ref="B51:F51"/>
    <x:mergeCell ref="H51:M51"/>
    <x:mergeCell ref="B52:F52"/>
    <x:mergeCell ref="H52:M52"/>
    <x:mergeCell ref="B53:F53"/>
    <x:mergeCell ref="H53:M53"/>
    <x:mergeCell ref="B54:F54"/>
    <x:mergeCell ref="H54:M54"/>
    <x:mergeCell ref="B56:M56"/>
    <x:mergeCell ref="B58:M58"/>
    <x:mergeCell ref="B59:M59"/>
    <x:mergeCell ref="C60:F60"/>
    <x:mergeCell ref="J60:M60"/>
    <x:mergeCell ref="C61:F61"/>
    <x:mergeCell ref="J61:M61"/>
    <x:mergeCell ref="C62:F62"/>
    <x:mergeCell ref="J62:M62"/>
    <x:mergeCell ref="C63:F63"/>
    <x:mergeCell ref="J63:M63"/>
    <x:mergeCell ref="C64:F64"/>
    <x:mergeCell ref="J64:M64"/>
    <x:mergeCell ref="C65:F65"/>
    <x:mergeCell ref="J65:M65"/>
    <x:mergeCell ref="C66:F66"/>
    <x:mergeCell ref="J66:M66"/>
    <x:mergeCell ref="C67:F67"/>
    <x:mergeCell ref="J67:M67"/>
    <x:mergeCell ref="C68:F68"/>
    <x:mergeCell ref="J68:M68"/>
    <x:mergeCell ref="C69:F69"/>
    <x:mergeCell ref="J69:M69"/>
    <x:mergeCell ref="C70:F70"/>
    <x:mergeCell ref="J70:M70"/>
    <x:mergeCell ref="B72:M72"/>
    <x:mergeCell ref="B73:M73"/>
  </x:mergeCells>
  <x:conditionalFormatting sqref="L11:L15">
    <x:cfRule type="cellIs" dxfId="1661" priority="3" operator="greaterThan">
      <x:formula>0</x:formula>
    </x:cfRule>
  </x:conditionalFormatting>
  <x:conditionalFormatting sqref="G50:G54">
    <x:cfRule type="cellIs" dxfId="1662" priority="4" operator="greaterThan">
      <x:formula>0</x:formula>
    </x:cfRule>
  </x:conditionalFormatting>
  <x:conditionalFormatting sqref="G61:G70">
    <x:cfRule type="cellIs" dxfId="1663" priority="5" operator="equal">
      <x:formula>"Urgente"</x:formula>
    </x:cfRule>
    <x:cfRule type="cellIs" dxfId="1664" priority="6" operator="equal">
      <x:formula>"Prioritaire"</x:formula>
    </x:cfRule>
  </x:conditionalFormatting>
  <x:pageMargins left="0.25" right="0.25" top="0.35" bottom="0.35" header="0.15" footer="0.15"/>
  <x:pageSetup orientation="landscape" paperSize="9" fitToWidth="1" fitToHeight="0"/>
  <x:drawing xmlns:r="http://schemas.openxmlformats.org/officeDocument/2006/relationships" r:id="logoINR20261007"/>
  <x:extLst>
    <x:ext xmlns:x14="http://schemas.microsoft.com/office/spreadsheetml/2009/9/main" xmlns:xm="http://schemas.microsoft.com/office/excel/2006/main" uri="{78C0D931-6437-407d-A8EE-F0AAD7539E65}">
      <x14:conditionalFormattings>
        <x14:conditionalFormatting>
          <x14:cfRule type="dataBar" priority="1" id="{54AD6DB4-C8DC-F8F5-35B7-459A804E5B9E}">
            <x14:dataBar gradient="0">
              <x14:cfvo type="num">
                <xm:f>0</xm:f>
              </x14:cfvo>
              <x14:cfvo type="num">
                <xm:f>1</xm:f>
              </x14:cfvo>
              <x14:fillColor rgb="FF5B8C76"/>
            </x14:dataBar>
          </x14:cfRule>
          <xm:sqref>F6:F10</xm:sqref>
        </x14:conditionalFormatting>
      </x14:conditionalFormattings>
    </x:ext>
  </x:extLst>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32"/>
  <sheetViews>
    <sheetView workbookViewId="0">
      <selection activeCell="D10" sqref="D10"/>
    </sheetView>
  </sheetViews>
  <sheetFormatPr baseColWidth="10" defaultColWidth="11.5" defaultRowHeight="13"/>
  <sheetData>
    <row r="1" spans="1:2">
      <c r="A1" t="inlineStr">
        <is>
          <t>1.1</t>
        </is>
      </c>
      <c r="B1" t="inlineStr">
        <is>
          <t>Prendre en compte toutes les étapes de la vie des équipements et des logiciels, de leur création à leur fin de vie, pour contribuer à la transition énergétique.</t>
        </is>
      </c>
    </row>
    <row r="2" spans="1:2">
      <c r="A2" t="inlineStr">
        <is>
          <t>1.2</t>
        </is>
      </c>
      <c r="B2" t="inlineStr">
        <is>
          <t>Utiliser les équipements plus longtemps, même après la fin de leur amortissement, c’est-à-dire la période sur laquelle leur coût est réparti dans les comptes.</t>
        </is>
      </c>
    </row>
    <row r="3" spans="1:2">
      <c r="A3" t="inlineStr">
        <is>
          <t>1.3</t>
        </is>
      </c>
      <c r="B3" t="inlineStr">
        <is>
          <t>Concevoir des services numériques qui limitent leurs effets sur l’environnement. Choisir des technologies qui contribuent aux Objectifs de développement durable (ODD).</t>
        </is>
      </c>
    </row>
    <row r="4" spans="1:2">
      <c r="A4" t="inlineStr">
        <is>
          <t>1.4</t>
        </is>
      </c>
      <c r="B4" t="inlineStr">
        <is>
          <t>Adopter des pratiques qui consomment moins de matériel, de ressources, d’énergie et de consommables, comme le papier ou l’encre.</t>
        </is>
      </c>
    </row>
    <row r="5" spans="1:2">
      <c r="A5" t="inlineStr">
        <is>
          <t>1.5</t>
        </is>
      </c>
      <c r="B5" t="inlineStr">
        <is>
          <t>Réutiliser ou recycler les déchets pour en faire de nouvelles ressources. Soutenir les emplois liés à leur traitement et à l’économie circulaire.</t>
        </is>
      </c>
    </row>
    <row r="6" spans="1:2">
      <c r="A6" t="inlineStr">
        <is>
          <t>1.6</t>
        </is>
      </c>
      <c r="B6" t="inlineStr">
        <is>
          <t>Choisir des énergies renouvelables et encourager leur utilisation.</t>
        </is>
      </c>
    </row>
    <row r="7" spans="1:2">
      <c r="A7" t="inlineStr">
        <is>
          <t>1.7</t>
        </is>
      </c>
      <c r="B7" t="inlineStr">
        <is>
          <t>Réserver l’intelligence artificielle aux besoins qui la justifient et privilégier des solutions sobres en ressources.</t>
        </is>
      </c>
    </row>
    <row r="8" spans="1:2">
      <c r="A8" t="inlineStr">
        <is>
          <t>1.8</t>
        </is>
      </c>
      <c r="B8" t="inlineStr">
        <is>
          <t>Mesurer et réduire ce que consomme l’intelligence artificielle, pendant son entraînement comme pendant son utilisation.</t>
        </is>
      </c>
    </row>
    <row r="9" spans="1:2">
      <c r="A9" t="inlineStr">
        <is>
          <t>2.1</t>
        </is>
      </c>
      <c r="B9" t="inlineStr">
        <is>
          <t>Intégrer dans tous les achats des exigences qui tiennent compte de leurs effets sur la société et l’environnement.</t>
        </is>
      </c>
    </row>
    <row r="10" spans="1:2">
      <c r="A10" t="inlineStr">
        <is>
          <t>2.2</t>
        </is>
      </c>
      <c r="B10" t="inlineStr">
        <is>
          <t>Rendre les services numériques accessibles à toutes et tous. Mesurer leur respect du RGAA, le référentiel français sur l’accessibilité numérique.</t>
        </is>
      </c>
    </row>
    <row r="11" spans="1:2">
      <c r="A11" t="inlineStr">
        <is>
          <t>2.3</t>
        </is>
      </c>
      <c r="B11" t="inlineStr">
        <is>
          <t>Créer des applications utiles, faciles à utiliser et réellement utilisées : les « 3 U ». Les rendre accessibles pour permettre à chacun d’utiliser le numérique.</t>
        </is>
      </c>
    </row>
    <row r="12" spans="1:2">
      <c r="A12" t="inlineStr">
        <is>
          <t>2.4</t>
        </is>
      </c>
      <c r="B12" t="inlineStr">
        <is>
          <t>Concevoir les services avec leurs utilisateurs et utilisatrices, en se concentrant sur leurs besoins réels.</t>
        </is>
      </c>
    </row>
    <row r="13" spans="1:2">
      <c r="A13" t="inlineStr">
        <is>
          <t>2.5</t>
        </is>
      </c>
      <c r="B13" t="inlineStr">
        <is>
          <t>Vérifier que l’intelligence artificielle ne discrimine personne et que ses services peuvent être utilisés par toutes et tous.</t>
        </is>
      </c>
    </row>
    <row r="14" spans="1:2">
      <c r="A14" t="inlineStr">
        <is>
          <t>3.1</t>
        </is>
      </c>
      <c r="B14" t="inlineStr">
        <is>
          <t>Utiliser les données et les services numériques avec mesure, en respectant les personnes et l’environnement.</t>
        </is>
      </c>
    </row>
    <row r="15" spans="1:2">
      <c r="A15" t="inlineStr">
        <is>
          <t>3.2</t>
        </is>
      </c>
      <c r="B15" t="inlineStr">
        <is>
          <t>Supprimer les pratiques et les interfaces qui trompent les utilisateurs sur les sites web, aussi appelées « dark patterns ». Respecter la réglementation.</t>
        </is>
      </c>
    </row>
    <row r="16" spans="1:2">
      <c r="A16" t="inlineStr">
        <is>
          <t>3.3</t>
        </is>
      </c>
      <c r="B16" t="inlineStr">
        <is>
          <t>Collecter seulement les données nécessaires au service rendu. Protéger la vie privée, réduire les effets sur l’environnement et respecter le RGPD, le règlement sur la protection des données personnelles.</t>
        </is>
      </c>
    </row>
    <row r="17" spans="1:2">
      <c r="A17" t="inlineStr">
        <is>
          <t>3.4</t>
        </is>
      </c>
      <c r="B17" t="inlineStr">
        <is>
          <t>Recruter des personnes aux profils variés dans les métiers du numérique.</t>
        </is>
      </c>
    </row>
    <row r="18" spans="1:2">
      <c r="A18" t="inlineStr">
        <is>
          <t>3.5</t>
        </is>
      </c>
      <c r="B18" t="inlineStr">
        <is>
          <t>Améliorer les conditions de travail des personnes qui travaillent dans le numérique.</t>
        </is>
      </c>
    </row>
    <row r="19" spans="1:2">
      <c r="A19" t="inlineStr">
        <is>
          <t>3.6</t>
        </is>
      </c>
      <c r="B19" t="inlineStr">
        <is>
          <t>Fixer et appliquer des règles éthiques pour utiliser les algorithmes, en particulier l’intelligence artificielle. Encadrer l’utilisation des données et assurer leur protection.</t>
        </is>
      </c>
    </row>
    <row r="20" spans="1:2">
      <c r="A20" t="inlineStr">
        <is>
          <t>3.7</t>
        </is>
      </c>
      <c r="B20" t="inlineStr">
        <is>
          <t>Mettre en place et faire connaître les actions de responsabilité sociétale (RSE), qui prennent en compte les effets de l’organisation sur la société et l’environnement.</t>
        </is>
      </c>
    </row>
    <row r="21" spans="1:2">
      <c r="A21" t="inlineStr">
        <is>
          <t>3.8</t>
        </is>
      </c>
      <c r="B21" t="inlineStr">
        <is>
          <t>Indiquer quand une intelligence artificielle répond et expliquer comment elle prend ses décisions. Garder un contrôle humain sur les sujets sensibles.</t>
        </is>
      </c>
    </row>
    <row r="22" spans="1:2">
      <c r="A22" t="inlineStr">
        <is>
          <t>4.1</t>
        </is>
      </c>
      <c r="B22" t="inlineStr">
        <is>
          <t>Suivre des normes communes pour recueillir, regrouper, analyser et partager les données sur les effets des technologies de l’information et de la communication (TIC).</t>
        </is>
      </c>
    </row>
    <row r="23" spans="1:2">
      <c r="A23" t="inlineStr">
        <is>
          <t>4.2</t>
        </is>
      </c>
      <c r="B23" t="inlineStr">
        <is>
          <t>Évaluer les services numériques au fil du temps et partager les résultats.</t>
        </is>
      </c>
    </row>
    <row r="24" spans="1:2">
      <c r="A24" t="inlineStr">
        <is>
          <t>4.3</t>
        </is>
      </c>
      <c r="B24" t="inlineStr">
        <is>
          <t>Innover en utilisant de nouveaux outils numériques. Évaluer leurs effets et expliquer les résultats aux personnes qui les utilisent.</t>
        </is>
      </c>
    </row>
    <row r="25" spans="1:2">
      <c r="A25" t="inlineStr">
        <is>
          <t>4.4</t>
        </is>
      </c>
      <c r="B25" t="inlineStr">
        <is>
          <t>Renforcer la souveraineté numérique : garder la maîtrise de nos choix, de nos outils et de nos données.</t>
        </is>
      </c>
    </row>
    <row r="26" spans="1:2">
      <c r="A26" t="inlineStr">
        <is>
          <t>5.1</t>
        </is>
      </c>
      <c r="B26" t="inlineStr">
        <is>
          <t>Concevoir les systèmes et les services numériques en intégrant de nouvelles façons de répondre aux besoins sociaux.</t>
        </is>
      </c>
    </row>
    <row r="27" spans="1:2">
      <c r="A27" t="inlineStr">
        <is>
          <t>5.2</t>
        </is>
      </c>
      <c r="B27" t="inlineStr">
        <is>
          <t>Faire connaître et soutenir les initiatives des équipes qui encouragent l’engagement, la coopération entre services et le bien-être au travail.</t>
        </is>
      </c>
    </row>
    <row r="28" spans="1:2">
      <c r="A28" t="inlineStr">
        <is>
          <t>5.3</t>
        </is>
      </c>
      <c r="B28" t="inlineStr">
        <is>
          <t>Faire participer les personnes et les organisations concernées. S’appuyer sur leurs connaissances des questions d’environnement, de conditions de vie et de société.</t>
        </is>
      </c>
    </row>
    <row r="29" spans="1:2">
      <c r="A29" t="inlineStr">
        <is>
          <t>5.4</t>
        </is>
      </c>
      <c r="B29" t="inlineStr">
        <is>
          <t>Permettre aux générations futures d’innover pour mieux vivre ensemble, s’ouvrir aux autres et préserver l’équilibre de la nature.</t>
        </is>
      </c>
    </row>
    <row r="30" spans="1:2">
      <c r="A30" t="inlineStr">
        <is>
          <t>5.5</t>
        </is>
      </c>
      <c r="B30" t="inlineStr">
        <is>
          <t>Suivre les résultats obtenus et le respect des règles à l’aide d’indicateurs.</t>
        </is>
      </c>
    </row>
    <row r="31" spans="1:2">
      <c r="A31" t="inlineStr">
        <is>
          <t>5.6</t>
        </is>
      </c>
      <c r="B31" t="inlineStr">
        <is>
          <t>Proposer des améliorations et de nouvelles idées pour un numérique responsable, y compris des solutions sans outils numériques.</t>
        </is>
      </c>
    </row>
    <row r="32" spans="1:2">
      <c r="A32" t="inlineStr">
        <is>
          <t>5.7</t>
        </is>
      </c>
      <c r="B32" t="inlineStr">
        <is>
          <t>Décider avec les équipes comment utiliser l’intelligence artificielle. Les former à ses limites et préserver le sens de leur travail.</t>
        </is>
      </c>
    </row>
  </sheetData>
  <pageMargins left="0.7" right="0.7" top="0.75" bottom="0.75" header="0.3" footer="0.3"/>
  <drawing r:id="logoINR2026100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customXml/itemProps2.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3.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Accueil</vt:lpstr>
      <vt:lpstr>Méthodologie</vt:lpstr>
      <vt:lpstr>Contexte</vt:lpstr>
      <vt:lpstr>ONR 1</vt:lpstr>
      <vt:lpstr>ONR 2</vt:lpstr>
      <vt:lpstr>ONR 3</vt:lpstr>
      <vt:lpstr>ONR 4</vt:lpstr>
      <vt:lpstr>ONR 5</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de priorisation des ODD et de leurs cibles</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2026-02-27T21:33:16Z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