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summary20261007_drawing3.xml" ContentType="application/vnd.openxmlformats-officedocument.drawing+xml"/>
  <Override PartName="/xl/drawings/charts/summary20261007_chart1.xml" ContentType="application/vnd.openxmlformats-officedocument.drawingml.chart+xml"/>
  <Default Extension="png" ContentType="image/png"/>
  <Override PartName="/xl/drawings/inr20261007_drawing4.xml" ContentType="application/vnd.openxmlformats-officedocument.drawing+xml"/>
  <Override PartName="/xl/drawings/inr20261007_drawing5.xml" ContentType="application/vnd.openxmlformats-officedocument.drawing+xml"/>
  <Override PartName="/xl/drawings/inr20261007_drawing6.xml" ContentType="application/vnd.openxmlformats-officedocument.drawing+xml"/>
  <Override PartName="/xl/drawings/inr20261007_drawing7.xml" ContentType="application/vnd.openxmlformats-officedocument.drawing+xml"/>
  <Override PartName="/xl/drawings/inr20261007_drawing8.xml" ContentType="application/vnd.openxmlformats-officedocument.drawing+xml"/>
  <Override PartName="/xl/drawings/inr20261007_drawing10.xml" ContentType="application/vnd.openxmlformats-officedocument.drawing+xml"/>
  <Override PartName="/xl/drawings/charts/inr20261007_chart1.xml" ContentType="application/vnd.openxmlformats-officedocument.drawingml.chart+xml"/>
  <Override PartName="/xl/drawings/charts/inr20261007_chart2.xml" ContentType="application/vnd.openxmlformats-officedocument.drawingml.chart+xml"/>
  <Override PartName="/xl/drawings/inr20261007_drawing3.xml" ContentType="application/vnd.openxmlformats-officedocument.drawing+xml"/>
  <Override PartName="/xl/drawings/inr20261007_drawing9.xml" ContentType="application/vnd.openxmlformats-officedocument.drawing+xml"/>
  <Override PartName="/xl/drawings/inr20261007_drawing11.xml" ContentType="application/vnd.openxmlformats-officedocument.drawing+xml"/>
  <Override PartName="/xl/worksheets/sheet13.xml" ContentType="application/vnd.openxmlformats-officedocument.spreadsheetml.worksheet+xml"/>
  <Override PartName="/xl/comments7.xml" ContentType="application/vnd.openxmlformats-officedocument.spreadsheetml.comments+xml"/>
  <Override PartName="/xl/drawings/inr20261007_drawing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Cibles métier" sheetId="72" r:id="rIdCiblesMetier"/>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10">'Résultats détaillés'!$B$2:$X$35</definedName>
    <definedName name="_xlnm.Print_Area" localSheetId="3">'ONR 1'!$B$2:$V$14</definedName>
    <definedName name="_xlnm.Print_Titles" localSheetId="3">'ONR 1'!$4:$6,'ONR 1'!$B:$C</definedName>
    <definedName name="_xlnm.Print_Area" localSheetId="4">'ONR 2'!$B$2:$V$11</definedName>
    <definedName name="_xlnm.Print_Titles" localSheetId="4">'ONR 2'!$4:$6,'ONR 2'!$B:$C</definedName>
    <definedName name="_xlnm.Print_Area" localSheetId="5">'ONR 3'!$B$2:$V$14</definedName>
    <definedName name="_xlnm.Print_Titles" localSheetId="5">'ONR 3'!$4:$6,'ONR 3'!$B:$C</definedName>
    <definedName name="_xlnm.Print_Area" localSheetId="6">'ONR 4'!$B$2:$V$10</definedName>
    <definedName name="_xlnm.Print_Titles" localSheetId="6">'ONR 4'!$4:$6,'ONR 4'!$B:$C</definedName>
    <definedName name="_xlnm.Print_Area" localSheetId="7">'ONR 5'!$B$2:$V$13</definedName>
    <definedName name="_xlnm.Print_Titles" localSheetId="7">'ONR 5'!$4:$6,'ONR 5'!$B:$C</definedName>
    <definedName name="_xlnm.Print_Area" localSheetId="11">'Résultats synthèse'!$B$2:$M$73</definedName>
    <definedName name="_xlnm.Print_Area" localSheetId="8">'Cibles métier'!$B$2:$V$14</definedName>
    <definedName name="_xlnm.Print_Titles" localSheetId="8">'Cibles métier'!$4:$6,'Cibles métier'!$B:$C</definedName>
  </definedNames>
  <calcPr calcId="191028" fullCalcOnLoad="1" calcMode="auto" forceFullCalc="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t>Décrire les opportunités et les menaces associées à cette cible pour l’organisation : enjeux économiques, sociaux, environnementaux, réglementaires ou opérationnels.</t>
      </text>
    </comment>
    <comment ref="E5" authorId="1" shapeId="0" xr:uid="{00000000-0006-0000-0300-000003000000}">
      <text>
        <t>Évaluer l’importance de la cible pour l’organisation.
0 : non applicable ; 1 : peu importante ; 2 : importante ; 3 : très importante.
Une importance de 0 classe la cible comme non applicable, même sans note de performance.</t>
      </text>
    </comment>
    <comment ref="F5" authorId="1" shapeId="0" xr:uid="{00000000-0006-0000-0300-000004000000}">
      <text>
        <t>Évaluer la situation actuelle à partir d’éléments documentés.
1 : pas du tout atteinte ; 2 : atteinte en partie ; 3 : en voie d’être atteinte ; 4 : atteinte.
Laisser vide si la cible n’est pas évaluée ou n’est pas applicable.</t>
      </text>
    </comment>
    <comment ref="G5" authorId="1" shapeId="0" xr:uid="{00000000-0006-0000-0300-000005000000}">
      <text>
        <t>Justifier la note de performance avec les mesures déjà en place, les résultats observés, les indicateurs disponibles et les sources datées. Distinguer les actions réalisées des actions seulement prévues.</t>
      </text>
    </comment>
    <comment ref="I5" authorId="1" shapeId="0" xr:uid="{00000000-0006-0000-0300-000007000000}">
      <text>
        <t>Décrire les forces et les faiblesses internes : compétences, moyens humains, financiers et techniques, et partenaires disponibles pour agir sur la cible.</t>
      </text>
    </comment>
    <comment ref="J5" authorId="1" shapeId="0" xr:uid="{00000000-0006-0000-03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1" shapeId="0" xr:uid="{00000000-0006-0000-03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t>Décrire les opportunités et les menaces associées à cette cible pour l’organisation : enjeux économiques, sociaux, environnementaux, réglementaires ou opérationnels.</t>
      </text>
    </comment>
    <comment ref="E5" authorId="0" shapeId="0" xr:uid="{00000000-0006-0000-04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4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4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400-000007000000}">
      <text>
        <t>Décrire les forces et les faiblesses internes : compétences, moyens humains, financiers et techniques, et partenaires disponibles pour agir sur la cible.</t>
      </text>
    </comment>
    <comment ref="J5" authorId="0" shapeId="0" xr:uid="{00000000-0006-0000-04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4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t>Décrire les opportunités et les menaces associées à cette cible pour l’organisation : enjeux économiques, sociaux, environnementaux, réglementaires ou opérationnels.</t>
      </text>
    </comment>
    <comment ref="E5" authorId="0" shapeId="0" xr:uid="{00000000-0006-0000-05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5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5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500-000007000000}">
      <text>
        <t>Décrire les forces et les faiblesses internes : compétences, moyens humains, financiers et techniques, et partenaires disponibles pour agir sur la cible.</t>
      </text>
    </comment>
    <comment ref="J5" authorId="0" shapeId="0" xr:uid="{00000000-0006-0000-05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5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t>Décrire les opportunités et les menaces associées à cette cible pour l’organisation : enjeux économiques, sociaux, environnementaux, réglementaires ou opérationnels.</t>
      </text>
    </comment>
    <comment ref="E5" authorId="0" shapeId="0" xr:uid="{988E1C45-7988-DB49-85E0-84F3DA705D86}">
      <text>
        <t>Évaluer l’importance de la cible pour l’organisation.
0 : non applicable ; 1 : peu importante ; 2 : importante ; 3 : très importante.
Une importance de 0 classe la cible comme non applicable, même sans note de performance.</t>
      </text>
    </comment>
    <comment ref="F5" authorId="0" shapeId="0" xr:uid="{6EFAD041-22B7-C04F-9E51-652EBA0E8A16}">
      <text>
        <t>Évaluer la situation actuelle à partir d’éléments documentés.
1 : pas du tout atteinte ; 2 : atteinte en partie ; 3 : en voie d’être atteinte ; 4 : atteinte.
Laisser vide si la cible n’est pas évaluée ou n’est pas applicable.</t>
      </text>
    </comment>
    <comment ref="G5" authorId="0" shapeId="0" xr:uid="{BD753896-2A33-C44A-9474-6ED31D82EDF1}">
      <text>
        <t>Justifier la note de performance avec les mesures déjà en place, les résultats observés, les indicateurs disponibles et les sources datées. Distinguer les actions réalisées des actions seulement prévues.</t>
      </text>
    </comment>
    <comment ref="H5" authorId="0" shapeId="0" xr:uid="{A0B61C8E-D016-114B-919D-21D504540378}">
      <text>
        <t>Identifier les compétences à mobiliser.
1 : équipe NR / RSE ; 2 : NR / RSE et DSI ; 3 : NR / RSE et équipe hors DSI ; 4 : intervention extérieure.
Ce choix n’entre pas dans le calcul du niveau de priorité.</t>
      </text>
    </comment>
    <comment ref="I5" authorId="0" shapeId="0" xr:uid="{81F53470-33EE-0B43-93A9-4C132E04A690}">
      <text>
        <t>Décrire les forces et les faiblesses internes : compétences, moyens humains, financiers et techniques, et partenaires disponibles pour agir sur la cible.</t>
      </text>
    </comment>
    <comment ref="J5" authorId="0" shapeId="0" xr:uid="{00000000-0006-0000-06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6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t>Décrire les opportunités et les menaces associées à cette cible pour l’organisation : enjeux économiques, sociaux, environnementaux, réglementaires ou opérationnels.</t>
      </text>
    </comment>
    <comment ref="E5" authorId="0" shapeId="0" xr:uid="{00000000-0006-0000-07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7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7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700-000007000000}">
      <text>
        <t>Décrire les forces et les faiblesses internes : compétences, moyens humains, financiers et techniques, et partenaires disponibles pour agir sur la cible.</t>
      </text>
    </comment>
    <comment ref="J5" authorId="0" shapeId="0" xr:uid="{00000000-0006-0000-07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7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t>Décrire les opportunités et les menaces associées à cette cible pour l’organisation : enjeux économiques, sociaux, environnementaux, réglementaires ou opérationnels.</t>
      </text>
    </comment>
    <comment ref="G3" authorId="0" shapeId="0" xr:uid="{00000000-0006-0000-1400-000002000000}">
      <text>
        <t>Justifier la note de performance avec les mesures déjà en place, les résultats observés, les indicateurs disponibles et les sources datées. Distinguer les actions réalisées des actions seulement prévues.</t>
      </text>
    </comment>
    <comment ref="I3" authorId="0" shapeId="0" xr:uid="{00000000-0006-0000-1400-000003000000}">
      <text>
        <t>Décrire les forces et les faiblesses internes : compétences, moyens humains, financiers et techniques, et partenaires disponibles pour agir sur la cible.</t>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t>Décrire les opportunités et les menaces associées à cette cible pour l’organisation : enjeux économiques, sociaux, environnementaux, réglementaires ou opérationnels.</t>
      </text>
    </comment>
    <comment ref="E5" authorId="1" shapeId="0" xr:uid="{00000000-0006-0000-0300-000003000000}">
      <text>
        <t>Évaluer l’importance de la cible pour l’organisation.
0 : non applicable ; 1 : peu importante ; 2 : importante ; 3 : très importante.
Une importance de 0 classe la cible comme non applicable, même sans note de performance.</t>
      </text>
    </comment>
    <comment ref="F5" authorId="1" shapeId="0" xr:uid="{00000000-0006-0000-0300-000004000000}">
      <text>
        <t>Évaluer la situation actuelle à partir d’éléments documentés.
1 : pas du tout atteinte ; 2 : atteinte en partie ; 3 : en voie d’être atteinte ; 4 : atteinte.
Laisser vide si la cible n’est pas évaluée ou n’est pas applicable.</t>
      </text>
    </comment>
    <comment ref="G5" authorId="1" shapeId="0" xr:uid="{00000000-0006-0000-0300-000005000000}">
      <text>
        <t>Justifier la note de performance avec les mesures déjà en place, les résultats observés, les indicateurs disponibles et les sources datées. Distinguer les actions réalisées des actions seulement prévues.</t>
      </text>
    </comment>
    <comment ref="I5" authorId="1" shapeId="0" xr:uid="{00000000-0006-0000-0300-000007000000}">
      <text>
        <t>Décrire les forces et les faiblesses internes : compétences, moyens humains, financiers et techniques, et partenaires disponibles pour agir sur la cible.</t>
      </text>
    </comment>
    <comment ref="J5" authorId="1" shapeId="0" xr:uid="{00000000-0006-0000-03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1" shapeId="0" xr:uid="{00000000-0006-0000-03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<sst xmlns="http://schemas.openxmlformats.org/spreadsheetml/2006/main" count="318" uniqueCount="136">
  <si>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</si>
  <si>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</si>
  <si>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</si>
  <si>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</si>
  <si>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</si>
  <si>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</si>
  <si>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</si>
  <si>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</si>
  <si>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</si>
  <si>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</si>
  <si>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t>
  </si>
  <si>
    <t>Importance de la cible</t>
  </si>
  <si>
    <t>Performance actuelle</t>
  </si>
  <si>
    <t>Compétences interne-externe</t>
  </si>
  <si>
    <t>Priorité</t>
  </si>
  <si>
    <t>Mise en œuvre</t>
  </si>
  <si>
    <t>Enjeux: opportunités et menaces</t>
  </si>
  <si>
    <t>Importance de la cible</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</si>
  <si>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</si>
  <si>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</si>
  <si>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</si>
  <si>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</si>
  <si>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</si>
  <si>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</si>
  <si>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</si>
  <si>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</si>
  <si>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</si>
  <si>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</si>
  <si>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</si>
  <si>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</si>
  <si>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</si>
  <si>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</si>
  <si>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</si>
  <si>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</si>
  <si>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</si>
  <si>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</si>
  <si>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</si>
  <si>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</si>
  <si>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des agents, des élus et des écoles, par la réparation et la réaffectation entre services</t>
  </si>
  <si>
    <t>1.3</t>
  </si>
  <si>
    <t>En éco-concevant les sites et téléservices de la collectivité selon le RGESN, et en choisissant des technologies qui contribuent aux ODD</t>
  </si>
  <si>
    <t>1.4</t>
  </si>
  <si>
    <t>En favorisant, dans les services et les assemblées, des usages limitant les consommations de matériels, d'énergie et de consommables</t>
  </si>
  <si>
    <t>1.5</t>
  </si>
  <si>
    <t>En confiant nos équipements en fin d'usage aux filières locales de réemploi et de l'économie sociale et solidaire</t>
  </si>
  <si>
    <t>1.6</t>
  </si>
  <si>
    <t>En alimentant bâtiments, salles serveurs et hébergements avec des énergies renouvelables, produites si possible sur le territoire</t>
  </si>
  <si>
    <t>1.7</t>
  </si>
  <si>
    <t>En réservant l'IA aux besoins du service public qui la justifient et en privilégiant des IA frugales</t>
  </si>
  <si>
    <t xml:space="preserve">ONR 2 : Inclusion · S'engager à développer des services numériques accessibles à toutes et tous, inclusifs et durables</t>
  </si>
  <si>
    <t>2.1</t>
  </si>
  <si>
    <t>En intégrant dans la commande publique numérique des clauses sociales et environnementales, et des critères de durabilité et de réemploi</t>
  </si>
  <si>
    <t>2.2</t>
  </si>
  <si>
    <t>En rendant accessibles les services numériques de la collectivité et en publiant déclaration d'accessibilité et schéma pluriannuel RGAA</t>
  </si>
  <si>
    <t>2.3</t>
  </si>
  <si>
    <t>En proposant des téléservices Utiles, Utilisables et Utilisés, simples de bout en bout pour toutes et tous les habitants</t>
  </si>
  <si>
    <t>2.4</t>
  </si>
  <si>
    <t>En concevant les services avec les habitants, les agents d'accueil et les associations, pour livrer ce dont ils ont besoin</t>
  </si>
  <si>
    <t xml:space="preserve">ONR 3 : RSE · S'engager pour des pratiques numériques éthiques et responsables</t>
  </si>
  <si>
    <t>3.1</t>
  </si>
  <si>
    <t>En développant des usages raisonnés des données du territoire, au service de l'intérêt général et dans le respect des personnes</t>
  </si>
  <si>
    <t>3.2</t>
  </si>
  <si>
    <t>En bannissant des services publics numériques les pratiques trompeuses et les dark patterns</t>
  </si>
  <si>
    <t>3.3</t>
  </si>
  <si>
    <t>En ne collectant que les données nécessaires à chaque démarche, avec un registre des traitements à jour et l'appui du DPO</t>
  </si>
  <si>
    <t>3.4</t>
  </si>
  <si>
    <t>En diversifiant les recrutements numériques de la collectivité : femmes, reconversions, apprentissage, handicap</t>
  </si>
  <si>
    <t>3.5</t>
  </si>
  <si>
    <t>En améliorant les conditions de travail des agents du numérique et en les exigeant des prestataires</t>
  </si>
  <si>
    <t>3.6</t>
  </si>
  <si>
    <t>En se dotant de règles d'éthique algorithmique et en publiant les règles des algorithmes publics qui fondent des décisions</t>
  </si>
  <si>
    <t>3.7</t>
  </si>
  <si>
    <t>En intégrant le numérique responsable au rapport de développement durable et en le valorisant auprès des habitants</t>
  </si>
  <si>
    <t xml:space="preserve">ONR 4 : Résilience et stratégie · S'engager vers un numérique responsable, indispensable pour assurer la résilience des organisations</t>
  </si>
  <si>
    <t>4.1</t>
  </si>
  <si>
    <t>En mesurant l'empreinte du numérique de la collectivité avec des méthodes communes, comparables entre collectivités</t>
  </si>
  <si>
    <t>4.2</t>
  </si>
  <si>
    <t>En évaluant les services numériques dans la durée avec les usagers, et en publiant les résultats</t>
  </si>
  <si>
    <t>4.3</t>
  </si>
  <si>
    <t>En expérimentant de nouveaux outils pour le territoire, avec une analyse d'impact transparente avant toute généralisation</t>
  </si>
  <si>
    <t>4.4</t>
  </si>
  <si>
    <t>En garantissant la souveraineté numérique de la collectivité : logiciels libres, hébergement de confiance, réversibilité</t>
  </si>
  <si>
    <t xml:space="preserve">ONR 5 : Management · S'engager à faire les choses avec sens en respectant et en préservant les ressources qui produisent</t>
  </si>
  <si>
    <t>5.1</t>
  </si>
  <si>
    <t>En incluant l'innovation sociale territoriale dans la définition des services numériques</t>
  </si>
  <si>
    <t>5.2</t>
  </si>
  <si>
    <t>En valorisant les initiatives des agents qui favorisent la coopération entre services et le bien-être au travail</t>
  </si>
  <si>
    <t>5.3</t>
  </si>
  <si>
    <t>En associant habitants, associations, entreprises et collectivités voisines aux choix numériques du territoire</t>
  </si>
  <si>
    <t>5.4</t>
  </si>
  <si>
    <t>En préparant un territoire où les générations futures pourront innover, vivre ensemble et préserver les écosystèmes</t>
  </si>
  <si>
    <t>5.5</t>
  </si>
  <si>
    <t>En suivant la stratégie numérique responsable avec des indicateurs de performance et de conformité présentés aux élus</t>
  </si>
  <si>
    <t>5.6</t>
  </si>
  <si>
    <t>En proposant des pistes d'amélioration du numérique responsable, y compris non numériques</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</si>
  <si>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</si>
  <si>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</si>
  <si>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</si>
  <si>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</si>
  <si>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</si>
  <si>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</si>
  <si>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</si>
  <si>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</si>
  <si>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</si>
  <si>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</si>
  <si>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</si>
  <si>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</si>
  <si>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</si>
  <si>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</si>
  <si>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</si>
  <si>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</si>
  <si>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</si>
  <si>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</si>
  <si>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</si>
  <si>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</si>
  <si>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</si>
  <si>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</si>
  <si>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</si>
  <si>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</si>
  <si>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</si>
  <si>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</si>
  <si>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</si>
  <si>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</si>
  <si>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</si>
  <si>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</si>
  <si>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</si>
  <si>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</si>
  <si>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</si>
  <si>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</si>
  <si>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</si>
  <si>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</si>
  <si>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</si>
  <si>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de la collectivité, écoles et services aux habitants compris</t>
  </si>
  <si>
    <t xml:space="preserve">Compétences </t>
  </si>
  <si>
    <t>Compétences</t>
  </si>
  <si>
    <t>En associant habitants, associations, entreprises et collectivités voisines aux choix numériques du territoire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</si>
</sst>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C0C]d\ mmm\ yyyy;@"/>
    <numFmt numFmtId="165" formatCode="0.0%"/>
    <numFmt numFmtId="166" formatCode="0"/>
  </numFmts>
  <fonts count="249">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1"/>
      <color rgb="FF000000"/>
      <name val="Arial"/>
    </font>
    <font>
      <b/>
      <sz val="11"/>
      <color rgb="FF000000"/>
      <name val="Arial"/>
    </font>
    <font>
      <sz val="11"/>
      <color rgb="FF000000"/>
      <name val="Arial"/>
    </font>
    <font>
      <b/>
      <sz val="18"/>
      <color rgb="FF000000"/>
      <name val="Arial"/>
    </font>
    <font>
      <b/>
      <sz val="12"/>
      <color rgb="FFFFFFFF"/>
      <name val="Arial"/>
    </font>
    <font>
      <b/>
      <sz val="11"/>
      <color rgb="FF404040"/>
      <name val="Arial"/>
    </font>
    <font>
      <b/>
      <sz val="22"/>
      <color rgb="FF000000"/>
      <name val="Arial"/>
    </font>
    <font>
      <sz val="10"/>
      <color rgb="FF404040"/>
      <name val="Arial"/>
    </font>
    <font>
      <sz val="10"/>
      <color rgb="FF404040"/>
      <name val="Arial"/>
    </font>
  </fonts>
  <fills count="237">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solid">
        <fgColor rgb="FFD9D9D9"/>
      </patternFill>
    </fill>
    <fill>
      <patternFill patternType="solid">
        <fgColor rgb="FF4F81BD"/>
      </patternFill>
    </fill>
    <fill>
      <patternFill patternType="solid">
        <fgColor rgb="FF4BACC6"/>
      </patternFill>
    </fill>
    <fill>
      <patternFill patternType="solid">
        <fgColor rgb="FFCCC1DA"/>
      </patternFill>
    </fill>
    <fill>
      <patternFill patternType="solid">
        <fgColor rgb="FFE6B9B8"/>
      </patternFill>
    </fill>
    <fill>
      <patternFill patternType="solid">
        <fgColor rgb="FFF2F2F2"/>
      </patternFill>
    </fill>
    <fill>
      <patternFill patternType="solid">
        <fgColor rgb="FFFFFFFF"/>
      </patternFill>
    </fill>
    <fill>
      <patternFill patternType="solid">
        <fgColor rgb="FFFFF2CC"/>
      </patternFill>
    </fill>
    <fill>
      <patternFill patternType="solid">
        <fgColor rgb="FFF79646"/>
      </patternFill>
    </fill>
    <fill>
      <patternFill patternType="solid">
        <fgColor rgb="FF9BBB59"/>
      </patternFill>
    </fill>
    <fill>
      <patternFill patternType="solid">
        <fgColor rgb="FF00B0F0"/>
      </patternFill>
    </fill>
    <fill>
      <patternFill patternType="solid">
        <fgColor rgb="FF8064A2"/>
      </patternFill>
    </fill>
    <fill>
      <patternFill patternType="solid">
        <fgColor rgb="FFFF0000"/>
      </patternFill>
    </fill>
    <fill>
      <patternFill patternType="solid">
        <fgColor rgb="FFFFC000"/>
      </patternFill>
    </fill>
    <fill>
      <patternFill patternType="solid">
        <fgColor rgb="FFFFFF00"/>
      </patternFill>
    </fill>
    <fill>
      <patternFill patternType="solid">
        <fgColor rgb="FF00B050"/>
      </patternFill>
    </fill>
    <fill>
      <patternFill patternType="solid">
        <fgColor rgb="FFD9EAD3"/>
      </patternFill>
    </fill>
    <fill>
      <patternFill patternType="solid">
        <fgColor rgb="FF92D050"/>
      </patternFill>
    </fill>
    <fill>
      <patternFill patternType="solid">
        <fgColor rgb="FFF2EDF6"/>
      </patternFill>
    </fill>
  </fills>
  <borders count="228">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left style="thin">
        <color rgb="FF777777"/>
      </left>
      <top style="thin">
        <color rgb="FF777777"/>
      </top>
      <bottom style="thin">
        <color rgb="FF777777"/>
      </bottom>
    </border>
    <border>
      <top style="thin">
        <color rgb="FF777777"/>
      </top>
      <bottom style="thin">
        <color rgb="FF777777"/>
      </bottom>
    </border>
    <border>
      <right style="thin">
        <color rgb="FF777777"/>
      </right>
      <top style="thin">
        <color rgb="FF777777"/>
      </top>
      <bottom style="thin">
        <color rgb="FF777777"/>
      </bottom>
    </border>
    <border>
      <left style="thin">
        <color rgb="FF777777"/>
      </left>
      <right style="thin">
        <color rgb="FF777777"/>
      </right>
      <top style="thin">
        <color rgb="FF777777"/>
      </top>
      <bottom style="thin">
        <color rgb="FF777777"/>
      </bottom>
    </border>
    <border>
      <left style="thin">
        <color rgb="FFA6A6A6"/>
      </left>
      <right style="thin">
        <color rgb="FFA6A6A6"/>
      </right>
      <top style="thin">
        <color rgb="FFA6A6A6"/>
      </top>
      <bottom style="thin">
        <color rgb="FFA6A6A6"/>
      </bottom>
    </border>
    <border>
      <left style="thin">
        <color rgb="FF777777"/>
      </left>
      <top style="thin">
        <color rgb="FF777777"/>
      </top>
    </border>
    <border>
      <top style="thin">
        <color rgb="FF777777"/>
      </top>
    </border>
    <border>
      <right style="thin">
        <color rgb="FF777777"/>
      </right>
      <top style="thin">
        <color rgb="FF777777"/>
      </top>
    </border>
    <border>
      <left style="thin">
        <color rgb="FF777777"/>
      </left>
    </border>
    <border>
      <right style="thin">
        <color rgb="FF777777"/>
      </right>
    </border>
    <border>
      <left style="thin">
        <color rgb="FF777777"/>
      </left>
      <bottom style="thin">
        <color rgb="FF777777"/>
      </bottom>
    </border>
    <border>
      <bottom style="thin">
        <color rgb="FF777777"/>
      </bottom>
    </border>
    <border>
      <right style="thin">
        <color rgb="FF777777"/>
      </right>
      <bottom style="thin">
        <color rgb="FF777777"/>
      </bottom>
    </border>
    <border>
      <left style="thin">
        <color rgb="FFA6A6A6"/>
      </left>
      <top style="thin">
        <color rgb="FFA6A6A6"/>
      </top>
      <bottom style="thin">
        <color rgb="FFA6A6A6"/>
      </bottom>
    </border>
    <border>
      <top style="thin">
        <color rgb="FFA6A6A6"/>
      </top>
      <bottom style="thin">
        <color rgb="FFA6A6A6"/>
      </bottom>
    </border>
    <border>
      <right style="thin">
        <color rgb="FFA6A6A6"/>
      </right>
      <top style="thin">
        <color rgb="FFA6A6A6"/>
      </top>
      <bottom style="thin">
        <color rgb="FFA6A6A6"/>
      </bottom>
    </border>
  </borders>
  <cellStyleXfs count="8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57" fillId="53" borderId="53"/>
    <xf numFmtId="4" fontId="58" fillId="53" borderId="53" applyFont="0" applyFill="0" applyBorder="0" applyAlignment="0" applyProtection="0"/>
    <xf numFmtId="0" fontId="58" fillId="55" borderId="53" applyNumberFormat="0" applyFont="0" applyBorder="0" applyAlignment="0" applyProtection="0"/>
    <xf numFmtId="0" fontId="58" fillId="54" borderId="53" applyNumberFormat="0" applyFont="0" applyBorder="0" applyAlignment="0" applyProtection="0"/>
    <xf numFmtId="0" fontId="58" fillId="56" borderId="53" applyNumberFormat="0" applyFont="0" applyBorder="0" applyAlignment="0" applyProtection="0"/>
    <xf numFmtId="0" fontId="58" fillId="53" borderId="53" applyNumberFormat="0" applyFont="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120" fillId="109" borderId="106"/>
    <xf numFmtId="4" fontId="121" fillId="109" borderId="106" applyFont="0" applyFill="0" applyBorder="0" applyAlignment="0" applyProtection="0"/>
    <xf numFmtId="0" fontId="121" fillId="111" borderId="106" applyNumberFormat="0" applyFont="0" applyBorder="0" applyAlignment="0" applyProtection="0"/>
    <xf numFmtId="0" fontId="121" fillId="110" borderId="106" applyNumberFormat="0" applyFont="0" applyBorder="0" applyAlignment="0" applyProtection="0"/>
    <xf numFmtId="0" fontId="121" fillId="112" borderId="106" applyNumberFormat="0" applyFont="0" applyBorder="0" applyAlignment="0" applyProtection="0"/>
    <xf numFmtId="0" fontId="121" fillId="109" borderId="106" applyNumberFormat="0" applyFont="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77" fillId="162" borderId="159"/>
    <xf numFmtId="4" fontId="178" fillId="162" borderId="159" applyFont="0" applyFill="0" applyBorder="0" applyAlignment="0" applyProtection="0"/>
    <xf numFmtId="0" fontId="178" fillId="164" borderId="159" applyNumberFormat="0" applyFont="0" applyBorder="0" applyAlignment="0" applyProtection="0"/>
    <xf numFmtId="0" fontId="178" fillId="163" borderId="159" applyNumberFormat="0" applyFont="0" applyBorder="0" applyAlignment="0" applyProtection="0"/>
    <xf numFmtId="0" fontId="178" fillId="165" borderId="159" applyNumberFormat="0" applyFont="0" applyBorder="0" applyAlignment="0" applyProtection="0"/>
    <xf numFmtId="0" fontId="178" fillId="162" borderId="159" applyNumberFormat="0" applyFont="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cellStyleXfs>
  <cellXfs count="2038">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57" fillId="53" borderId="53" xfId="20"/>
    <xf numFmtId="0" fontId="57" fillId="57" borderId="53" xfId="20" applyFill="1"/>
    <xf numFmtId="0" fontId="66" fillId="57" borderId="53" xfId="20" applyFont="1" applyFill="1"/>
    <xf numFmtId="0" fontId="66" fillId="53" borderId="69" xfId="20" applyFont="1" applyBorder="1" applyAlignment="1">
      <alignment horizontal="center" vertical="center"/>
    </xf>
    <xf numFmtId="0" fontId="57" fillId="60" borderId="55" xfId="20" applyFill="1" applyBorder="1"/>
    <xf numFmtId="0" fontId="57" fillId="61" borderId="63" xfId="20" applyFill="1" applyBorder="1"/>
    <xf numFmtId="0" fontId="68" fillId="62" borderId="56" xfId="20" applyFont="1" applyFill="1" applyBorder="1" applyAlignment="1">
      <alignment horizontal="center" vertical="center" wrapText="1"/>
    </xf>
    <xf numFmtId="0" fontId="57" fillId="57" borderId="53" xfId="20" applyFill="1" applyAlignment="1">
      <alignment horizontal="left" vertical="center"/>
    </xf>
    <xf numFmtId="0" fontId="68" fillId="60" borderId="62" xfId="20" applyFont="1" applyFill="1" applyBorder="1" applyAlignment="1">
      <alignment horizontal="center" vertical="center" wrapText="1"/>
    </xf>
    <xf numFmtId="0" fontId="68" fillId="62" borderId="62" xfId="20" applyFont="1" applyFill="1" applyBorder="1" applyAlignment="1">
      <alignment horizontal="center" vertical="center" wrapText="1"/>
    </xf>
    <xf numFmtId="0" fontId="66" fillId="53" borderId="70" xfId="20" applyFont="1" applyBorder="1" applyAlignment="1">
      <alignment horizontal="center" vertical="center"/>
    </xf>
    <xf numFmtId="0" fontId="57" fillId="61" borderId="62" xfId="20" applyFill="1" applyBorder="1"/>
    <xf numFmtId="0" fontId="57" fillId="63" borderId="62" xfId="20" applyFill="1" applyBorder="1"/>
    <xf numFmtId="0" fontId="57" fillId="64" borderId="64" xfId="20" applyFill="1" applyBorder="1"/>
    <xf numFmtId="0" fontId="68" fillId="61" borderId="62" xfId="20" applyFont="1" applyFill="1" applyBorder="1" applyAlignment="1">
      <alignment horizontal="center" vertical="center" wrapText="1"/>
    </xf>
    <xf numFmtId="0" fontId="68" fillId="64" borderId="62" xfId="20" applyFont="1" applyFill="1" applyBorder="1" applyAlignment="1">
      <alignment horizontal="center" vertical="center" wrapText="1"/>
    </xf>
    <xf numFmtId="0" fontId="57" fillId="64" borderId="62" xfId="20" applyFill="1" applyBorder="1"/>
    <xf numFmtId="0" fontId="68" fillId="63" borderId="62" xfId="20" applyFont="1" applyFill="1" applyBorder="1" applyAlignment="1">
      <alignment horizontal="center" vertical="center" wrapText="1"/>
    </xf>
    <xf numFmtId="0" fontId="68" fillId="65" borderId="62" xfId="20" applyFont="1" applyFill="1" applyBorder="1" applyAlignment="1">
      <alignment horizontal="center" vertical="center" wrapText="1"/>
    </xf>
    <xf numFmtId="0" fontId="66" fillId="53" borderId="71" xfId="20" applyFont="1" applyBorder="1" applyAlignment="1">
      <alignment horizontal="center" vertical="center"/>
    </xf>
    <xf numFmtId="0" fontId="68" fillId="65" borderId="57" xfId="20" applyFont="1" applyFill="1" applyBorder="1" applyAlignment="1">
      <alignment horizontal="center" vertical="center" wrapText="1"/>
    </xf>
    <xf numFmtId="0" fontId="68" fillId="65" borderId="65" xfId="20" applyFont="1" applyFill="1" applyBorder="1" applyAlignment="1">
      <alignment horizontal="center" vertical="center" wrapText="1"/>
    </xf>
    <xf numFmtId="0" fontId="68" fillId="65" borderId="58" xfId="20" applyFont="1" applyFill="1" applyBorder="1" applyAlignment="1">
      <alignment horizontal="center" vertical="center" wrapText="1"/>
    </xf>
    <xf numFmtId="0" fontId="66" fillId="53" borderId="53" xfId="20" applyFont="1"/>
    <xf numFmtId="0" fontId="66" fillId="53" borderId="72" xfId="20" applyFont="1" applyBorder="1" applyAlignment="1">
      <alignment horizontal="center" vertical="center"/>
    </xf>
    <xf numFmtId="0" fontId="66" fillId="53" borderId="73" xfId="20" applyFont="1" applyBorder="1" applyAlignment="1">
      <alignment horizontal="center" vertical="center"/>
    </xf>
    <xf numFmtId="0" fontId="57" fillId="66" borderId="63" xfId="20" applyFill="1" applyBorder="1"/>
    <xf numFmtId="0" fontId="69" fillId="66" borderId="62" xfId="20" applyFont="1" applyFill="1" applyBorder="1" applyAlignment="1">
      <alignment horizontal="center" vertical="center" wrapText="1"/>
    </xf>
    <xf numFmtId="0" fontId="57" fillId="66" borderId="61" xfId="20" applyFill="1" applyBorder="1"/>
    <xf numFmtId="0" fontId="57" fillId="63" borderId="61" xfId="20" applyFill="1" applyBorder="1"/>
    <xf numFmtId="0" fontId="57" fillId="62" borderId="62" xfId="20" applyFill="1" applyBorder="1"/>
    <xf numFmtId="0" fontId="59" fillId="57" borderId="53" xfId="20" applyFont="1" applyFill="1" applyAlignment="1">
      <alignment horizontal="left" vertical="center"/>
    </xf>
    <xf numFmtId="0" fontId="59" fillId="57" borderId="53" xfId="20" applyFont="1" applyFill="1" applyAlignment="1">
      <alignment horizontal="left" vertical="center" wrapText="1"/>
    </xf>
    <xf numFmtId="0" fontId="59" fillId="57" borderId="55" xfId="20" applyFont="1" applyFill="1" applyBorder="1" applyAlignment="1">
      <alignment horizontal="left" vertical="center" wrapText="1"/>
    </xf>
    <xf numFmtId="0" fontId="71" fillId="57" borderId="56" xfId="20" applyFont="1" applyFill="1" applyBorder="1" applyAlignment="1">
      <alignment horizontal="left" vertical="center" wrapText="1"/>
    </xf>
    <xf numFmtId="0" fontId="59" fillId="57" borderId="66" xfId="20" applyFont="1" applyFill="1" applyBorder="1" applyAlignment="1">
      <alignment horizontal="left" vertical="center" wrapText="1"/>
    </xf>
    <xf numFmtId="0" fontId="71" fillId="57" borderId="68" xfId="20" applyFont="1" applyFill="1" applyBorder="1" applyAlignment="1">
      <alignment horizontal="left" vertical="center" wrapText="1"/>
    </xf>
    <xf numFmtId="0" fontId="59" fillId="57" borderId="61" xfId="20" applyFont="1" applyFill="1" applyBorder="1" applyAlignment="1">
      <alignment horizontal="left" vertical="center" wrapText="1"/>
    </xf>
    <xf numFmtId="0" fontId="71" fillId="57" borderId="64" xfId="20" applyFont="1" applyFill="1" applyBorder="1" applyAlignment="1">
      <alignment horizontal="left" vertical="center" wrapText="1"/>
    </xf>
    <xf numFmtId="0" fontId="59" fillId="57" borderId="87" xfId="20" applyFont="1" applyFill="1" applyBorder="1" applyAlignment="1">
      <alignment horizontal="left" vertical="center" wrapText="1"/>
    </xf>
    <xf numFmtId="0" fontId="71" fillId="57" borderId="88" xfId="20" applyFont="1" applyFill="1" applyBorder="1" applyAlignment="1">
      <alignment horizontal="left" vertical="center" wrapText="1"/>
    </xf>
    <xf numFmtId="0" fontId="59" fillId="57" borderId="57" xfId="20" applyFont="1" applyFill="1" applyBorder="1" applyAlignment="1">
      <alignment horizontal="left" vertical="center" wrapText="1"/>
    </xf>
    <xf numFmtId="0" fontId="71" fillId="57" borderId="58" xfId="20" applyFont="1" applyFill="1" applyBorder="1" applyAlignment="1">
      <alignment horizontal="left" vertical="center" wrapText="1"/>
    </xf>
    <xf numFmtId="164" fontId="71" fillId="57" borderId="58" xfId="20" applyNumberFormat="1" applyFont="1" applyFill="1" applyBorder="1" applyAlignment="1">
      <alignment horizontal="left" vertical="center" wrapText="1"/>
    </xf>
    <xf numFmtId="0" fontId="79" fillId="53" borderId="62" xfId="20" applyFont="1" applyBorder="1" applyAlignment="1">
      <alignment horizontal="center" vertical="center"/>
    </xf>
    <xf numFmtId="0" fontId="80" fillId="65" borderId="62" xfId="20" applyFont="1" applyFill="1" applyBorder="1" applyAlignment="1">
      <alignment horizontal="center" vertical="center" wrapText="1"/>
    </xf>
    <xf numFmtId="0" fontId="62" fillId="57" borderId="53" xfId="20" applyFont="1" applyFill="1"/>
    <xf numFmtId="0" fontId="62" fillId="57" borderId="53" xfId="20" applyFont="1" applyFill="1" applyAlignment="1">
      <alignment horizontal="center" vertical="center" wrapText="1"/>
    </xf>
    <xf numFmtId="0" fontId="62" fillId="57" borderId="53" xfId="20" applyFont="1" applyFill="1" applyAlignment="1">
      <alignment horizontal="left" vertical="top" wrapText="1"/>
    </xf>
    <xf numFmtId="0" fontId="62" fillId="57" borderId="53" xfId="20" applyFont="1" applyFill="1" applyAlignment="1">
      <alignment horizontal="justify"/>
    </xf>
    <xf numFmtId="0" fontId="62" fillId="57" borderId="53" xfId="20" applyFont="1" applyFill="1" applyAlignment="1">
      <alignment horizontal="center" vertical="center"/>
    </xf>
    <xf numFmtId="0" fontId="62" fillId="53" borderId="53" xfId="20" applyFont="1"/>
    <xf numFmtId="0" fontId="63" fillId="57" borderId="53" xfId="20" applyFont="1" applyFill="1" applyAlignment="1">
      <alignment vertical="center"/>
    </xf>
    <xf numFmtId="0" fontId="63" fillId="53" borderId="53" xfId="20" applyFont="1" applyAlignment="1">
      <alignment vertical="center"/>
    </xf>
    <xf numFmtId="0" fontId="62" fillId="53" borderId="53" xfId="20" applyFont="1" applyAlignment="1">
      <alignment horizontal="center" vertical="center" wrapText="1"/>
    </xf>
    <xf numFmtId="0" fontId="62" fillId="53" borderId="53" xfId="20" applyFont="1" applyAlignment="1">
      <alignment horizontal="left" vertical="top" wrapText="1"/>
    </xf>
    <xf numFmtId="0" fontId="62" fillId="53" borderId="53" xfId="20" applyFont="1" applyAlignment="1">
      <alignment horizontal="justify"/>
    </xf>
    <xf numFmtId="0" fontId="62" fillId="53" borderId="53" xfId="20" applyFont="1" applyAlignment="1">
      <alignment horizontal="center" vertical="center"/>
    </xf>
    <xf numFmtId="0" fontId="71" fillId="57" borderId="53" xfId="20" applyFont="1" applyFill="1" applyAlignment="1">
      <alignment horizontal="left" vertical="center" wrapText="1"/>
    </xf>
    <xf numFmtId="0" fontId="65" fillId="57" borderId="53" xfId="20" applyFont="1" applyFill="1" applyAlignment="1">
      <alignment horizontal="left" vertical="center"/>
    </xf>
    <xf numFmtId="0" fontId="65" fillId="53" borderId="53" xfId="20" applyFont="1"/>
    <xf numFmtId="0" fontId="84" fillId="53" borderId="53" xfId="20" applyFont="1"/>
    <xf numFmtId="0" fontId="84" fillId="57" borderId="53" xfId="20" applyFont="1" applyFill="1"/>
    <xf numFmtId="0" fontId="80" fillId="65" borderId="76" xfId="20" applyFont="1" applyFill="1" applyBorder="1" applyAlignment="1">
      <alignment horizontal="center" vertical="center" wrapText="1"/>
    </xf>
    <xf numFmtId="0" fontId="79" fillId="53" borderId="76" xfId="20" applyFont="1" applyBorder="1" applyAlignment="1">
      <alignment horizontal="center" vertical="center"/>
    </xf>
    <xf numFmtId="0" fontId="80" fillId="65" borderId="98" xfId="20" applyFont="1" applyFill="1" applyBorder="1" applyAlignment="1">
      <alignment horizontal="center" vertical="center" wrapText="1"/>
    </xf>
    <xf numFmtId="0" fontId="79" fillId="53" borderId="98" xfId="20" applyFont="1" applyBorder="1" applyAlignment="1">
      <alignment horizontal="center" vertical="center"/>
    </xf>
    <xf numFmtId="0" fontId="68" fillId="65" borderId="63" xfId="20" applyFont="1" applyFill="1" applyBorder="1" applyAlignment="1">
      <alignment horizontal="center" vertical="center" wrapText="1"/>
    </xf>
    <xf numFmtId="0" fontId="68" fillId="65" borderId="100" xfId="20" applyFont="1" applyFill="1" applyBorder="1" applyAlignment="1">
      <alignment horizontal="center" vertical="center" wrapText="1"/>
    </xf>
    <xf numFmtId="0" fontId="68" fillId="65" borderId="82" xfId="20" applyFont="1" applyFill="1" applyBorder="1" applyAlignment="1">
      <alignment horizontal="center" vertical="center" wrapText="1"/>
    </xf>
    <xf numFmtId="0" fontId="70" fillId="53" borderId="61" xfId="20" applyFont="1" applyBorder="1" applyAlignment="1">
      <alignment vertical="top" wrapText="1"/>
    </xf>
    <xf numFmtId="0" fontId="79" fillId="53" borderId="64" xfId="20" applyFont="1" applyBorder="1" applyAlignment="1">
      <alignment horizontal="center" vertical="center"/>
    </xf>
    <xf numFmtId="0" fontId="70" fillId="53" borderId="77" xfId="20" applyFont="1" applyBorder="1" applyAlignment="1">
      <alignment vertical="top" wrapText="1"/>
    </xf>
    <xf numFmtId="0" fontId="57" fillId="86" borderId="99" xfId="20" applyFill="1" applyBorder="1" applyAlignment="1">
      <alignment horizontal="center"/>
    </xf>
    <xf numFmtId="0" fontId="57" fillId="90" borderId="99" xfId="20" applyFill="1" applyBorder="1" applyAlignment="1">
      <alignment horizontal="center"/>
    </xf>
    <xf numFmtId="0" fontId="57" fillId="91" borderId="99" xfId="20" applyFill="1" applyBorder="1" applyAlignment="1">
      <alignment horizontal="center"/>
    </xf>
    <xf numFmtId="0" fontId="57" fillId="88" borderId="99" xfId="20" applyFill="1" applyBorder="1" applyAlignment="1">
      <alignment horizontal="center"/>
    </xf>
    <xf numFmtId="0" fontId="57" fillId="64" borderId="99" xfId="20" applyFill="1" applyBorder="1" applyAlignment="1">
      <alignment horizontal="center"/>
    </xf>
    <xf numFmtId="0" fontId="88" fillId="53" borderId="53" xfId="20" applyFont="1" applyAlignment="1"/>
    <xf numFmtId="0" fontId="90" fillId="59" borderId="55" xfId="20" applyFont="1" applyFill="1" applyBorder="1" applyAlignment="1">
      <alignment horizontal="center" vertical="center" wrapText="1"/>
    </xf>
    <xf numFmtId="0" fontId="90" fillId="59" borderId="97" xfId="20" applyFont="1" applyFill="1" applyBorder="1" applyAlignment="1">
      <alignment vertical="center" wrapText="1"/>
    </xf>
    <xf numFmtId="0" fontId="73" fillId="70" borderId="57" xfId="20" applyFont="1" applyFill="1" applyBorder="1" applyAlignment="1">
      <alignment horizontal="center" vertical="center" wrapText="1"/>
    </xf>
    <xf numFmtId="0" fontId="73" fillId="70" borderId="58" xfId="20" applyFont="1" applyFill="1" applyBorder="1" applyAlignment="1">
      <alignment horizontal="center" vertical="center" wrapText="1"/>
    </xf>
    <xf numFmtId="0" fontId="73" fillId="59" borderId="57" xfId="20" applyFont="1" applyFill="1" applyBorder="1" applyAlignment="1">
      <alignment horizontal="center" vertical="center" wrapText="1"/>
    </xf>
    <xf numFmtId="0" fontId="91" fillId="53" borderId="65" xfId="20" applyFont="1" applyBorder="1" applyAlignment="1"/>
    <xf numFmtId="0" fontId="91" fillId="57" borderId="65" xfId="20" applyFont="1" applyFill="1" applyBorder="1" applyAlignment="1"/>
    <xf numFmtId="0" fontId="73" fillId="69" borderId="65" xfId="20" applyFont="1" applyFill="1" applyBorder="1" applyAlignment="1">
      <alignment horizontal="center" vertical="center" wrapText="1"/>
    </xf>
    <xf numFmtId="0" fontId="73" fillId="69" borderId="58" xfId="20" applyFont="1" applyFill="1" applyBorder="1" applyAlignment="1">
      <alignment horizontal="center" vertical="center" wrapText="1"/>
    </xf>
    <xf numFmtId="0" fontId="91" fillId="53" borderId="62" xfId="20" applyFont="1" applyBorder="1"/>
    <xf numFmtId="0" fontId="91" fillId="53" borderId="62" xfId="20" applyFont="1" applyBorder="1" applyAlignment="1">
      <alignment wrapText="1"/>
    </xf>
    <xf numFmtId="0" fontId="91" fillId="53" borderId="62" xfId="20" applyFont="1" applyBorder="1" applyAlignment="1">
      <alignment wrapText="1"/>
    </xf>
    <xf numFmtId="0" fontId="91" fillId="57" borderId="62" xfId="20" applyFont="1" applyFill="1" applyBorder="1"/>
    <xf numFmtId="0" fontId="91" fillId="81" borderId="62" xfId="20" applyFont="1" applyFill="1" applyBorder="1"/>
    <xf numFmtId="0" fontId="91" fillId="81" borderId="62" xfId="20" applyFont="1" applyFill="1" applyBorder="1" applyAlignment="1">
      <alignment wrapText="1"/>
    </xf>
    <xf numFmtId="0" fontId="91" fillId="81" borderId="62" xfId="20" applyFont="1" applyFill="1" applyBorder="1" applyAlignment="1">
      <alignment wrapText="1"/>
    </xf>
    <xf numFmtId="0" fontId="91" fillId="77" borderId="62" xfId="20" applyFont="1" applyFill="1" applyBorder="1"/>
    <xf numFmtId="0" fontId="91" fillId="75" borderId="62" xfId="20" applyFont="1" applyFill="1" applyBorder="1"/>
    <xf numFmtId="0" fontId="91" fillId="75" borderId="62" xfId="20" applyFont="1" applyFill="1" applyBorder="1" applyAlignment="1">
      <alignment wrapText="1"/>
    </xf>
    <xf numFmtId="0" fontId="91" fillId="75" borderId="62" xfId="20" applyFont="1" applyFill="1" applyBorder="1" applyAlignment="1">
      <alignment wrapText="1"/>
    </xf>
    <xf numFmtId="0" fontId="91" fillId="74" borderId="62" xfId="20" applyFont="1" applyFill="1" applyBorder="1"/>
    <xf numFmtId="0" fontId="92" fillId="59" borderId="57" xfId="20" applyFont="1" applyFill="1" applyBorder="1" applyAlignment="1">
      <alignment horizontal="center" vertical="center" wrapText="1"/>
    </xf>
    <xf numFmtId="0" fontId="93" fillId="53" borderId="65" xfId="20" applyFont="1" applyBorder="1" applyAlignment="1"/>
    <xf numFmtId="0" fontId="93" fillId="57" borderId="65" xfId="20" applyFont="1" applyFill="1" applyBorder="1" applyAlignment="1"/>
    <xf numFmtId="0" fontId="92" fillId="69" borderId="65" xfId="20" applyFont="1" applyFill="1" applyBorder="1" applyAlignment="1">
      <alignment horizontal="center" vertical="center" wrapText="1"/>
    </xf>
    <xf numFmtId="0" fontId="91" fillId="94" borderId="62" xfId="20" applyFont="1" applyFill="1" applyBorder="1"/>
    <xf numFmtId="0" fontId="91" fillId="94" borderId="62" xfId="20" applyFont="1" applyFill="1" applyBorder="1" applyAlignment="1">
      <alignment wrapText="1"/>
    </xf>
    <xf numFmtId="0" fontId="91" fillId="94" borderId="62" xfId="20" applyFont="1" applyFill="1" applyBorder="1" applyAlignment="1">
      <alignment wrapText="1"/>
    </xf>
    <xf numFmtId="0" fontId="91" fillId="95" borderId="62" xfId="20" applyFont="1" applyFill="1" applyBorder="1"/>
    <xf numFmtId="0" fontId="91" fillId="95" borderId="62" xfId="20" applyFont="1" applyFill="1" applyBorder="1" applyAlignment="1">
      <alignment wrapText="1"/>
    </xf>
    <xf numFmtId="0" fontId="91" fillId="95" borderId="62" xfId="20" applyFont="1" applyFill="1" applyBorder="1" applyAlignment="1">
      <alignment wrapText="1"/>
    </xf>
    <xf numFmtId="0" fontId="91" fillId="57" borderId="62" xfId="20" applyFont="1" applyFill="1" applyBorder="1" applyAlignment="1">
      <alignment horizontal="center" vertical="center" wrapText="1"/>
    </xf>
    <xf numFmtId="0" fontId="59" fillId="59" borderId="69" xfId="20" applyFont="1" applyFill="1" applyBorder="1" applyAlignment="1">
      <alignment horizontal="center" vertical="center" wrapText="1"/>
    </xf>
    <xf numFmtId="0" fontId="59" fillId="59" borderId="97" xfId="20" applyFont="1" applyFill="1" applyBorder="1" applyAlignment="1">
      <alignment horizontal="center" vertical="center" wrapText="1"/>
    </xf>
    <xf numFmtId="0" fontId="63" fillId="57" borderId="53" xfId="20" applyFont="1" applyFill="1" applyAlignment="1">
      <alignment horizontal="center" vertical="center"/>
    </xf>
    <xf numFmtId="0" fontId="63" fillId="53" borderId="53" xfId="20" applyFont="1" applyAlignment="1">
      <alignment horizontal="center" vertical="center"/>
    </xf>
    <xf numFmtId="0" fontId="76" fillId="57" borderId="53" xfId="20" applyFont="1" applyFill="1" applyAlignment="1">
      <alignment horizontal="center" vertical="center"/>
    </xf>
    <xf numFmtId="0" fontId="76" fillId="53" borderId="53" xfId="20" applyFont="1" applyAlignment="1">
      <alignment horizontal="center" vertical="center"/>
    </xf>
    <xf numFmtId="0" fontId="76" fillId="53" borderId="62" xfId="20" applyFont="1" applyBorder="1" applyAlignment="1">
      <alignment horizontal="center" vertical="center"/>
    </xf>
    <xf numFmtId="0" fontId="93" fillId="53" borderId="65" xfId="20" applyFont="1" applyBorder="1" applyAlignment="1">
      <alignment horizontal="center" vertical="center"/>
    </xf>
    <xf numFmtId="0" fontId="93" fillId="57" borderId="65" xfId="20" applyFont="1" applyFill="1" applyBorder="1" applyAlignment="1">
      <alignment horizontal="center" vertical="center"/>
    </xf>
    <xf numFmtId="0" fontId="93" fillId="68" borderId="58" xfId="20" applyFont="1" applyFill="1" applyBorder="1" applyAlignment="1">
      <alignment horizontal="center" vertical="center" wrapText="1"/>
    </xf>
    <xf numFmtId="0" fontId="93" fillId="70" borderId="57" xfId="20" applyFont="1" applyFill="1" applyBorder="1" applyAlignment="1">
      <alignment horizontal="center" vertical="center" wrapText="1"/>
    </xf>
    <xf numFmtId="0" fontId="93" fillId="70" borderId="58" xfId="20" applyFont="1" applyFill="1" applyBorder="1" applyAlignment="1">
      <alignment horizontal="center" vertical="center" wrapText="1"/>
    </xf>
    <xf numFmtId="0" fontId="93" fillId="59" borderId="57" xfId="20" applyFont="1" applyFill="1" applyBorder="1" applyAlignment="1">
      <alignment horizontal="center" vertical="center" wrapText="1"/>
    </xf>
    <xf numFmtId="0" fontId="93" fillId="69" borderId="57" xfId="20" applyFont="1" applyFill="1" applyBorder="1" applyAlignment="1">
      <alignment horizontal="center" vertical="center" wrapText="1"/>
    </xf>
    <xf numFmtId="0" fontId="93" fillId="69" borderId="65" xfId="20" applyFont="1" applyFill="1" applyBorder="1" applyAlignment="1">
      <alignment horizontal="center" vertical="center" wrapText="1"/>
    </xf>
    <xf numFmtId="0" fontId="93" fillId="69" borderId="92" xfId="20" applyFont="1" applyFill="1" applyBorder="1" applyAlignment="1">
      <alignment horizontal="center" vertical="center" wrapText="1"/>
    </xf>
    <xf numFmtId="0" fontId="93" fillId="84" borderId="61" xfId="20" applyFont="1" applyFill="1" applyBorder="1" applyAlignment="1">
      <alignment horizontal="center" vertical="center" wrapText="1"/>
    </xf>
    <xf numFmtId="0" fontId="93" fillId="84" borderId="64" xfId="20" applyFont="1" applyFill="1" applyBorder="1" applyAlignment="1">
      <alignment horizontal="center" vertical="center" wrapText="1"/>
    </xf>
    <xf numFmtId="0" fontId="94" fillId="60" borderId="65" xfId="20" applyFont="1" applyFill="1" applyBorder="1" applyAlignment="1">
      <alignment horizontal="center" vertical="center" wrapText="1"/>
    </xf>
    <xf numFmtId="0" fontId="95" fillId="66" borderId="65" xfId="20" applyFont="1" applyFill="1" applyBorder="1" applyAlignment="1">
      <alignment horizontal="center" vertical="center" wrapText="1"/>
    </xf>
    <xf numFmtId="0" fontId="94" fillId="61" borderId="65" xfId="20" applyFont="1" applyFill="1" applyBorder="1" applyAlignment="1">
      <alignment horizontal="center" vertical="center" wrapText="1"/>
    </xf>
    <xf numFmtId="0" fontId="94" fillId="63" borderId="65" xfId="20" applyFont="1" applyFill="1" applyBorder="1" applyAlignment="1">
      <alignment horizontal="center" vertical="center" wrapText="1"/>
    </xf>
    <xf numFmtId="0" fontId="94" fillId="62" borderId="65" xfId="20" applyFont="1" applyFill="1" applyBorder="1" applyAlignment="1">
      <alignment horizontal="center" vertical="center" wrapText="1"/>
    </xf>
    <xf numFmtId="0" fontId="94" fillId="64" borderId="65" xfId="20" applyFont="1" applyFill="1" applyBorder="1" applyAlignment="1">
      <alignment horizontal="center" vertical="center" wrapText="1"/>
    </xf>
    <xf numFmtId="0" fontId="94" fillId="65" borderId="65" xfId="20" applyFont="1" applyFill="1" applyBorder="1" applyAlignment="1">
      <alignment horizontal="center" vertical="center" wrapText="1"/>
    </xf>
    <xf numFmtId="0" fontId="75" fillId="57" borderId="53" xfId="20" applyFont="1" applyFill="1" applyAlignment="1">
      <alignment horizontal="left" vertical="center"/>
    </xf>
    <xf numFmtId="0" fontId="75" fillId="53" borderId="53" xfId="20" applyFont="1"/>
    <xf numFmtId="0" fontId="75" fillId="92" borderId="53" xfId="20" applyFont="1" applyFill="1"/>
    <xf numFmtId="0" fontId="91" fillId="67" borderId="62" xfId="20" applyFont="1" applyFill="1" applyBorder="1" applyAlignment="1">
      <alignment horizontal="left" vertical="center" wrapText="1"/>
    </xf>
    <xf numFmtId="0" fontId="91" fillId="70" borderId="62" xfId="20" applyFont="1" applyFill="1" applyBorder="1" applyAlignment="1">
      <alignment horizontal="center" vertical="center" wrapText="1"/>
    </xf>
    <xf numFmtId="0" fontId="91" fillId="70" borderId="62" xfId="20" applyFont="1" applyFill="1" applyBorder="1" applyAlignment="1">
      <alignment horizontal="left" vertical="center" wrapText="1"/>
    </xf>
    <xf numFmtId="0" fontId="91" fillId="69" borderId="62" xfId="20" applyFont="1" applyFill="1" applyBorder="1" applyAlignment="1">
      <alignment horizontal="center" vertical="center" wrapText="1"/>
    </xf>
    <xf numFmtId="0" fontId="91" fillId="69" borderId="62" xfId="20" applyFont="1" applyFill="1" applyBorder="1" applyAlignment="1">
      <alignment vertical="center" wrapText="1"/>
    </xf>
    <xf numFmtId="0" fontId="91" fillId="77" borderId="62" xfId="20" applyFont="1" applyFill="1" applyBorder="1" applyAlignment="1">
      <alignment horizontal="center" vertical="center" wrapText="1"/>
    </xf>
    <xf numFmtId="0" fontId="91" fillId="82" borderId="62" xfId="20" applyFont="1" applyFill="1" applyBorder="1" applyAlignment="1">
      <alignment horizontal="center" vertical="center" wrapText="1"/>
    </xf>
    <xf numFmtId="0" fontId="91" fillId="82" borderId="62" xfId="20" applyFont="1" applyFill="1" applyBorder="1" applyAlignment="1">
      <alignment horizontal="left" vertical="center" wrapText="1"/>
    </xf>
    <xf numFmtId="0" fontId="91" fillId="74" borderId="62" xfId="20" applyFont="1" applyFill="1" applyBorder="1" applyAlignment="1">
      <alignment horizontal="center" vertical="center" wrapText="1"/>
    </xf>
    <xf numFmtId="0" fontId="91" fillId="76" borderId="62" xfId="20" applyFont="1" applyFill="1" applyBorder="1" applyAlignment="1">
      <alignment horizontal="center" vertical="center" wrapText="1"/>
    </xf>
    <xf numFmtId="0" fontId="91" fillId="76"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94" borderId="62" xfId="20" applyFont="1" applyFill="1" applyBorder="1" applyAlignment="1">
      <alignment horizontal="center" vertical="center" wrapText="1"/>
    </xf>
    <xf numFmtId="0" fontId="91" fillId="57" borderId="77" xfId="20" applyFont="1" applyFill="1" applyBorder="1" applyAlignment="1">
      <alignment horizontal="center" vertical="center" wrapText="1"/>
    </xf>
    <xf numFmtId="0" fontId="91" fillId="57" borderId="61" xfId="20" applyFont="1" applyFill="1" applyBorder="1" applyAlignment="1">
      <alignment horizontal="center" vertical="center" wrapText="1"/>
    </xf>
    <xf numFmtId="0" fontId="91" fillId="77" borderId="61" xfId="20" applyFont="1" applyFill="1" applyBorder="1" applyAlignment="1">
      <alignment horizontal="center" vertical="center" wrapText="1"/>
    </xf>
    <xf numFmtId="0" fontId="91" fillId="57" borderId="66" xfId="20" applyFont="1" applyFill="1" applyBorder="1" applyAlignment="1">
      <alignment horizontal="center" vertical="center" wrapText="1"/>
    </xf>
    <xf numFmtId="0" fontId="100" fillId="96" borderId="85" xfId="20" applyFont="1" applyFill="1" applyBorder="1" applyAlignment="1">
      <alignment horizontal="center" vertical="center" wrapText="1"/>
    </xf>
    <xf numFmtId="0" fontId="100" fillId="96" borderId="102" xfId="20" applyFont="1" applyFill="1" applyBorder="1" applyAlignment="1">
      <alignment horizontal="center" vertical="center" wrapText="1"/>
    </xf>
    <xf numFmtId="0" fontId="100" fillId="97" borderId="57" xfId="20" applyFont="1" applyFill="1" applyBorder="1" applyAlignment="1">
      <alignment horizontal="center" vertical="center" wrapText="1"/>
    </xf>
    <xf numFmtId="0" fontId="100" fillId="97" borderId="102" xfId="20" applyFont="1" applyFill="1" applyBorder="1" applyAlignment="1">
      <alignment horizontal="center" vertical="center" wrapText="1"/>
    </xf>
    <xf numFmtId="0" fontId="73" fillId="58" borderId="57" xfId="20" applyFont="1" applyFill="1" applyBorder="1" applyAlignment="1">
      <alignment horizontal="center" vertical="center" wrapText="1"/>
    </xf>
    <xf numFmtId="0" fontId="73" fillId="58" borderId="58" xfId="20" applyFont="1" applyFill="1" applyBorder="1" applyAlignment="1">
      <alignment horizontal="center" vertical="center" wrapText="1"/>
    </xf>
    <xf numFmtId="0" fontId="73" fillId="98" borderId="57" xfId="20" applyFont="1" applyFill="1" applyBorder="1" applyAlignment="1">
      <alignment horizontal="center" vertical="center" wrapText="1"/>
    </xf>
    <xf numFmtId="0" fontId="73" fillId="98" borderId="58" xfId="20" applyFont="1" applyFill="1" applyBorder="1" applyAlignment="1">
      <alignment horizontal="center" vertical="center" wrapText="1"/>
    </xf>
    <xf numFmtId="0" fontId="100" fillId="99" borderId="85" xfId="20" applyFont="1" applyFill="1" applyBorder="1" applyAlignment="1">
      <alignment horizontal="center" vertical="center" wrapText="1"/>
    </xf>
    <xf numFmtId="0" fontId="100" fillId="99" borderId="102"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70" borderId="62" xfId="20" applyFont="1" applyFill="1" applyBorder="1" applyAlignment="1">
      <alignment vertical="center" wrapText="1"/>
    </xf>
    <xf numFmtId="0" fontId="102" fillId="60" borderId="65" xfId="20" applyFont="1" applyFill="1" applyBorder="1" applyAlignment="1">
      <alignment horizontal="center" vertical="center" wrapText="1"/>
    </xf>
    <xf numFmtId="0" fontId="90" fillId="66" borderId="65" xfId="20" applyFont="1" applyFill="1" applyBorder="1" applyAlignment="1">
      <alignment horizontal="center" vertical="center" wrapText="1"/>
    </xf>
    <xf numFmtId="0" fontId="102" fillId="61" borderId="65" xfId="20" applyFont="1" applyFill="1" applyBorder="1" applyAlignment="1">
      <alignment horizontal="center" vertical="center" wrapText="1"/>
    </xf>
    <xf numFmtId="0" fontId="102" fillId="63" borderId="65" xfId="20" applyFont="1" applyFill="1" applyBorder="1" applyAlignment="1">
      <alignment horizontal="center" vertical="center" wrapText="1"/>
    </xf>
    <xf numFmtId="0" fontId="102" fillId="62" borderId="65" xfId="20" applyFont="1" applyFill="1" applyBorder="1" applyAlignment="1">
      <alignment horizontal="center" vertical="center" wrapText="1"/>
    </xf>
    <xf numFmtId="0" fontId="102" fillId="64" borderId="65" xfId="20" applyFont="1" applyFill="1" applyBorder="1" applyAlignment="1">
      <alignment horizontal="center" vertical="center" wrapText="1"/>
    </xf>
    <xf numFmtId="0" fontId="102" fillId="65" borderId="65" xfId="20" applyFont="1" applyFill="1" applyBorder="1" applyAlignment="1">
      <alignment horizontal="center" vertical="center" wrapText="1"/>
    </xf>
    <xf numFmtId="0" fontId="75" fillId="57" borderId="61" xfId="20" applyFont="1" applyFill="1" applyBorder="1" applyAlignment="1">
      <alignment horizontal="center" vertical="center" wrapText="1"/>
    </xf>
    <xf numFmtId="0" fontId="93" fillId="57" borderId="61" xfId="20" applyFont="1" applyFill="1" applyBorder="1" applyAlignment="1">
      <alignment horizontal="center" vertical="center" wrapText="1"/>
    </xf>
    <xf numFmtId="0" fontId="75" fillId="53" borderId="53" xfId="20" applyFont="1" applyAlignment="1">
      <alignment wrapText="1"/>
    </xf>
    <xf numFmtId="0" fontId="91" fillId="69" borderId="62" xfId="20" applyFont="1" applyFill="1" applyBorder="1" applyAlignment="1">
      <alignment horizontal="center" vertical="center" wrapText="1"/>
    </xf>
    <xf numFmtId="0" fontId="91" fillId="67" borderId="62" xfId="20" applyFont="1" applyFill="1" applyBorder="1" applyAlignment="1">
      <alignment vertical="center" wrapText="1"/>
    </xf>
    <xf numFmtId="0" fontId="103" fillId="60" borderId="65" xfId="20" applyFont="1" applyFill="1" applyBorder="1" applyAlignment="1">
      <alignment horizontal="center" vertical="center" wrapText="1"/>
    </xf>
    <xf numFmtId="0" fontId="104" fillId="66" borderId="65" xfId="20" applyFont="1" applyFill="1" applyBorder="1" applyAlignment="1">
      <alignment horizontal="center" vertical="center" wrapText="1"/>
    </xf>
    <xf numFmtId="0" fontId="103" fillId="61" borderId="65" xfId="20" applyFont="1" applyFill="1" applyBorder="1" applyAlignment="1">
      <alignment horizontal="center" vertical="center" wrapText="1"/>
    </xf>
    <xf numFmtId="0" fontId="103" fillId="63" borderId="65" xfId="20" applyFont="1" applyFill="1" applyBorder="1" applyAlignment="1">
      <alignment horizontal="center" vertical="center" wrapText="1"/>
    </xf>
    <xf numFmtId="0" fontId="103" fillId="62" borderId="65" xfId="20" applyFont="1" applyFill="1" applyBorder="1" applyAlignment="1">
      <alignment horizontal="center" vertical="center" wrapText="1"/>
    </xf>
    <xf numFmtId="0" fontId="103" fillId="64" borderId="65" xfId="20" applyFont="1" applyFill="1" applyBorder="1" applyAlignment="1">
      <alignment horizontal="center" vertical="center" wrapText="1"/>
    </xf>
    <xf numFmtId="0" fontId="103" fillId="65" borderId="65" xfId="20" applyFont="1" applyFill="1" applyBorder="1" applyAlignment="1">
      <alignment horizontal="center" vertical="center" wrapText="1"/>
    </xf>
    <xf numFmtId="0" fontId="105" fillId="65" borderId="62" xfId="20" applyFont="1" applyFill="1" applyBorder="1" applyAlignment="1">
      <alignment horizontal="center" vertical="center" wrapText="1"/>
    </xf>
    <xf numFmtId="0" fontId="105" fillId="60" borderId="62" xfId="20" applyFont="1" applyFill="1" applyBorder="1" applyAlignment="1">
      <alignment horizontal="center" vertical="center" wrapText="1"/>
    </xf>
    <xf numFmtId="0" fontId="59" fillId="66" borderId="62" xfId="20" applyFont="1" applyFill="1" applyBorder="1" applyAlignment="1">
      <alignment horizontal="center" vertical="center" wrapText="1"/>
    </xf>
    <xf numFmtId="0" fontId="105" fillId="61" borderId="62" xfId="20" applyFont="1" applyFill="1" applyBorder="1" applyAlignment="1">
      <alignment horizontal="center" vertical="center" wrapText="1"/>
    </xf>
    <xf numFmtId="0" fontId="105" fillId="63" borderId="62" xfId="20" applyFont="1" applyFill="1" applyBorder="1" applyAlignment="1">
      <alignment horizontal="center" vertical="center" wrapText="1"/>
    </xf>
    <xf numFmtId="0" fontId="105" fillId="62" borderId="62" xfId="20" applyFont="1" applyFill="1" applyBorder="1" applyAlignment="1">
      <alignment horizontal="center" vertical="center" wrapText="1"/>
    </xf>
    <xf numFmtId="0" fontId="105" fillId="64" borderId="62" xfId="20" applyFont="1" applyFill="1" applyBorder="1" applyAlignment="1">
      <alignment horizontal="center" vertical="center" wrapText="1"/>
    </xf>
    <xf numFmtId="0" fontId="75" fillId="57" borderId="53" xfId="20" applyFont="1" applyFill="1" applyAlignment="1">
      <alignment horizontal="center" vertical="center"/>
    </xf>
    <xf numFmtId="0" fontId="91" fillId="68" borderId="78" xfId="20" applyFont="1" applyFill="1" applyBorder="1" applyAlignment="1">
      <alignment horizontal="center" vertical="center" wrapText="1"/>
    </xf>
    <xf numFmtId="0" fontId="91" fillId="70" borderId="62" xfId="20" applyFont="1" applyFill="1" applyBorder="1" applyAlignment="1">
      <alignment horizontal="center" vertical="center" wrapText="1"/>
    </xf>
    <xf numFmtId="0" fontId="91" fillId="70"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75" fillId="53" borderId="53" xfId="20" applyFont="1" applyAlignment="1">
      <alignment horizontal="center" vertical="center"/>
    </xf>
    <xf numFmtId="0" fontId="75" fillId="53" borderId="62" xfId="20" applyFont="1" applyBorder="1" applyAlignment="1">
      <alignment horizontal="center" vertical="center"/>
    </xf>
    <xf numFmtId="0" fontId="91" fillId="68" borderId="62" xfId="20" applyFont="1" applyFill="1" applyBorder="1" applyAlignment="1">
      <alignment horizontal="center" vertical="center" wrapText="1"/>
    </xf>
    <xf numFmtId="0" fontId="91" fillId="79" borderId="62" xfId="20" applyFont="1" applyFill="1" applyBorder="1" applyAlignment="1">
      <alignment horizontal="center" vertical="center" wrapText="1"/>
    </xf>
    <xf numFmtId="0" fontId="91" fillId="80" borderId="62" xfId="20" applyFont="1" applyFill="1" applyBorder="1" applyAlignment="1">
      <alignment horizontal="center" vertical="center" wrapText="1"/>
    </xf>
    <xf numFmtId="0" fontId="91" fillId="83" borderId="62" xfId="20" applyFont="1" applyFill="1" applyBorder="1" applyAlignment="1">
      <alignment horizontal="center" vertical="center" wrapText="1"/>
    </xf>
    <xf numFmtId="0" fontId="91" fillId="72" borderId="62" xfId="20" applyFont="1" applyFill="1" applyBorder="1" applyAlignment="1">
      <alignment horizontal="center" vertical="center" wrapText="1"/>
    </xf>
    <xf numFmtId="0" fontId="91" fillId="73" borderId="62" xfId="20" applyFont="1" applyFill="1" applyBorder="1" applyAlignment="1">
      <alignment horizontal="center" vertical="center" wrapText="1"/>
    </xf>
    <xf numFmtId="0" fontId="91" fillId="72" borderId="67" xfId="20" applyFont="1" applyFill="1" applyBorder="1" applyAlignment="1">
      <alignment horizontal="center" vertical="center" wrapText="1"/>
    </xf>
    <xf numFmtId="0" fontId="91" fillId="73" borderId="67" xfId="20" applyFont="1" applyFill="1" applyBorder="1" applyAlignment="1">
      <alignment horizontal="center" vertical="center" wrapText="1"/>
    </xf>
    <xf numFmtId="0" fontId="91" fillId="76" borderId="67" xfId="20" applyFont="1" applyFill="1" applyBorder="1" applyAlignment="1">
      <alignment horizontal="center" vertical="center" wrapText="1"/>
    </xf>
    <xf numFmtId="0" fontId="91" fillId="70" borderId="67" xfId="20" applyFont="1" applyFill="1" applyBorder="1" applyAlignment="1">
      <alignment horizontal="center" vertical="center" wrapText="1"/>
    </xf>
    <xf numFmtId="0" fontId="62" fillId="57" borderId="53" xfId="20" applyFont="1" applyFill="1" applyAlignment="1">
      <alignment horizontal="left" vertical="center" wrapText="1"/>
    </xf>
    <xf numFmtId="0" fontId="91" fillId="57" borderId="78" xfId="20" applyFont="1" applyFill="1" applyBorder="1" applyAlignment="1">
      <alignment horizontal="left" vertical="center" wrapText="1"/>
    </xf>
    <xf numFmtId="0" fontId="91" fillId="57" borderId="62" xfId="20" applyFont="1" applyFill="1" applyBorder="1" applyAlignment="1">
      <alignment horizontal="left" vertical="center" wrapText="1"/>
    </xf>
    <xf numFmtId="0" fontId="91" fillId="57" borderId="67" xfId="20" applyFont="1" applyFill="1" applyBorder="1" applyAlignment="1">
      <alignment horizontal="left" vertical="center" wrapText="1"/>
    </xf>
    <xf numFmtId="0" fontId="98" fillId="92" borderId="78" xfId="20" applyFont="1" applyFill="1" applyBorder="1" applyAlignment="1">
      <alignment horizontal="left" vertical="center" wrapText="1"/>
    </xf>
    <xf numFmtId="0" fontId="62" fillId="53" borderId="53" xfId="20" applyFont="1" applyAlignment="1">
      <alignment horizontal="left" vertical="center" wrapText="1"/>
    </xf>
    <xf numFmtId="0" fontId="91" fillId="67" borderId="78" xfId="20" applyFont="1" applyFill="1" applyBorder="1" applyAlignment="1">
      <alignment horizontal="left" vertical="center" wrapText="1"/>
    </xf>
    <xf numFmtId="0" fontId="91" fillId="70" borderId="62" xfId="20" applyFont="1" applyFill="1" applyBorder="1" applyAlignment="1">
      <alignment horizontal="left" vertical="center" wrapText="1"/>
    </xf>
    <xf numFmtId="0" fontId="91" fillId="70" borderId="78" xfId="20" applyFont="1" applyFill="1" applyBorder="1" applyAlignment="1">
      <alignment horizontal="left" vertical="center" wrapText="1"/>
    </xf>
    <xf numFmtId="0" fontId="91" fillId="92" borderId="78" xfId="20" applyFont="1" applyFill="1" applyBorder="1" applyAlignment="1">
      <alignment horizontal="left" vertical="center" wrapText="1"/>
    </xf>
    <xf numFmtId="0" fontId="91" fillId="92" borderId="78" xfId="20" applyFont="1" applyFill="1" applyBorder="1" applyAlignment="1">
      <alignment horizontal="left" vertical="center"/>
    </xf>
    <xf numFmtId="0" fontId="91" fillId="92" borderId="78" xfId="20" applyFont="1" applyFill="1" applyBorder="1" applyAlignment="1">
      <alignment horizontal="left" vertical="center" wrapText="1"/>
    </xf>
    <xf numFmtId="0" fontId="91" fillId="69" borderId="78" xfId="20" applyFont="1" applyFill="1" applyBorder="1" applyAlignment="1">
      <alignment horizontal="left" vertical="center" wrapText="1"/>
    </xf>
    <xf numFmtId="0" fontId="91" fillId="84" borderId="78" xfId="20" applyFont="1" applyFill="1" applyBorder="1" applyAlignment="1">
      <alignment horizontal="left" vertical="center" wrapText="1"/>
    </xf>
    <xf numFmtId="0" fontId="91" fillId="67" borderId="62" xfId="20" applyFont="1" applyFill="1" applyBorder="1" applyAlignment="1">
      <alignment horizontal="left" vertical="center" wrapText="1"/>
    </xf>
    <xf numFmtId="0" fontId="91" fillId="92" borderId="62" xfId="20" applyFont="1" applyFill="1" applyBorder="1" applyAlignment="1">
      <alignment horizontal="left" vertical="center" wrapText="1"/>
    </xf>
    <xf numFmtId="0" fontId="91" fillId="92" borderId="62" xfId="20" applyFont="1" applyFill="1" applyBorder="1" applyAlignment="1">
      <alignment horizontal="left" vertical="center"/>
    </xf>
    <xf numFmtId="0" fontId="91" fillId="92"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84" borderId="62" xfId="20" applyFont="1" applyFill="1" applyBorder="1" applyAlignment="1">
      <alignment horizontal="left" vertical="center" wrapText="1"/>
    </xf>
    <xf numFmtId="0" fontId="91" fillId="78" borderId="62" xfId="20" applyFont="1" applyFill="1" applyBorder="1" applyAlignment="1">
      <alignment horizontal="left" vertical="center" wrapText="1"/>
    </xf>
    <xf numFmtId="0" fontId="91" fillId="77" borderId="62" xfId="20" applyFont="1" applyFill="1" applyBorder="1" applyAlignment="1">
      <alignment horizontal="left" vertical="center" wrapText="1"/>
    </xf>
    <xf numFmtId="0" fontId="91" fillId="83" borderId="62" xfId="20" applyFont="1" applyFill="1" applyBorder="1" applyAlignment="1">
      <alignment horizontal="left" vertical="center" wrapText="1"/>
    </xf>
    <xf numFmtId="0" fontId="91" fillId="71" borderId="62" xfId="20" applyFont="1" applyFill="1" applyBorder="1" applyAlignment="1">
      <alignment horizontal="left" vertical="center" wrapText="1"/>
    </xf>
    <xf numFmtId="0" fontId="91" fillId="76" borderId="62" xfId="20" applyFont="1" applyFill="1" applyBorder="1" applyAlignment="1">
      <alignment horizontal="left" vertical="center" wrapText="1"/>
    </xf>
    <xf numFmtId="0" fontId="91" fillId="57" borderId="78" xfId="20" applyFont="1" applyFill="1" applyBorder="1" applyAlignment="1">
      <alignment horizontal="left" vertical="center"/>
    </xf>
    <xf numFmtId="0" fontId="91" fillId="57" borderId="62" xfId="20" applyFont="1" applyFill="1" applyBorder="1" applyAlignment="1">
      <alignment horizontal="left" vertical="center"/>
    </xf>
    <xf numFmtId="0" fontId="91" fillId="71" borderId="67" xfId="20" applyFont="1" applyFill="1" applyBorder="1" applyAlignment="1">
      <alignment horizontal="left" vertical="center" wrapText="1"/>
    </xf>
    <xf numFmtId="0" fontId="91" fillId="73" borderId="67" xfId="20" applyFont="1" applyFill="1" applyBorder="1" applyAlignment="1">
      <alignment horizontal="left" vertical="center" wrapText="1"/>
    </xf>
    <xf numFmtId="0" fontId="91" fillId="74" borderId="67" xfId="20" applyFont="1" applyFill="1" applyBorder="1" applyAlignment="1">
      <alignment horizontal="left" vertical="center" wrapText="1"/>
    </xf>
    <xf numFmtId="0" fontId="91" fillId="75" borderId="67" xfId="20" applyFont="1" applyFill="1" applyBorder="1" applyAlignment="1">
      <alignment horizontal="left" vertical="center"/>
    </xf>
    <xf numFmtId="0" fontId="91" fillId="75" borderId="67" xfId="20" applyFont="1" applyFill="1" applyBorder="1" applyAlignment="1">
      <alignment horizontal="left" vertical="center" wrapText="1"/>
    </xf>
    <xf numFmtId="0" fontId="91" fillId="75" borderId="67" xfId="20" applyFont="1" applyFill="1" applyBorder="1" applyAlignment="1">
      <alignment horizontal="left" vertical="center" wrapText="1"/>
    </xf>
    <xf numFmtId="0" fontId="91" fillId="74" borderId="67" xfId="20" applyFont="1" applyFill="1" applyBorder="1" applyAlignment="1">
      <alignment horizontal="left" vertical="center"/>
    </xf>
    <xf numFmtId="0" fontId="91" fillId="85" borderId="67" xfId="20" applyFont="1" applyFill="1" applyBorder="1" applyAlignment="1">
      <alignment horizontal="left" vertical="center" wrapText="1"/>
    </xf>
    <xf numFmtId="0" fontId="91" fillId="82" borderId="62" xfId="20" applyFont="1" applyFill="1" applyBorder="1" applyAlignment="1">
      <alignment horizontal="left" vertical="center" wrapText="1"/>
    </xf>
    <xf numFmtId="0" fontId="91" fillId="93" borderId="62" xfId="20" applyFont="1" applyFill="1" applyBorder="1" applyAlignment="1">
      <alignment horizontal="left" vertical="center" wrapText="1"/>
    </xf>
    <xf numFmtId="0" fontId="91" fillId="85" borderId="62" xfId="20" applyFont="1" applyFill="1" applyBorder="1" applyAlignment="1">
      <alignment horizontal="left" vertical="center" wrapText="1"/>
    </xf>
    <xf numFmtId="0" fontId="91" fillId="76" borderId="67" xfId="20" applyFont="1" applyFill="1" applyBorder="1" applyAlignment="1">
      <alignment horizontal="left" vertical="center" wrapText="1"/>
    </xf>
    <xf numFmtId="0" fontId="91" fillId="84" borderId="67" xfId="20" applyFont="1" applyFill="1" applyBorder="1" applyAlignment="1">
      <alignment horizontal="left" vertical="center" wrapText="1"/>
    </xf>
    <xf numFmtId="0" fontId="91" fillId="84" borderId="103" xfId="20" applyFont="1" applyFill="1" applyBorder="1" applyAlignment="1">
      <alignment horizontal="left" vertical="center" wrapText="1"/>
    </xf>
    <xf numFmtId="0" fontId="91" fillId="84" borderId="74" xfId="20" applyFont="1" applyFill="1" applyBorder="1" applyAlignment="1">
      <alignment horizontal="left" vertical="center" wrapText="1"/>
    </xf>
    <xf numFmtId="0" fontId="68" fillId="53" borderId="63" xfId="20" applyFont="1" applyBorder="1" applyAlignment="1">
      <alignment horizontal="center" vertical="center" wrapText="1"/>
    </xf>
    <xf numFmtId="0" fontId="69" fillId="53" borderId="63" xfId="20" applyFont="1" applyBorder="1" applyAlignment="1">
      <alignment horizontal="center" vertical="center" wrapText="1"/>
    </xf>
    <xf numFmtId="0" fontId="68" fillId="53" borderId="56" xfId="20" applyFont="1" applyBorder="1" applyAlignment="1">
      <alignment horizontal="center" vertical="center" wrapText="1"/>
    </xf>
    <xf numFmtId="0" fontId="80" fillId="53" borderId="62" xfId="20" applyFont="1" applyBorder="1" applyAlignment="1">
      <alignment horizontal="center" vertical="center" wrapText="1"/>
    </xf>
    <xf numFmtId="0" fontId="81" fillId="53" borderId="62" xfId="20" applyFont="1" applyBorder="1" applyAlignment="1">
      <alignment horizontal="center" vertical="center" wrapText="1"/>
    </xf>
    <xf numFmtId="0" fontId="80" fillId="53" borderId="64" xfId="20" applyFont="1" applyBorder="1" applyAlignment="1">
      <alignment horizontal="center" vertical="center" wrapText="1"/>
    </xf>
    <xf numFmtId="0" fontId="64" fillId="58" borderId="57" xfId="20" applyFont="1" applyFill="1" applyBorder="1" applyAlignment="1">
      <alignment horizontal="center" vertical="center" wrapText="1"/>
    </xf>
    <xf numFmtId="0" fontId="93" fillId="58" borderId="58" xfId="20" applyFont="1" applyFill="1" applyBorder="1" applyAlignment="1">
      <alignment horizontal="center" vertical="center" wrapText="1"/>
    </xf>
    <xf numFmtId="0" fontId="91" fillId="58" borderId="78"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103" borderId="67" xfId="20" applyFont="1" applyFill="1" applyBorder="1" applyAlignment="1">
      <alignment horizontal="center" vertical="center" wrapText="1"/>
    </xf>
    <xf numFmtId="0" fontId="91" fillId="58" borderId="67" xfId="20" applyFont="1" applyFill="1" applyBorder="1" applyAlignment="1">
      <alignment horizontal="center" vertical="center" wrapText="1"/>
    </xf>
    <xf numFmtId="0" fontId="93" fillId="98" borderId="57" xfId="20" applyFont="1" applyFill="1" applyBorder="1" applyAlignment="1">
      <alignment horizontal="center" vertical="center" wrapText="1"/>
    </xf>
    <xf numFmtId="0" fontId="91" fillId="98" borderId="78"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0" borderId="67" xfId="20" applyFont="1" applyFill="1" applyBorder="1" applyAlignment="1">
      <alignment horizontal="center" vertical="center" wrapText="1"/>
    </xf>
    <xf numFmtId="0" fontId="91" fillId="98" borderId="67" xfId="20" applyFont="1" applyFill="1" applyBorder="1" applyAlignment="1">
      <alignment horizontal="center" vertical="center" wrapText="1"/>
    </xf>
    <xf numFmtId="0" fontId="106" fillId="57" borderId="62" xfId="20" applyFont="1" applyFill="1" applyBorder="1" applyAlignment="1">
      <alignment horizontal="center" vertical="center" wrapText="1"/>
    </xf>
    <xf numFmtId="0" fontId="73" fillId="70" borderId="57" xfId="20" applyFont="1" applyFill="1" applyBorder="1" applyAlignment="1">
      <alignment horizontal="center" vertical="center"/>
    </xf>
    <xf numFmtId="0" fontId="107" fillId="100" borderId="62" xfId="20" applyFont="1" applyFill="1" applyBorder="1" applyAlignment="1">
      <alignment horizontal="center" vertical="center" wrapText="1"/>
    </xf>
    <xf numFmtId="0" fontId="108" fillId="57" borderId="53" xfId="20" applyFont="1" applyFill="1" applyAlignment="1">
      <alignment horizontal="center" vertical="center" wrapText="1"/>
    </xf>
    <xf numFmtId="0" fontId="111" fillId="57" borderId="53" xfId="20" applyFont="1" applyFill="1" applyAlignment="1">
      <alignment horizontal="center" vertical="center" wrapText="1"/>
    </xf>
    <xf numFmtId="0" fontId="109" fillId="57" borderId="53" xfId="20" applyFont="1" applyFill="1" applyAlignment="1">
      <alignment vertical="top" wrapText="1"/>
    </xf>
    <xf numFmtId="0" fontId="112" fillId="57" borderId="53" xfId="20" applyFont="1" applyFill="1" applyAlignment="1">
      <alignment horizontal="center" vertical="center"/>
    </xf>
    <xf numFmtId="0" fontId="73" fillId="69" borderId="92" xfId="20" applyFont="1" applyFill="1" applyBorder="1" applyAlignment="1">
      <alignment horizontal="center" vertical="center" wrapText="1"/>
    </xf>
    <xf numFmtId="0" fontId="75" fillId="69" borderId="103" xfId="20" applyFont="1" applyFill="1" applyBorder="1" applyAlignment="1">
      <alignment horizontal="center" vertical="center" wrapText="1"/>
    </xf>
    <xf numFmtId="0" fontId="75" fillId="69" borderId="74" xfId="20" applyFont="1" applyFill="1" applyBorder="1" applyAlignment="1">
      <alignment horizontal="center" vertical="center" wrapText="1"/>
    </xf>
    <xf numFmtId="0" fontId="75" fillId="83" borderId="7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65" fillId="53" borderId="62" xfId="20" applyFont="1" applyBorder="1"/>
    <xf numFmtId="0" fontId="75" fillId="53" borderId="62" xfId="20" applyFont="1" applyBorder="1"/>
    <xf numFmtId="0" fontId="75" fillId="69" borderId="74" xfId="20" applyFont="1" applyFill="1" applyBorder="1" applyAlignment="1">
      <alignment horizontal="center" vertical="center" wrapText="1"/>
    </xf>
    <xf numFmtId="0" fontId="75" fillId="69" borderId="90" xfId="20" applyFont="1" applyFill="1" applyBorder="1" applyAlignment="1">
      <alignment horizontal="center" vertical="center" wrapText="1"/>
    </xf>
    <xf numFmtId="0" fontId="75" fillId="76" borderId="74" xfId="20" applyFont="1" applyFill="1" applyBorder="1" applyAlignment="1">
      <alignment horizontal="center" vertical="center" wrapText="1"/>
    </xf>
    <xf numFmtId="0" fontId="75" fillId="82" borderId="74" xfId="20" applyFont="1" applyFill="1" applyBorder="1" applyAlignment="1">
      <alignment horizontal="center" vertical="center" wrapText="1"/>
    </xf>
    <xf numFmtId="0" fontId="75" fillId="53" borderId="62" xfId="20" applyFont="1" applyBorder="1" applyAlignment="1">
      <alignment vertical="center" wrapText="1"/>
    </xf>
    <xf numFmtId="0" fontId="91" fillId="53" borderId="62" xfId="20" applyFont="1" applyBorder="1" applyAlignment="1">
      <alignment vertical="center" wrapText="1"/>
    </xf>
    <xf numFmtId="0" fontId="91" fillId="92" borderId="62" xfId="20" applyFont="1" applyFill="1" applyBorder="1" applyAlignment="1">
      <alignment vertical="center" wrapText="1"/>
    </xf>
    <xf numFmtId="0" fontId="91" fillId="53" borderId="62" xfId="20" applyFont="1" applyBorder="1" applyAlignment="1">
      <alignment horizontal="left" vertical="center" wrapText="1"/>
    </xf>
    <xf numFmtId="0" fontId="100" fillId="53" borderId="62" xfId="20" applyFont="1" applyBorder="1" applyAlignment="1">
      <alignment vertical="center" wrapText="1"/>
    </xf>
    <xf numFmtId="0" fontId="75" fillId="69" borderId="74" xfId="20" applyFont="1" applyFill="1" applyBorder="1" applyAlignment="1">
      <alignment horizontal="left" vertical="center" wrapText="1"/>
    </xf>
    <xf numFmtId="0" fontId="75" fillId="76" borderId="91" xfId="20" applyFont="1" applyFill="1" applyBorder="1" applyAlignment="1">
      <alignment horizontal="left" vertical="center" wrapText="1"/>
    </xf>
    <xf numFmtId="0" fontId="75" fillId="82" borderId="62" xfId="20" applyFont="1" applyFill="1" applyBorder="1" applyAlignment="1">
      <alignment horizontal="left" vertical="center" wrapText="1"/>
    </xf>
    <xf numFmtId="0" fontId="75" fillId="82" borderId="103" xfId="20" applyFont="1" applyFill="1" applyBorder="1" applyAlignment="1">
      <alignment horizontal="left" vertical="center" wrapText="1"/>
    </xf>
    <xf numFmtId="0" fontId="91" fillId="69" borderId="74" xfId="20" applyFont="1" applyFill="1" applyBorder="1" applyAlignment="1">
      <alignment horizontal="left" vertical="center" wrapText="1"/>
    </xf>
    <xf numFmtId="0" fontId="113" fillId="69" borderId="103" xfId="20" applyFont="1" applyFill="1" applyBorder="1" applyAlignment="1">
      <alignment horizontal="left" vertical="center" wrapText="1"/>
    </xf>
    <xf numFmtId="0" fontId="73" fillId="58" borderId="54" xfId="20" applyFont="1" applyFill="1" applyBorder="1" applyAlignment="1">
      <alignment vertical="center" wrapText="1"/>
    </xf>
    <xf numFmtId="0" fontId="73" fillId="58" borderId="75" xfId="20" applyFont="1" applyFill="1" applyBorder="1" applyAlignment="1">
      <alignment vertical="center" wrapText="1"/>
    </xf>
    <xf numFmtId="0" fontId="73" fillId="58" borderId="59" xfId="20" applyFont="1" applyFill="1" applyBorder="1" applyAlignment="1">
      <alignment vertical="center" wrapText="1"/>
    </xf>
    <xf numFmtId="0" fontId="73" fillId="58" borderId="53" xfId="20" applyFont="1" applyFill="1" applyAlignment="1">
      <alignment vertical="center" wrapText="1"/>
    </xf>
    <xf numFmtId="0" fontId="73" fillId="58" borderId="96" xfId="20" applyFont="1" applyFill="1" applyBorder="1" applyAlignment="1">
      <alignment vertical="center" wrapText="1"/>
    </xf>
    <xf numFmtId="0" fontId="65" fillId="53" borderId="78" xfId="20" applyFont="1" applyBorder="1"/>
    <xf numFmtId="0" fontId="91" fillId="69" borderId="90" xfId="20" applyFont="1" applyFill="1" applyBorder="1" applyAlignment="1">
      <alignment horizontal="left" vertical="center" wrapText="1"/>
    </xf>
    <xf numFmtId="0" fontId="91" fillId="76" borderId="74" xfId="20" applyFont="1" applyFill="1" applyBorder="1" applyAlignment="1">
      <alignment horizontal="left" vertical="center" wrapText="1"/>
    </xf>
    <xf numFmtId="0" fontId="75" fillId="76" borderId="74" xfId="20" applyFont="1" applyFill="1" applyBorder="1" applyAlignment="1">
      <alignment horizontal="left" vertical="center" wrapText="1"/>
    </xf>
    <xf numFmtId="0" fontId="95" fillId="53" borderId="74" xfId="20" applyFont="1" applyBorder="1" applyAlignment="1">
      <alignment vertical="center" wrapText="1"/>
    </xf>
    <xf numFmtId="0" fontId="94" fillId="53" borderId="105" xfId="20" applyFont="1" applyBorder="1" applyAlignment="1">
      <alignment vertical="center" wrapText="1"/>
    </xf>
    <xf numFmtId="0" fontId="95" fillId="53" borderId="103" xfId="20" applyFont="1" applyBorder="1" applyAlignment="1">
      <alignment vertical="center" wrapText="1"/>
    </xf>
    <xf numFmtId="0" fontId="95" fillId="77" borderId="74" xfId="20" applyFont="1" applyFill="1" applyBorder="1" applyAlignment="1">
      <alignment vertical="center" wrapText="1"/>
    </xf>
    <xf numFmtId="0" fontId="95" fillId="53" borderId="91" xfId="20" applyFont="1" applyBorder="1" applyAlignment="1">
      <alignment vertical="center" wrapText="1"/>
    </xf>
    <xf numFmtId="0" fontId="95" fillId="81" borderId="74" xfId="20" applyFont="1" applyFill="1" applyBorder="1" applyAlignment="1">
      <alignment vertical="center" wrapText="1"/>
    </xf>
    <xf numFmtId="0" fontId="91" fillId="104" borderId="62" xfId="20" applyFont="1" applyFill="1" applyBorder="1" applyAlignment="1">
      <alignment horizontal="left" vertical="center" wrapText="1"/>
    </xf>
    <xf numFmtId="0" fontId="91" fillId="105" borderId="62" xfId="20" applyFont="1" applyFill="1" applyBorder="1" applyAlignment="1">
      <alignment horizontal="left" vertical="center" wrapText="1"/>
    </xf>
    <xf numFmtId="0" fontId="87" fillId="57" borderId="53" xfId="20" applyFont="1" applyFill="1" applyAlignment="1">
      <alignment horizontal="center" vertical="center"/>
    </xf>
    <xf numFmtId="0" fontId="74" fillId="57" borderId="53" xfId="20" applyFont="1" applyFill="1" applyAlignment="1">
      <alignment horizontal="center" vertical="center"/>
    </xf>
    <xf numFmtId="0" fontId="83" fillId="58" borderId="54" xfId="20" applyFont="1" applyFill="1" applyBorder="1" applyAlignment="1">
      <alignment horizontal="left" vertical="center" wrapText="1"/>
    </xf>
    <xf numFmtId="0" fontId="83" fillId="58" borderId="75" xfId="20" applyFont="1" applyFill="1" applyBorder="1" applyAlignment="1">
      <alignment horizontal="left" vertical="center" wrapText="1"/>
    </xf>
    <xf numFmtId="0" fontId="83" fillId="58" borderId="60" xfId="20" applyFont="1" applyFill="1" applyBorder="1" applyAlignment="1">
      <alignment horizontal="left" vertical="center" wrapText="1"/>
    </xf>
    <xf numFmtId="0" fontId="73" fillId="58" borderId="54" xfId="20" applyFont="1" applyFill="1" applyBorder="1" applyAlignment="1">
      <alignment horizontal="left" vertical="center" wrapText="1"/>
    </xf>
    <xf numFmtId="0" fontId="73" fillId="58" borderId="75" xfId="20" applyFont="1" applyFill="1" applyBorder="1" applyAlignment="1">
      <alignment horizontal="left" vertical="center" wrapText="1"/>
    </xf>
    <xf numFmtId="0" fontId="73" fillId="58" borderId="59" xfId="20" applyFont="1" applyFill="1" applyBorder="1" applyAlignment="1">
      <alignment horizontal="left" vertical="center" wrapText="1"/>
    </xf>
    <xf numFmtId="0" fontId="71" fillId="58" borderId="55" xfId="20" applyFont="1" applyFill="1" applyBorder="1" applyAlignment="1">
      <alignment horizontal="right" vertical="center" wrapText="1"/>
    </xf>
    <xf numFmtId="0" fontId="71" fillId="58" borderId="56" xfId="20" applyFont="1" applyFill="1" applyBorder="1" applyAlignment="1">
      <alignment horizontal="right" vertical="center" wrapText="1"/>
    </xf>
    <xf numFmtId="0" fontId="71" fillId="58" borderId="57" xfId="20" applyFont="1" applyFill="1" applyBorder="1" applyAlignment="1">
      <alignment horizontal="right" vertical="center" wrapText="1"/>
    </xf>
    <xf numFmtId="0" fontId="71" fillId="58" borderId="58" xfId="20" applyFont="1" applyFill="1" applyBorder="1" applyAlignment="1">
      <alignment horizontal="right" vertical="center" wrapText="1"/>
    </xf>
    <xf numFmtId="0" fontId="90" fillId="58" borderId="55" xfId="20" applyFont="1" applyFill="1" applyBorder="1" applyAlignment="1">
      <alignment horizontal="center" vertical="center" wrapText="1"/>
    </xf>
    <xf numFmtId="0" fontId="90" fillId="58" borderId="56" xfId="20" applyFont="1" applyFill="1" applyBorder="1" applyAlignment="1">
      <alignment horizontal="center" vertical="center" wrapText="1"/>
    </xf>
    <xf numFmtId="0" fontId="90" fillId="98" borderId="55" xfId="20" applyFont="1" applyFill="1" applyBorder="1" applyAlignment="1">
      <alignment horizontal="center" vertical="center" wrapText="1"/>
    </xf>
    <xf numFmtId="0" fontId="90" fillId="98" borderId="56" xfId="20" applyFont="1" applyFill="1" applyBorder="1" applyAlignment="1">
      <alignment horizontal="center" vertical="center" wrapText="1"/>
    </xf>
    <xf numFmtId="0" fontId="90" fillId="70" borderId="55" xfId="20" applyFont="1" applyFill="1" applyBorder="1" applyAlignment="1">
      <alignment horizontal="center" vertical="center" wrapText="1"/>
    </xf>
    <xf numFmtId="0" fontId="90" fillId="70" borderId="56" xfId="20" applyFont="1" applyFill="1" applyBorder="1" applyAlignment="1">
      <alignment horizontal="center" vertical="center" wrapText="1"/>
    </xf>
    <xf numFmtId="0" fontId="59" fillId="58" borderId="99" xfId="20" applyFont="1" applyFill="1" applyBorder="1" applyAlignment="1">
      <alignment horizontal="center" vertical="center" wrapText="1"/>
    </xf>
    <xf numFmtId="0" fontId="59" fillId="58" borderId="53" xfId="20" applyFont="1" applyFill="1" applyAlignment="1">
      <alignment horizontal="center" vertical="center" wrapText="1"/>
    </xf>
    <xf numFmtId="0" fontId="73" fillId="69" borderId="103" xfId="20" applyFont="1" applyFill="1" applyBorder="1" applyAlignment="1">
      <alignment horizontal="center" vertical="center" wrapText="1"/>
    </xf>
    <xf numFmtId="0" fontId="73" fillId="69" borderId="84" xfId="20" applyFont="1" applyFill="1" applyBorder="1" applyAlignment="1">
      <alignment horizontal="center" vertical="center" wrapText="1"/>
    </xf>
    <xf numFmtId="0" fontId="73" fillId="58" borderId="53" xfId="20" applyFont="1" applyFill="1" applyAlignment="1">
      <alignment horizontal="left" vertical="center" wrapText="1"/>
    </xf>
    <xf numFmtId="0" fontId="73" fillId="58" borderId="96" xfId="20" applyFont="1" applyFill="1" applyBorder="1" applyAlignment="1">
      <alignment horizontal="left" vertical="center" wrapText="1"/>
    </xf>
    <xf numFmtId="0" fontId="59" fillId="58" borderId="79" xfId="20" applyFont="1" applyFill="1" applyBorder="1" applyAlignment="1">
      <alignment horizontal="center" vertical="center" wrapText="1"/>
    </xf>
    <xf numFmtId="0" fontId="59" fillId="58" borderId="80" xfId="20" applyFont="1" applyFill="1" applyBorder="1" applyAlignment="1">
      <alignment horizontal="center" vertical="center" wrapText="1"/>
    </xf>
    <xf numFmtId="0" fontId="59" fillId="58" borderId="86" xfId="20" applyFont="1" applyFill="1" applyBorder="1" applyAlignment="1">
      <alignment horizontal="center" vertical="center" wrapText="1"/>
    </xf>
    <xf numFmtId="0" fontId="59" fillId="58" borderId="10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73" fillId="58" borderId="83" xfId="20" applyFont="1" applyFill="1" applyBorder="1" applyAlignment="1">
      <alignment horizontal="left" vertical="center" wrapText="1"/>
    </xf>
    <xf numFmtId="0" fontId="73" fillId="58" borderId="84" xfId="20" applyFont="1" applyFill="1" applyBorder="1" applyAlignment="1">
      <alignment horizontal="left" vertical="center" wrapText="1"/>
    </xf>
    <xf numFmtId="0" fontId="73" fillId="58" borderId="89" xfId="20" applyFont="1" applyFill="1" applyBorder="1" applyAlignment="1">
      <alignment horizontal="left" vertical="center" wrapText="1"/>
    </xf>
    <xf numFmtId="0" fontId="59" fillId="58" borderId="81" xfId="20" applyFont="1" applyFill="1" applyBorder="1" applyAlignment="1">
      <alignment horizontal="center" vertical="center" wrapText="1"/>
    </xf>
    <xf numFmtId="0" fontId="67" fillId="57" borderId="53" xfId="20" applyFont="1" applyFill="1" applyAlignment="1">
      <alignment horizontal="center"/>
    </xf>
    <xf numFmtId="0" fontId="66" fillId="57" borderId="53" xfId="20" applyFont="1" applyFill="1" applyAlignment="1">
      <alignment horizontal="center" vertical="center"/>
    </xf>
    <xf numFmtId="0" fontId="66" fillId="57" borderId="59" xfId="20" applyFont="1" applyFill="1" applyBorder="1" applyAlignment="1">
      <alignment horizontal="center"/>
    </xf>
    <xf numFmtId="0" fontId="77" fillId="58" borderId="79" xfId="20" applyFont="1" applyFill="1" applyBorder="1" applyAlignment="1">
      <alignment horizontal="left" vertical="center" wrapText="1"/>
    </xf>
    <xf numFmtId="0" fontId="77" fillId="58" borderId="80" xfId="20" applyFont="1" applyFill="1" applyBorder="1" applyAlignment="1">
      <alignment horizontal="left" vertical="center" wrapText="1"/>
    </xf>
    <xf numFmtId="0" fontId="77" fillId="58" borderId="104" xfId="20" applyFont="1" applyFill="1" applyBorder="1" applyAlignment="1">
      <alignment horizontal="left" vertical="center" wrapText="1"/>
    </xf>
    <xf numFmtId="0" fontId="64" fillId="84" borderId="61" xfId="20" applyFont="1" applyFill="1" applyBorder="1" applyAlignment="1">
      <alignment horizontal="center" vertical="center" wrapText="1"/>
    </xf>
    <xf numFmtId="0" fontId="64" fillId="84" borderId="64" xfId="20" applyFont="1" applyFill="1" applyBorder="1" applyAlignment="1">
      <alignment horizontal="center" vertical="center" wrapText="1"/>
    </xf>
    <xf numFmtId="0" fontId="82" fillId="58" borderId="93" xfId="20" applyFont="1" applyFill="1" applyBorder="1" applyAlignment="1">
      <alignment horizontal="center" vertical="center" wrapText="1"/>
    </xf>
    <xf numFmtId="0" fontId="78" fillId="58" borderId="94" xfId="20" applyFont="1" applyFill="1" applyBorder="1" applyAlignment="1">
      <alignment horizontal="center" vertical="center" wrapText="1"/>
    </xf>
    <xf numFmtId="0" fontId="78" fillId="58" borderId="95" xfId="20" applyFont="1" applyFill="1" applyBorder="1" applyAlignment="1">
      <alignment horizontal="center" vertical="center" wrapText="1"/>
    </xf>
    <xf numFmtId="0" fontId="78" fillId="58" borderId="96" xfId="20" applyFont="1" applyFill="1" applyBorder="1" applyAlignment="1">
      <alignment horizontal="center" vertical="center" wrapText="1"/>
    </xf>
    <xf numFmtId="0" fontId="59" fillId="58" borderId="55" xfId="20" applyFont="1" applyFill="1" applyBorder="1" applyAlignment="1">
      <alignment horizontal="center" vertical="center" wrapText="1"/>
    </xf>
    <xf numFmtId="0" fontId="59" fillId="58" borderId="56" xfId="20" applyFont="1" applyFill="1" applyBorder="1" applyAlignment="1">
      <alignment horizontal="center" vertical="center" wrapText="1"/>
    </xf>
    <xf numFmtId="0" fontId="59" fillId="98" borderId="55" xfId="20" applyFont="1" applyFill="1" applyBorder="1" applyAlignment="1">
      <alignment horizontal="center" vertical="center" wrapText="1"/>
    </xf>
    <xf numFmtId="0" fontId="59" fillId="98" borderId="56" xfId="20" applyFont="1" applyFill="1" applyBorder="1" applyAlignment="1">
      <alignment horizontal="center" vertical="center" wrapText="1"/>
    </xf>
    <xf numFmtId="0" fontId="59" fillId="70" borderId="55" xfId="20" applyFont="1" applyFill="1" applyBorder="1" applyAlignment="1">
      <alignment horizontal="center" vertical="center" wrapText="1"/>
    </xf>
    <xf numFmtId="0" fontId="59" fillId="70" borderId="56" xfId="20" applyFont="1" applyFill="1" applyBorder="1" applyAlignment="1">
      <alignment horizontal="center" vertical="center" wrapText="1"/>
    </xf>
    <xf numFmtId="0" fontId="64" fillId="69" borderId="55" xfId="20" applyFont="1" applyFill="1" applyBorder="1" applyAlignment="1">
      <alignment horizontal="center" vertical="center" wrapText="1"/>
    </xf>
    <xf numFmtId="0" fontId="64" fillId="69" borderId="63" xfId="20" applyFont="1" applyFill="1" applyBorder="1" applyAlignment="1">
      <alignment horizontal="center" vertical="center" wrapText="1"/>
    </xf>
    <xf numFmtId="0" fontId="64" fillId="69" borderId="90" xfId="20" applyFont="1" applyFill="1" applyBorder="1" applyAlignment="1">
      <alignment horizontal="center" vertical="center" wrapText="1"/>
    </xf>
    <xf numFmtId="0" fontId="77" fillId="58" borderId="81" xfId="20" applyFont="1" applyFill="1" applyBorder="1" applyAlignment="1">
      <alignment horizontal="left" vertical="center" wrapText="1"/>
    </xf>
    <xf numFmtId="0" fontId="77" fillId="58" borderId="62" xfId="20" applyFont="1" applyFill="1" applyBorder="1" applyAlignment="1">
      <alignment horizontal="left" vertical="center" wrapText="1"/>
    </xf>
    <xf numFmtId="0" fontId="77" fillId="58" borderId="54" xfId="20" applyFont="1" applyFill="1" applyBorder="1" applyAlignment="1">
      <alignment horizontal="left" vertical="center" wrapText="1"/>
    </xf>
    <xf numFmtId="0" fontId="77" fillId="58" borderId="75" xfId="20" applyFont="1" applyFill="1" applyBorder="1" applyAlignment="1">
      <alignment horizontal="left" vertical="center" wrapText="1"/>
    </xf>
    <xf numFmtId="0" fontId="77" fillId="58" borderId="60" xfId="20" applyFont="1" applyFill="1" applyBorder="1" applyAlignment="1">
      <alignment horizontal="left" vertical="center" wrapText="1"/>
    </xf>
    <xf numFmtId="0" fontId="110" fillId="57" borderId="53" xfId="20" applyFont="1" applyFill="1" applyAlignment="1">
      <alignment horizontal="center" vertical="center"/>
    </xf>
    <xf numFmtId="0" fontId="82" fillId="58" borderId="93" xfId="20" applyFont="1" applyFill="1" applyBorder="1" applyAlignment="1">
      <alignment horizontal="center" vertical="center" wrapText="1"/>
    </xf>
    <xf numFmtId="0" fontId="82" fillId="58" borderId="101" xfId="20" applyFont="1" applyFill="1" applyBorder="1" applyAlignment="1">
      <alignment horizontal="center" vertical="center" wrapText="1"/>
    </xf>
    <xf numFmtId="0" fontId="64" fillId="58" borderId="61" xfId="20" applyFont="1" applyFill="1" applyBorder="1" applyAlignment="1">
      <alignment horizontal="center" vertical="center"/>
    </xf>
    <xf numFmtId="0" fontId="64" fillId="58" borderId="62" xfId="20" applyFont="1" applyFill="1" applyBorder="1" applyAlignment="1">
      <alignment horizontal="center" vertical="center"/>
    </xf>
    <xf numFmtId="0" fontId="86" fillId="88" borderId="53" xfId="20" applyFont="1" applyFill="1" applyAlignment="1">
      <alignment horizontal="left" vertical="center"/>
    </xf>
    <xf numFmtId="0" fontId="86" fillId="89" borderId="53" xfId="20" applyFont="1" applyFill="1" applyAlignment="1">
      <alignment horizontal="left" vertical="center"/>
    </xf>
    <xf numFmtId="0" fontId="86" fillId="86" borderId="53" xfId="20" applyFont="1" applyFill="1" applyAlignment="1">
      <alignment horizontal="left" vertical="center"/>
    </xf>
    <xf numFmtId="0" fontId="86" fillId="87" borderId="53" xfId="20" applyFont="1" applyFill="1" applyAlignment="1">
      <alignment horizontal="left" vertical="center"/>
    </xf>
    <xf numFmtId="0" fontId="86" fillId="62" borderId="53" xfId="20" applyFont="1" applyFill="1" applyAlignment="1">
      <alignment horizontal="left" vertical="center"/>
    </xf>
    <xf numFmtId="0" fontId="114" fillId="53" borderId="53" xfId="20" applyNumberFormat="1" applyFont="1" applyFill="1" applyBorder="1"/>
    <xf numFmtId="0" fontId="115" fillId="53" borderId="53" xfId="20" applyNumberFormat="1" applyFont="1" applyFill="1" applyBorder="1"/>
    <xf numFmtId="0" fontId="116" fillId="53" borderId="53" xfId="20" applyNumberFormat="1" applyFont="1" applyFill="1" applyBorder="1"/>
    <xf numFmtId="0" fontId="114" fillId="106" borderId="53" xfId="20" applyNumberFormat="1" applyFont="1" applyFill="1" applyBorder="1"/>
    <xf numFmtId="0" fontId="117" fillId="106" borderId="53" xfId="20" applyNumberFormat="1" applyFont="1" applyFill="1" applyBorder="1"/>
    <xf numFmtId="0" fontId="117" fillId="106" borderId="53" xfId="20" applyNumberFormat="1" applyFont="1" applyFill="1" applyBorder="1" applyAlignment="1">
      <alignment wrapText="1"/>
    </xf>
    <xf numFmtId="0" fontId="117" fillId="106" borderId="53" xfId="20" applyNumberFormat="1" applyFont="1" applyFill="1" applyBorder="1" applyAlignment="1">
      <alignment vertical="center" wrapText="1"/>
    </xf>
    <xf numFmtId="165" fontId="114" fillId="53" borderId="53" xfId="20" applyNumberFormat="1" applyFont="1" applyFill="1" applyBorder="1"/>
    <xf numFmtId="0" fontId="114" fillId="53" borderId="53" xfId="20" applyNumberFormat="1" applyFont="1" applyFill="1" applyBorder="1" applyAlignment="1">
      <alignment horizontal="right"/>
    </xf>
    <xf numFmtId="165" fontId="114" fillId="53" borderId="53" xfId="20" applyNumberFormat="1" applyFont="1" applyFill="1" applyBorder="1" applyAlignment="1">
      <alignment horizontal="right"/>
    </xf>
    <xf numFmtId="0" fontId="114" fillId="107" borderId="53" xfId="20" applyNumberFormat="1" applyFont="1" applyFill="1" applyBorder="1"/>
    <xf numFmtId="0" fontId="114" fillId="107" borderId="53" xfId="20" applyNumberFormat="1" applyFont="1" applyFill="1" applyBorder="1" applyAlignment="1">
      <alignment horizontal="right"/>
    </xf>
    <xf numFmtId="165" fontId="114" fillId="107" borderId="53" xfId="20" applyNumberFormat="1" applyFont="1" applyFill="1" applyBorder="1" applyAlignment="1">
      <alignment horizontal="right"/>
    </xf>
    <xf numFmtId="0" fontId="118" fillId="107" borderId="53" xfId="20" applyNumberFormat="1" applyFont="1" applyFill="1" applyBorder="1"/>
    <xf numFmtId="0" fontId="118" fillId="107" borderId="53" xfId="20" applyNumberFormat="1" applyFont="1" applyFill="1" applyBorder="1" applyAlignment="1">
      <alignment horizontal="right"/>
    </xf>
    <xf numFmtId="165" fontId="118" fillId="107" borderId="53" xfId="20" applyNumberFormat="1" applyFont="1" applyFill="1" applyBorder="1" applyAlignment="1">
      <alignment horizontal="right"/>
    </xf>
    <xf numFmtId="0" fontId="114" fillId="108" borderId="53" xfId="20" applyNumberFormat="1" applyFont="1" applyFill="1" applyBorder="1"/>
    <xf numFmtId="0" fontId="114" fillId="108" borderId="53" xfId="20" applyNumberFormat="1" applyFont="1" applyFill="1" applyBorder="1" applyAlignment="1">
      <alignment horizontal="right"/>
    </xf>
    <xf numFmtId="165" fontId="114" fillId="108" borderId="53" xfId="20" applyNumberFormat="1" applyFont="1" applyFill="1" applyBorder="1" applyAlignment="1">
      <alignment horizontal="right"/>
    </xf>
    <xf numFmtId="0" fontId="114" fillId="108" borderId="53" xfId="20" applyNumberFormat="1" applyFont="1" applyFill="1" applyBorder="1" applyAlignment="1">
      <alignment wrapText="1"/>
    </xf>
    <xf numFmtId="0" fontId="114" fillId="53" borderId="53" xfId="20" applyNumberFormat="1" applyFont="1" applyFill="1" applyBorder="1" applyAlignment="1">
      <alignment wrapText="1"/>
    </xf>
    <xf numFmtId="165" fontId="114" fillId="108" borderId="53" xfId="20" applyNumberFormat="1" applyFont="1" applyFill="1" applyBorder="1"/>
    <xf numFmtId="166" fontId="114" fillId="53" borderId="53" xfId="20" applyNumberFormat="1" applyFont="1" applyFill="1" applyBorder="1"/>
    <xf numFmtId="166" fontId="114" fillId="108" borderId="53" xfId="20" applyNumberFormat="1" applyFont="1" applyFill="1" applyBorder="1"/>
    <xf numFmtId="0" fontId="119" fillId="53" borderId="53" xfId="20" applyNumberFormat="1" applyFont="1" applyFill="1" applyBorder="1"/>
    <xf numFmtId="0" fontId="120" fillId="109" borderId="106" xfId="40"/>
    <xf numFmtId="0" fontId="120" fillId="113" borderId="106" xfId="40" applyFill="1"/>
    <xf numFmtId="0" fontId="129" fillId="113" borderId="106" xfId="40" applyFont="1" applyFill="1"/>
    <xf numFmtId="0" fontId="129" fillId="109" borderId="122" xfId="40" applyFont="1" applyBorder="1" applyAlignment="1">
      <alignment horizontal="center" vertical="center"/>
    </xf>
    <xf numFmtId="0" fontId="120" fillId="116" borderId="108" xfId="40" applyFill="1" applyBorder="1"/>
    <xf numFmtId="0" fontId="120" fillId="117" borderId="116" xfId="40" applyFill="1" applyBorder="1"/>
    <xf numFmtId="0" fontId="131" fillId="118" borderId="109" xfId="40" applyFont="1" applyFill="1" applyBorder="1" applyAlignment="1">
      <alignment horizontal="center" vertical="center" wrapText="1"/>
    </xf>
    <xf numFmtId="0" fontId="120" fillId="113" borderId="106" xfId="40" applyFill="1" applyAlignment="1">
      <alignment horizontal="left" vertical="center"/>
    </xf>
    <xf numFmtId="0" fontId="131" fillId="116" borderId="115" xfId="40" applyFont="1" applyFill="1" applyBorder="1" applyAlignment="1">
      <alignment horizontal="center" vertical="center" wrapText="1"/>
    </xf>
    <xf numFmtId="0" fontId="131" fillId="118" borderId="115" xfId="40" applyFont="1" applyFill="1" applyBorder="1" applyAlignment="1">
      <alignment horizontal="center" vertical="center" wrapText="1"/>
    </xf>
    <xf numFmtId="0" fontId="129" fillId="109" borderId="123" xfId="40" applyFont="1" applyBorder="1" applyAlignment="1">
      <alignment horizontal="center" vertical="center"/>
    </xf>
    <xf numFmtId="0" fontId="120" fillId="117" borderId="115" xfId="40" applyFill="1" applyBorder="1"/>
    <xf numFmtId="0" fontId="120" fillId="119" borderId="115" xfId="40" applyFill="1" applyBorder="1"/>
    <xf numFmtId="0" fontId="120" fillId="120" borderId="117" xfId="40" applyFill="1" applyBorder="1"/>
    <xf numFmtId="0" fontId="131" fillId="117" borderId="115" xfId="40" applyFont="1" applyFill="1" applyBorder="1" applyAlignment="1">
      <alignment horizontal="center" vertical="center" wrapText="1"/>
    </xf>
    <xf numFmtId="0" fontId="131" fillId="120" borderId="115" xfId="40" applyFont="1" applyFill="1" applyBorder="1" applyAlignment="1">
      <alignment horizontal="center" vertical="center" wrapText="1"/>
    </xf>
    <xf numFmtId="0" fontId="120" fillId="120" borderId="115" xfId="40" applyFill="1" applyBorder="1"/>
    <xf numFmtId="0" fontId="131" fillId="119" borderId="115" xfId="40" applyFont="1" applyFill="1" applyBorder="1" applyAlignment="1">
      <alignment horizontal="center" vertical="center" wrapText="1"/>
    </xf>
    <xf numFmtId="0" fontId="131" fillId="121" borderId="115" xfId="40" applyFont="1" applyFill="1" applyBorder="1" applyAlignment="1">
      <alignment horizontal="center" vertical="center" wrapText="1"/>
    </xf>
    <xf numFmtId="0" fontId="129" fillId="109" borderId="124" xfId="40" applyFont="1" applyBorder="1" applyAlignment="1">
      <alignment horizontal="center" vertical="center"/>
    </xf>
    <xf numFmtId="0" fontId="131" fillId="121" borderId="110" xfId="40" applyFont="1" applyFill="1" applyBorder="1" applyAlignment="1">
      <alignment horizontal="center" vertical="center" wrapText="1"/>
    </xf>
    <xf numFmtId="0" fontId="131" fillId="121" borderId="118" xfId="40" applyFont="1" applyFill="1" applyBorder="1" applyAlignment="1">
      <alignment horizontal="center" vertical="center" wrapText="1"/>
    </xf>
    <xf numFmtId="0" fontId="131" fillId="121" borderId="111" xfId="40" applyFont="1" applyFill="1" applyBorder="1" applyAlignment="1">
      <alignment horizontal="center" vertical="center" wrapText="1"/>
    </xf>
    <xf numFmtId="0" fontId="129" fillId="109" borderId="106" xfId="40" applyFont="1"/>
    <xf numFmtId="0" fontId="129" fillId="109" borderId="125" xfId="40" applyFont="1" applyBorder="1" applyAlignment="1">
      <alignment horizontal="center" vertical="center"/>
    </xf>
    <xf numFmtId="0" fontId="129" fillId="109" borderId="126" xfId="40" applyFont="1" applyBorder="1" applyAlignment="1">
      <alignment horizontal="center" vertical="center"/>
    </xf>
    <xf numFmtId="0" fontId="120" fillId="122" borderId="116" xfId="40" applyFill="1" applyBorder="1"/>
    <xf numFmtId="0" fontId="132" fillId="122" borderId="115" xfId="40" applyFont="1" applyFill="1" applyBorder="1" applyAlignment="1">
      <alignment horizontal="center" vertical="center" wrapText="1"/>
    </xf>
    <xf numFmtId="0" fontId="120" fillId="122" borderId="114" xfId="40" applyFill="1" applyBorder="1"/>
    <xf numFmtId="0" fontId="120" fillId="119" borderId="114" xfId="40" applyFill="1" applyBorder="1"/>
    <xf numFmtId="0" fontId="120" fillId="118" borderId="115" xfId="40" applyFill="1" applyBorder="1"/>
    <xf numFmtId="0" fontId="122" fillId="113" borderId="106" xfId="40" applyFont="1" applyFill="1" applyAlignment="1">
      <alignment horizontal="left" vertical="center"/>
    </xf>
    <xf numFmtId="0" fontId="122" fillId="113" borderId="106" xfId="40" applyFont="1" applyFill="1" applyAlignment="1">
      <alignment horizontal="left" vertical="center" wrapText="1"/>
    </xf>
    <xf numFmtId="0" fontId="122" fillId="113" borderId="108" xfId="40" applyFont="1" applyFill="1" applyBorder="1" applyAlignment="1">
      <alignment horizontal="left" vertical="center" wrapText="1"/>
    </xf>
    <xf numFmtId="0" fontId="134" fillId="113" borderId="109" xfId="40" applyFont="1" applyFill="1" applyBorder="1" applyAlignment="1">
      <alignment horizontal="left" vertical="center" wrapText="1"/>
    </xf>
    <xf numFmtId="0" fontId="122" fillId="113" borderId="119" xfId="40" applyFont="1" applyFill="1" applyBorder="1" applyAlignment="1">
      <alignment horizontal="left" vertical="center" wrapText="1"/>
    </xf>
    <xf numFmtId="0" fontId="134" fillId="113" borderId="121" xfId="40" applyFont="1" applyFill="1" applyBorder="1" applyAlignment="1">
      <alignment horizontal="left" vertical="center" wrapText="1"/>
    </xf>
    <xf numFmtId="0" fontId="122" fillId="113" borderId="114" xfId="40" applyFont="1" applyFill="1" applyBorder="1" applyAlignment="1">
      <alignment horizontal="left" vertical="center" wrapText="1"/>
    </xf>
    <xf numFmtId="0" fontId="134" fillId="113" borderId="117" xfId="40" applyFont="1" applyFill="1" applyBorder="1" applyAlignment="1">
      <alignment horizontal="left" vertical="center" wrapText="1"/>
    </xf>
    <xf numFmtId="0" fontId="122" fillId="113" borderId="140" xfId="40" applyFont="1" applyFill="1" applyBorder="1" applyAlignment="1">
      <alignment horizontal="left" vertical="center" wrapText="1"/>
    </xf>
    <xf numFmtId="0" fontId="134" fillId="113" borderId="141" xfId="40" applyFont="1" applyFill="1" applyBorder="1" applyAlignment="1">
      <alignment horizontal="left" vertical="center" wrapText="1"/>
    </xf>
    <xf numFmtId="0" fontId="122" fillId="113" borderId="110" xfId="40" applyFont="1" applyFill="1" applyBorder="1" applyAlignment="1">
      <alignment horizontal="left" vertical="center" wrapText="1"/>
    </xf>
    <xf numFmtId="0" fontId="134" fillId="113" borderId="111" xfId="40" applyFont="1" applyFill="1" applyBorder="1" applyAlignment="1">
      <alignment horizontal="left" vertical="center" wrapText="1"/>
    </xf>
    <xf numFmtId="164" fontId="134" fillId="113" borderId="111" xfId="40" applyNumberFormat="1" applyFont="1" applyFill="1" applyBorder="1" applyAlignment="1">
      <alignment horizontal="left" vertical="center" wrapText="1"/>
    </xf>
    <xf numFmtId="0" fontId="142" fillId="109" borderId="115" xfId="40" applyFont="1" applyBorder="1" applyAlignment="1">
      <alignment horizontal="center" vertical="center"/>
    </xf>
    <xf numFmtId="0" fontId="143" fillId="121" borderId="115" xfId="40" applyFont="1" applyFill="1" applyBorder="1" applyAlignment="1">
      <alignment horizontal="center" vertical="center" wrapText="1"/>
    </xf>
    <xf numFmtId="0" fontId="125" fillId="113" borderId="106" xfId="40" applyFont="1" applyFill="1"/>
    <xf numFmtId="0" fontId="125" fillId="113" borderId="106" xfId="40" applyFont="1" applyFill="1" applyAlignment="1">
      <alignment horizontal="center" vertical="center" wrapText="1"/>
    </xf>
    <xf numFmtId="0" fontId="125" fillId="113" borderId="106" xfId="40" applyFont="1" applyFill="1" applyAlignment="1">
      <alignment horizontal="left" vertical="top" wrapText="1"/>
    </xf>
    <xf numFmtId="0" fontId="125" fillId="113" borderId="106" xfId="40" applyFont="1" applyFill="1" applyAlignment="1">
      <alignment horizontal="justify"/>
    </xf>
    <xf numFmtId="0" fontId="125" fillId="113" borderId="106" xfId="40" applyFont="1" applyFill="1" applyAlignment="1">
      <alignment horizontal="center" vertical="center"/>
    </xf>
    <xf numFmtId="0" fontId="125" fillId="109" borderId="106" xfId="40" applyFont="1"/>
    <xf numFmtId="0" fontId="126" fillId="113" borderId="106" xfId="40" applyFont="1" applyFill="1" applyAlignment="1">
      <alignment vertical="center"/>
    </xf>
    <xf numFmtId="0" fontId="126" fillId="109" borderId="106" xfId="40" applyFont="1" applyAlignment="1">
      <alignment vertical="center"/>
    </xf>
    <xf numFmtId="0" fontId="125" fillId="109" borderId="106" xfId="40" applyFont="1" applyAlignment="1">
      <alignment horizontal="center" vertical="center" wrapText="1"/>
    </xf>
    <xf numFmtId="0" fontId="125" fillId="109" borderId="106" xfId="40" applyFont="1" applyAlignment="1">
      <alignment horizontal="left" vertical="top" wrapText="1"/>
    </xf>
    <xf numFmtId="0" fontId="125" fillId="109" borderId="106" xfId="40" applyFont="1" applyAlignment="1">
      <alignment horizontal="justify"/>
    </xf>
    <xf numFmtId="0" fontId="125" fillId="109" borderId="106" xfId="40" applyFont="1" applyAlignment="1">
      <alignment horizontal="center" vertical="center"/>
    </xf>
    <xf numFmtId="0" fontId="134" fillId="113" borderId="106" xfId="40" applyFont="1" applyFill="1" applyAlignment="1">
      <alignment horizontal="left" vertical="center" wrapText="1"/>
    </xf>
    <xf numFmtId="0" fontId="128" fillId="113" borderId="106" xfId="40" applyFont="1" applyFill="1" applyAlignment="1">
      <alignment horizontal="left" vertical="center"/>
    </xf>
    <xf numFmtId="0" fontId="128" fillId="109" borderId="106" xfId="40" applyFont="1"/>
    <xf numFmtId="0" fontId="147" fillId="109" borderId="106" xfId="40" applyFont="1"/>
    <xf numFmtId="0" fontId="147" fillId="113" borderId="106" xfId="40" applyFont="1" applyFill="1"/>
    <xf numFmtId="0" fontId="143" fillId="121" borderId="129" xfId="40" applyFont="1" applyFill="1" applyBorder="1" applyAlignment="1">
      <alignment horizontal="center" vertical="center" wrapText="1"/>
    </xf>
    <xf numFmtId="0" fontId="142" fillId="109" borderId="129" xfId="40" applyFont="1" applyBorder="1" applyAlignment="1">
      <alignment horizontal="center" vertical="center"/>
    </xf>
    <xf numFmtId="0" fontId="143" fillId="121" borderId="151" xfId="40" applyFont="1" applyFill="1" applyBorder="1" applyAlignment="1">
      <alignment horizontal="center" vertical="center" wrapText="1"/>
    </xf>
    <xf numFmtId="0" fontId="142" fillId="109" borderId="151" xfId="40" applyFont="1" applyBorder="1" applyAlignment="1">
      <alignment horizontal="center" vertical="center"/>
    </xf>
    <xf numFmtId="0" fontId="131" fillId="121" borderId="116" xfId="40" applyFont="1" applyFill="1" applyBorder="1" applyAlignment="1">
      <alignment horizontal="center" vertical="center" wrapText="1"/>
    </xf>
    <xf numFmtId="0" fontId="131" fillId="121" borderId="153" xfId="40" applyFont="1" applyFill="1" applyBorder="1" applyAlignment="1">
      <alignment horizontal="center" vertical="center" wrapText="1"/>
    </xf>
    <xf numFmtId="0" fontId="131" fillId="121" borderId="135" xfId="40" applyFont="1" applyFill="1" applyBorder="1" applyAlignment="1">
      <alignment horizontal="center" vertical="center" wrapText="1"/>
    </xf>
    <xf numFmtId="0" fontId="133" fillId="109" borderId="114" xfId="40" applyFont="1" applyBorder="1" applyAlignment="1">
      <alignment vertical="top" wrapText="1"/>
    </xf>
    <xf numFmtId="0" fontId="142" fillId="109" borderId="117" xfId="40" applyFont="1" applyBorder="1" applyAlignment="1">
      <alignment horizontal="center" vertical="center"/>
    </xf>
    <xf numFmtId="0" fontId="133" fillId="109" borderId="130" xfId="40" applyFont="1" applyBorder="1" applyAlignment="1">
      <alignment vertical="top" wrapText="1"/>
    </xf>
    <xf numFmtId="0" fontId="120" fillId="142" borderId="152" xfId="40" applyFill="1" applyBorder="1" applyAlignment="1">
      <alignment horizontal="center"/>
    </xf>
    <xf numFmtId="0" fontId="120" fillId="146" borderId="152" xfId="40" applyFill="1" applyBorder="1" applyAlignment="1">
      <alignment horizontal="center"/>
    </xf>
    <xf numFmtId="0" fontId="120" fillId="147" borderId="152" xfId="40" applyFill="1" applyBorder="1" applyAlignment="1">
      <alignment horizontal="center"/>
    </xf>
    <xf numFmtId="0" fontId="120" fillId="144" borderId="152" xfId="40" applyFill="1" applyBorder="1" applyAlignment="1">
      <alignment horizontal="center"/>
    </xf>
    <xf numFmtId="0" fontId="120" fillId="120" borderId="152" xfId="40" applyFill="1" applyBorder="1" applyAlignment="1">
      <alignment horizontal="center"/>
    </xf>
    <xf numFmtId="0" fontId="151" fillId="109" borderId="106" xfId="40" applyFont="1" applyAlignment="1"/>
    <xf numFmtId="0" fontId="153" fillId="115" borderId="108" xfId="40" applyFont="1" applyFill="1" applyBorder="1" applyAlignment="1">
      <alignment horizontal="center" vertical="center" wrapText="1"/>
    </xf>
    <xf numFmtId="0" fontId="153" fillId="115" borderId="150" xfId="40" applyFont="1" applyFill="1" applyBorder="1" applyAlignment="1">
      <alignment vertical="center" wrapText="1"/>
    </xf>
    <xf numFmtId="0" fontId="136" fillId="126" borderId="110" xfId="40" applyFont="1" applyFill="1" applyBorder="1" applyAlignment="1">
      <alignment horizontal="center" vertical="center" wrapText="1"/>
    </xf>
    <xf numFmtId="0" fontId="136" fillId="126" borderId="111" xfId="40" applyFont="1" applyFill="1" applyBorder="1" applyAlignment="1">
      <alignment horizontal="center" vertical="center" wrapText="1"/>
    </xf>
    <xf numFmtId="0" fontId="136" fillId="115" borderId="110" xfId="40" applyFont="1" applyFill="1" applyBorder="1" applyAlignment="1">
      <alignment horizontal="center" vertical="center" wrapText="1"/>
    </xf>
    <xf numFmtId="0" fontId="154" fillId="109" borderId="118" xfId="40" applyFont="1" applyBorder="1" applyAlignment="1"/>
    <xf numFmtId="0" fontId="154" fillId="113" borderId="118" xfId="40" applyFont="1" applyFill="1" applyBorder="1" applyAlignment="1"/>
    <xf numFmtId="0" fontId="136" fillId="125" borderId="118" xfId="40" applyFont="1" applyFill="1" applyBorder="1" applyAlignment="1">
      <alignment horizontal="center" vertical="center" wrapText="1"/>
    </xf>
    <xf numFmtId="0" fontId="136" fillId="125" borderId="111" xfId="40" applyFont="1" applyFill="1" applyBorder="1" applyAlignment="1">
      <alignment horizontal="center" vertical="center" wrapText="1"/>
    </xf>
    <xf numFmtId="0" fontId="154" fillId="109" borderId="115" xfId="40" applyFont="1" applyBorder="1"/>
    <xf numFmtId="0" fontId="154" fillId="109" borderId="115" xfId="40" applyFont="1" applyBorder="1" applyAlignment="1">
      <alignment wrapText="1"/>
    </xf>
    <xf numFmtId="0" fontId="154" fillId="109" borderId="115" xfId="40" applyFont="1" applyBorder="1" applyAlignment="1">
      <alignment wrapText="1"/>
    </xf>
    <xf numFmtId="0" fontId="154" fillId="113" borderId="115" xfId="40" applyFont="1" applyFill="1" applyBorder="1"/>
    <xf numFmtId="0" fontId="154" fillId="137" borderId="115" xfId="40" applyFont="1" applyFill="1" applyBorder="1"/>
    <xf numFmtId="0" fontId="154" fillId="137" borderId="115" xfId="40" applyFont="1" applyFill="1" applyBorder="1" applyAlignment="1">
      <alignment wrapText="1"/>
    </xf>
    <xf numFmtId="0" fontId="154" fillId="137" borderId="115" xfId="40" applyFont="1" applyFill="1" applyBorder="1" applyAlignment="1">
      <alignment wrapText="1"/>
    </xf>
    <xf numFmtId="0" fontId="154" fillId="133" borderId="115" xfId="40" applyFont="1" applyFill="1" applyBorder="1"/>
    <xf numFmtId="0" fontId="154" fillId="131" borderId="115" xfId="40" applyFont="1" applyFill="1" applyBorder="1"/>
    <xf numFmtId="0" fontId="154" fillId="131" borderId="115" xfId="40" applyFont="1" applyFill="1" applyBorder="1" applyAlignment="1">
      <alignment wrapText="1"/>
    </xf>
    <xf numFmtId="0" fontId="154" fillId="131" borderId="115" xfId="40" applyFont="1" applyFill="1" applyBorder="1" applyAlignment="1">
      <alignment wrapText="1"/>
    </xf>
    <xf numFmtId="0" fontId="154" fillId="130" borderId="115" xfId="40" applyFont="1" applyFill="1" applyBorder="1"/>
    <xf numFmtId="0" fontId="155" fillId="115" borderId="110" xfId="40" applyFont="1" applyFill="1" applyBorder="1" applyAlignment="1">
      <alignment horizontal="center" vertical="center" wrapText="1"/>
    </xf>
    <xf numFmtId="0" fontId="156" fillId="109" borderId="118" xfId="40" applyFont="1" applyBorder="1" applyAlignment="1"/>
    <xf numFmtId="0" fontId="156" fillId="113" borderId="118" xfId="40" applyFont="1" applyFill="1" applyBorder="1" applyAlignment="1"/>
    <xf numFmtId="0" fontId="155" fillId="125" borderId="118" xfId="40" applyFont="1" applyFill="1" applyBorder="1" applyAlignment="1">
      <alignment horizontal="center" vertical="center" wrapText="1"/>
    </xf>
    <xf numFmtId="0" fontId="154" fillId="150" borderId="115" xfId="40" applyFont="1" applyFill="1" applyBorder="1"/>
    <xf numFmtId="0" fontId="154" fillId="150" borderId="115" xfId="40" applyFont="1" applyFill="1" applyBorder="1" applyAlignment="1">
      <alignment wrapText="1"/>
    </xf>
    <xf numFmtId="0" fontId="154" fillId="150" borderId="115" xfId="40" applyFont="1" applyFill="1" applyBorder="1" applyAlignment="1">
      <alignment wrapText="1"/>
    </xf>
    <xf numFmtId="0" fontId="154" fillId="151" borderId="115" xfId="40" applyFont="1" applyFill="1" applyBorder="1"/>
    <xf numFmtId="0" fontId="154" fillId="151" borderId="115" xfId="40" applyFont="1" applyFill="1" applyBorder="1" applyAlignment="1">
      <alignment wrapText="1"/>
    </xf>
    <xf numFmtId="0" fontId="154" fillId="151" borderId="115" xfId="40" applyFont="1" applyFill="1" applyBorder="1" applyAlignment="1">
      <alignment wrapText="1"/>
    </xf>
    <xf numFmtId="0" fontId="154" fillId="113" borderId="115" xfId="40" applyFont="1" applyFill="1" applyBorder="1" applyAlignment="1">
      <alignment horizontal="center" vertical="center" wrapText="1"/>
    </xf>
    <xf numFmtId="0" fontId="122" fillId="115" borderId="122" xfId="40" applyFont="1" applyFill="1" applyBorder="1" applyAlignment="1">
      <alignment horizontal="center" vertical="center" wrapText="1"/>
    </xf>
    <xf numFmtId="0" fontId="122" fillId="115" borderId="150" xfId="40" applyFont="1" applyFill="1" applyBorder="1" applyAlignment="1">
      <alignment horizontal="center" vertical="center" wrapText="1"/>
    </xf>
    <xf numFmtId="0" fontId="126" fillId="113" borderId="106" xfId="40" applyFont="1" applyFill="1" applyAlignment="1">
      <alignment horizontal="center" vertical="center"/>
    </xf>
    <xf numFmtId="0" fontId="126" fillId="109" borderId="106" xfId="40" applyFont="1" applyAlignment="1">
      <alignment horizontal="center" vertical="center"/>
    </xf>
    <xf numFmtId="0" fontId="139" fillId="113" borderId="106" xfId="40" applyFont="1" applyFill="1" applyAlignment="1">
      <alignment horizontal="center" vertical="center"/>
    </xf>
    <xf numFmtId="0" fontId="139" fillId="109" borderId="106" xfId="40" applyFont="1" applyAlignment="1">
      <alignment horizontal="center" vertical="center"/>
    </xf>
    <xf numFmtId="0" fontId="139" fillId="109" borderId="115" xfId="40" applyFont="1" applyBorder="1" applyAlignment="1">
      <alignment horizontal="center" vertical="center"/>
    </xf>
    <xf numFmtId="0" fontId="156" fillId="109" borderId="118" xfId="40" applyFont="1" applyBorder="1" applyAlignment="1">
      <alignment horizontal="center" vertical="center"/>
    </xf>
    <xf numFmtId="0" fontId="156" fillId="113" borderId="118" xfId="40" applyFont="1" applyFill="1" applyBorder="1" applyAlignment="1">
      <alignment horizontal="center" vertical="center"/>
    </xf>
    <xf numFmtId="0" fontId="156" fillId="124" borderId="111" xfId="40" applyFont="1" applyFill="1" applyBorder="1" applyAlignment="1">
      <alignment horizontal="center" vertical="center" wrapText="1"/>
    </xf>
    <xf numFmtId="0" fontId="156" fillId="126" borderId="110" xfId="40" applyFont="1" applyFill="1" applyBorder="1" applyAlignment="1">
      <alignment horizontal="center" vertical="center" wrapText="1"/>
    </xf>
    <xf numFmtId="0" fontId="156" fillId="126" borderId="111" xfId="40" applyFont="1" applyFill="1" applyBorder="1" applyAlignment="1">
      <alignment horizontal="center" vertical="center" wrapText="1"/>
    </xf>
    <xf numFmtId="0" fontId="156" fillId="115" borderId="110" xfId="40" applyFont="1" applyFill="1" applyBorder="1" applyAlignment="1">
      <alignment horizontal="center" vertical="center" wrapText="1"/>
    </xf>
    <xf numFmtId="0" fontId="156" fillId="125" borderId="110" xfId="40" applyFont="1" applyFill="1" applyBorder="1" applyAlignment="1">
      <alignment horizontal="center" vertical="center" wrapText="1"/>
    </xf>
    <xf numFmtId="0" fontId="156" fillId="125" borderId="118" xfId="40" applyFont="1" applyFill="1" applyBorder="1" applyAlignment="1">
      <alignment horizontal="center" vertical="center" wrapText="1"/>
    </xf>
    <xf numFmtId="0" fontId="156" fillId="125" borderId="145" xfId="40" applyFont="1" applyFill="1" applyBorder="1" applyAlignment="1">
      <alignment horizontal="center" vertical="center" wrapText="1"/>
    </xf>
    <xf numFmtId="0" fontId="156" fillId="140" borderId="114" xfId="40" applyFont="1" applyFill="1" applyBorder="1" applyAlignment="1">
      <alignment horizontal="center" vertical="center" wrapText="1"/>
    </xf>
    <xf numFmtId="0" fontId="156" fillId="140" borderId="117" xfId="40" applyFont="1" applyFill="1" applyBorder="1" applyAlignment="1">
      <alignment horizontal="center" vertical="center" wrapText="1"/>
    </xf>
    <xf numFmtId="0" fontId="157" fillId="116" borderId="118" xfId="40" applyFont="1" applyFill="1" applyBorder="1" applyAlignment="1">
      <alignment horizontal="center" vertical="center" wrapText="1"/>
    </xf>
    <xf numFmtId="0" fontId="158" fillId="122" borderId="118" xfId="40" applyFont="1" applyFill="1" applyBorder="1" applyAlignment="1">
      <alignment horizontal="center" vertical="center" wrapText="1"/>
    </xf>
    <xf numFmtId="0" fontId="157" fillId="117" borderId="118" xfId="40" applyFont="1" applyFill="1" applyBorder="1" applyAlignment="1">
      <alignment horizontal="center" vertical="center" wrapText="1"/>
    </xf>
    <xf numFmtId="0" fontId="157" fillId="119" borderId="118" xfId="40" applyFont="1" applyFill="1" applyBorder="1" applyAlignment="1">
      <alignment horizontal="center" vertical="center" wrapText="1"/>
    </xf>
    <xf numFmtId="0" fontId="157" fillId="118" borderId="118" xfId="40" applyFont="1" applyFill="1" applyBorder="1" applyAlignment="1">
      <alignment horizontal="center" vertical="center" wrapText="1"/>
    </xf>
    <xf numFmtId="0" fontId="157" fillId="120" borderId="118" xfId="40" applyFont="1" applyFill="1" applyBorder="1" applyAlignment="1">
      <alignment horizontal="center" vertical="center" wrapText="1"/>
    </xf>
    <xf numFmtId="0" fontId="157" fillId="121" borderId="118" xfId="40" applyFont="1" applyFill="1" applyBorder="1" applyAlignment="1">
      <alignment horizontal="center" vertical="center" wrapText="1"/>
    </xf>
    <xf numFmtId="0" fontId="138" fillId="113" borderId="106" xfId="40" applyFont="1" applyFill="1" applyAlignment="1">
      <alignment horizontal="left" vertical="center"/>
    </xf>
    <xf numFmtId="0" fontId="138" fillId="109" borderId="106" xfId="40" applyFont="1"/>
    <xf numFmtId="0" fontId="138" fillId="148" borderId="106" xfId="40" applyFont="1" applyFill="1"/>
    <xf numFmtId="0" fontId="154" fillId="123" borderId="115" xfId="40" applyFont="1" applyFill="1" applyBorder="1" applyAlignment="1">
      <alignment horizontal="left" vertical="center" wrapText="1"/>
    </xf>
    <xf numFmtId="0" fontId="154" fillId="126" borderId="115" xfId="40" applyFont="1" applyFill="1" applyBorder="1" applyAlignment="1">
      <alignment horizontal="center" vertical="center" wrapText="1"/>
    </xf>
    <xf numFmtId="0" fontId="154" fillId="126" borderId="115" xfId="40" applyFont="1" applyFill="1" applyBorder="1" applyAlignment="1">
      <alignment horizontal="left" vertical="center" wrapText="1"/>
    </xf>
    <xf numFmtId="0" fontId="154" fillId="125" borderId="115" xfId="40" applyFont="1" applyFill="1" applyBorder="1" applyAlignment="1">
      <alignment horizontal="center" vertical="center" wrapText="1"/>
    </xf>
    <xf numFmtId="0" fontId="154" fillId="125" borderId="115" xfId="40" applyFont="1" applyFill="1" applyBorder="1" applyAlignment="1">
      <alignment vertical="center" wrapText="1"/>
    </xf>
    <xf numFmtId="0" fontId="154" fillId="133" borderId="115" xfId="40" applyFont="1" applyFill="1" applyBorder="1" applyAlignment="1">
      <alignment horizontal="center" vertical="center" wrapText="1"/>
    </xf>
    <xf numFmtId="0" fontId="154" fillId="138" borderId="115" xfId="40" applyFont="1" applyFill="1" applyBorder="1" applyAlignment="1">
      <alignment horizontal="center" vertical="center" wrapText="1"/>
    </xf>
    <xf numFmtId="0" fontId="154" fillId="138" borderId="115" xfId="40" applyFont="1" applyFill="1" applyBorder="1" applyAlignment="1">
      <alignment horizontal="left" vertical="center" wrapText="1"/>
    </xf>
    <xf numFmtId="0" fontId="154" fillId="130" borderId="115" xfId="40" applyFont="1" applyFill="1" applyBorder="1" applyAlignment="1">
      <alignment horizontal="center" vertical="center" wrapText="1"/>
    </xf>
    <xf numFmtId="0" fontId="154" fillId="132" borderId="115" xfId="40" applyFont="1" applyFill="1" applyBorder="1" applyAlignment="1">
      <alignment horizontal="center" vertical="center" wrapText="1"/>
    </xf>
    <xf numFmtId="0" fontId="154" fillId="132"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50" borderId="115" xfId="40" applyFont="1" applyFill="1" applyBorder="1" applyAlignment="1">
      <alignment horizontal="center" vertical="center" wrapText="1"/>
    </xf>
    <xf numFmtId="0" fontId="154" fillId="113" borderId="130" xfId="40" applyFont="1" applyFill="1" applyBorder="1" applyAlignment="1">
      <alignment horizontal="center" vertical="center" wrapText="1"/>
    </xf>
    <xf numFmtId="0" fontId="154" fillId="113" borderId="114" xfId="40" applyFont="1" applyFill="1" applyBorder="1" applyAlignment="1">
      <alignment horizontal="center" vertical="center" wrapText="1"/>
    </xf>
    <xf numFmtId="0" fontId="154" fillId="133" borderId="114" xfId="40" applyFont="1" applyFill="1" applyBorder="1" applyAlignment="1">
      <alignment horizontal="center" vertical="center" wrapText="1"/>
    </xf>
    <xf numFmtId="0" fontId="154" fillId="113" borderId="119" xfId="40" applyFont="1" applyFill="1" applyBorder="1" applyAlignment="1">
      <alignment horizontal="center" vertical="center" wrapText="1"/>
    </xf>
    <xf numFmtId="0" fontId="163" fillId="152" borderId="138" xfId="40" applyFont="1" applyFill="1" applyBorder="1" applyAlignment="1">
      <alignment horizontal="center" vertical="center" wrapText="1"/>
    </xf>
    <xf numFmtId="0" fontId="163" fillId="152" borderId="155" xfId="40" applyFont="1" applyFill="1" applyBorder="1" applyAlignment="1">
      <alignment horizontal="center" vertical="center" wrapText="1"/>
    </xf>
    <xf numFmtId="0" fontId="163" fillId="153" borderId="110" xfId="40" applyFont="1" applyFill="1" applyBorder="1" applyAlignment="1">
      <alignment horizontal="center" vertical="center" wrapText="1"/>
    </xf>
    <xf numFmtId="0" fontId="163" fillId="153" borderId="155" xfId="40" applyFont="1" applyFill="1" applyBorder="1" applyAlignment="1">
      <alignment horizontal="center" vertical="center" wrapText="1"/>
    </xf>
    <xf numFmtId="0" fontId="136" fillId="114" borderId="110" xfId="40" applyFont="1" applyFill="1" applyBorder="1" applyAlignment="1">
      <alignment horizontal="center" vertical="center" wrapText="1"/>
    </xf>
    <xf numFmtId="0" fontId="136" fillId="114" borderId="111" xfId="40" applyFont="1" applyFill="1" applyBorder="1" applyAlignment="1">
      <alignment horizontal="center" vertical="center" wrapText="1"/>
    </xf>
    <xf numFmtId="0" fontId="136" fillId="154" borderId="110" xfId="40" applyFont="1" applyFill="1" applyBorder="1" applyAlignment="1">
      <alignment horizontal="center" vertical="center" wrapText="1"/>
    </xf>
    <xf numFmtId="0" fontId="136" fillId="154" borderId="111" xfId="40" applyFont="1" applyFill="1" applyBorder="1" applyAlignment="1">
      <alignment horizontal="center" vertical="center" wrapText="1"/>
    </xf>
    <xf numFmtId="0" fontId="163" fillId="155" borderId="138" xfId="40" applyFont="1" applyFill="1" applyBorder="1" applyAlignment="1">
      <alignment horizontal="center" vertical="center" wrapText="1"/>
    </xf>
    <xf numFmtId="0" fontId="163" fillId="155" borderId="155"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26" borderId="115" xfId="40" applyFont="1" applyFill="1" applyBorder="1" applyAlignment="1">
      <alignment vertical="center" wrapText="1"/>
    </xf>
    <xf numFmtId="0" fontId="165" fillId="116" borderId="118" xfId="40" applyFont="1" applyFill="1" applyBorder="1" applyAlignment="1">
      <alignment horizontal="center" vertical="center" wrapText="1"/>
    </xf>
    <xf numFmtId="0" fontId="153" fillId="122" borderId="118" xfId="40" applyFont="1" applyFill="1" applyBorder="1" applyAlignment="1">
      <alignment horizontal="center" vertical="center" wrapText="1"/>
    </xf>
    <xf numFmtId="0" fontId="165" fillId="117" borderId="118" xfId="40" applyFont="1" applyFill="1" applyBorder="1" applyAlignment="1">
      <alignment horizontal="center" vertical="center" wrapText="1"/>
    </xf>
    <xf numFmtId="0" fontId="165" fillId="119" borderId="118" xfId="40" applyFont="1" applyFill="1" applyBorder="1" applyAlignment="1">
      <alignment horizontal="center" vertical="center" wrapText="1"/>
    </xf>
    <xf numFmtId="0" fontId="165" fillId="118" borderId="118" xfId="40" applyFont="1" applyFill="1" applyBorder="1" applyAlignment="1">
      <alignment horizontal="center" vertical="center" wrapText="1"/>
    </xf>
    <xf numFmtId="0" fontId="165" fillId="120" borderId="118" xfId="40" applyFont="1" applyFill="1" applyBorder="1" applyAlignment="1">
      <alignment horizontal="center" vertical="center" wrapText="1"/>
    </xf>
    <xf numFmtId="0" fontId="165" fillId="121" borderId="118" xfId="40" applyFont="1" applyFill="1" applyBorder="1" applyAlignment="1">
      <alignment horizontal="center" vertical="center" wrapText="1"/>
    </xf>
    <xf numFmtId="0" fontId="138" fillId="113" borderId="114" xfId="40" applyFont="1" applyFill="1" applyBorder="1" applyAlignment="1">
      <alignment horizontal="center" vertical="center" wrapText="1"/>
    </xf>
    <xf numFmtId="0" fontId="156" fillId="113" borderId="114" xfId="40" applyFont="1" applyFill="1" applyBorder="1" applyAlignment="1">
      <alignment horizontal="center" vertical="center" wrapText="1"/>
    </xf>
    <xf numFmtId="0" fontId="138" fillId="109" borderId="106" xfId="40" applyFont="1" applyAlignment="1">
      <alignment wrapText="1"/>
    </xf>
    <xf numFmtId="0" fontId="154" fillId="125" borderId="115" xfId="40" applyFont="1" applyFill="1" applyBorder="1" applyAlignment="1">
      <alignment horizontal="center" vertical="center" wrapText="1"/>
    </xf>
    <xf numFmtId="0" fontId="154" fillId="123" borderId="115" xfId="40" applyFont="1" applyFill="1" applyBorder="1" applyAlignment="1">
      <alignment vertical="center" wrapText="1"/>
    </xf>
    <xf numFmtId="0" fontId="166" fillId="116" borderId="118" xfId="40" applyFont="1" applyFill="1" applyBorder="1" applyAlignment="1">
      <alignment horizontal="center" vertical="center" wrapText="1"/>
    </xf>
    <xf numFmtId="0" fontId="167" fillId="122" borderId="118" xfId="40" applyFont="1" applyFill="1" applyBorder="1" applyAlignment="1">
      <alignment horizontal="center" vertical="center" wrapText="1"/>
    </xf>
    <xf numFmtId="0" fontId="166" fillId="117" borderId="118" xfId="40" applyFont="1" applyFill="1" applyBorder="1" applyAlignment="1">
      <alignment horizontal="center" vertical="center" wrapText="1"/>
    </xf>
    <xf numFmtId="0" fontId="166" fillId="119" borderId="118" xfId="40" applyFont="1" applyFill="1" applyBorder="1" applyAlignment="1">
      <alignment horizontal="center" vertical="center" wrapText="1"/>
    </xf>
    <xf numFmtId="0" fontId="166" fillId="118" borderId="118" xfId="40" applyFont="1" applyFill="1" applyBorder="1" applyAlignment="1">
      <alignment horizontal="center" vertical="center" wrapText="1"/>
    </xf>
    <xf numFmtId="0" fontId="166" fillId="120" borderId="118" xfId="40" applyFont="1" applyFill="1" applyBorder="1" applyAlignment="1">
      <alignment horizontal="center" vertical="center" wrapText="1"/>
    </xf>
    <xf numFmtId="0" fontId="166" fillId="121" borderId="118" xfId="40" applyFont="1" applyFill="1" applyBorder="1" applyAlignment="1">
      <alignment horizontal="center" vertical="center" wrapText="1"/>
    </xf>
    <xf numFmtId="0" fontId="168" fillId="121" borderId="115" xfId="40" applyFont="1" applyFill="1" applyBorder="1" applyAlignment="1">
      <alignment horizontal="center" vertical="center" wrapText="1"/>
    </xf>
    <xf numFmtId="0" fontId="168" fillId="116" borderId="115" xfId="40" applyFont="1" applyFill="1" applyBorder="1" applyAlignment="1">
      <alignment horizontal="center" vertical="center" wrapText="1"/>
    </xf>
    <xf numFmtId="0" fontId="122" fillId="122" borderId="115" xfId="40" applyFont="1" applyFill="1" applyBorder="1" applyAlignment="1">
      <alignment horizontal="center" vertical="center" wrapText="1"/>
    </xf>
    <xf numFmtId="0" fontId="168" fillId="117" borderId="115" xfId="40" applyFont="1" applyFill="1" applyBorder="1" applyAlignment="1">
      <alignment horizontal="center" vertical="center" wrapText="1"/>
    </xf>
    <xf numFmtId="0" fontId="168" fillId="119" borderId="115" xfId="40" applyFont="1" applyFill="1" applyBorder="1" applyAlignment="1">
      <alignment horizontal="center" vertical="center" wrapText="1"/>
    </xf>
    <xf numFmtId="0" fontId="168" fillId="118" borderId="115" xfId="40" applyFont="1" applyFill="1" applyBorder="1" applyAlignment="1">
      <alignment horizontal="center" vertical="center" wrapText="1"/>
    </xf>
    <xf numFmtId="0" fontId="168" fillId="120" borderId="115" xfId="40" applyFont="1" applyFill="1" applyBorder="1" applyAlignment="1">
      <alignment horizontal="center" vertical="center" wrapText="1"/>
    </xf>
    <xf numFmtId="0" fontId="138" fillId="113" borderId="106" xfId="40" applyFont="1" applyFill="1" applyAlignment="1">
      <alignment horizontal="center" vertical="center"/>
    </xf>
    <xf numFmtId="0" fontId="154" fillId="124" borderId="131" xfId="40" applyFont="1" applyFill="1" applyBorder="1" applyAlignment="1">
      <alignment horizontal="center" vertical="center" wrapText="1"/>
    </xf>
    <xf numFmtId="0" fontId="154" fillId="126" borderId="115" xfId="40" applyFont="1" applyFill="1" applyBorder="1" applyAlignment="1">
      <alignment horizontal="center" vertical="center" wrapText="1"/>
    </xf>
    <xf numFmtId="0" fontId="154" fillId="126"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38" fillId="109" borderId="106" xfId="40" applyFont="1" applyAlignment="1">
      <alignment horizontal="center" vertical="center"/>
    </xf>
    <xf numFmtId="0" fontId="138" fillId="109" borderId="115" xfId="40" applyFont="1" applyBorder="1" applyAlignment="1">
      <alignment horizontal="center" vertical="center"/>
    </xf>
    <xf numFmtId="0" fontId="154" fillId="124" borderId="115" xfId="40" applyFont="1" applyFill="1" applyBorder="1" applyAlignment="1">
      <alignment horizontal="center" vertical="center" wrapText="1"/>
    </xf>
    <xf numFmtId="0" fontId="154" fillId="135" borderId="115" xfId="40" applyFont="1" applyFill="1" applyBorder="1" applyAlignment="1">
      <alignment horizontal="center" vertical="center" wrapText="1"/>
    </xf>
    <xf numFmtId="0" fontId="154" fillId="136" borderId="115" xfId="40" applyFont="1" applyFill="1" applyBorder="1" applyAlignment="1">
      <alignment horizontal="center" vertical="center" wrapText="1"/>
    </xf>
    <xf numFmtId="0" fontId="154" fillId="139" borderId="115" xfId="40" applyFont="1" applyFill="1" applyBorder="1" applyAlignment="1">
      <alignment horizontal="center" vertical="center" wrapText="1"/>
    </xf>
    <xf numFmtId="0" fontId="154" fillId="128" borderId="115" xfId="40" applyFont="1" applyFill="1" applyBorder="1" applyAlignment="1">
      <alignment horizontal="center" vertical="center" wrapText="1"/>
    </xf>
    <xf numFmtId="0" fontId="154" fillId="129" borderId="115" xfId="40" applyFont="1" applyFill="1" applyBorder="1" applyAlignment="1">
      <alignment horizontal="center" vertical="center" wrapText="1"/>
    </xf>
    <xf numFmtId="0" fontId="154" fillId="128" borderId="120" xfId="40" applyFont="1" applyFill="1" applyBorder="1" applyAlignment="1">
      <alignment horizontal="center" vertical="center" wrapText="1"/>
    </xf>
    <xf numFmtId="0" fontId="154" fillId="129" borderId="120" xfId="40" applyFont="1" applyFill="1" applyBorder="1" applyAlignment="1">
      <alignment horizontal="center" vertical="center" wrapText="1"/>
    </xf>
    <xf numFmtId="0" fontId="154" fillId="132" borderId="120" xfId="40" applyFont="1" applyFill="1" applyBorder="1" applyAlignment="1">
      <alignment horizontal="center" vertical="center" wrapText="1"/>
    </xf>
    <xf numFmtId="0" fontId="154" fillId="126" borderId="120" xfId="40" applyFont="1" applyFill="1" applyBorder="1" applyAlignment="1">
      <alignment horizontal="center" vertical="center" wrapText="1"/>
    </xf>
    <xf numFmtId="0" fontId="125" fillId="113" borderId="106" xfId="40" applyFont="1" applyFill="1" applyAlignment="1">
      <alignment horizontal="left" vertical="center" wrapText="1"/>
    </xf>
    <xf numFmtId="0" fontId="154" fillId="113" borderId="131" xfId="40" applyFont="1" applyFill="1" applyBorder="1" applyAlignment="1">
      <alignment horizontal="left" vertical="center" wrapText="1"/>
    </xf>
    <xf numFmtId="0" fontId="154" fillId="113" borderId="115" xfId="40" applyFont="1" applyFill="1" applyBorder="1" applyAlignment="1">
      <alignment horizontal="left" vertical="center" wrapText="1"/>
    </xf>
    <xf numFmtId="0" fontId="154" fillId="113" borderId="120" xfId="40" applyFont="1" applyFill="1" applyBorder="1" applyAlignment="1">
      <alignment horizontal="left" vertical="center" wrapText="1"/>
    </xf>
    <xf numFmtId="0" fontId="161" fillId="148" borderId="131" xfId="40" applyFont="1" applyFill="1" applyBorder="1" applyAlignment="1">
      <alignment horizontal="left" vertical="center" wrapText="1"/>
    </xf>
    <xf numFmtId="0" fontId="125" fillId="109" borderId="106" xfId="40" applyFont="1" applyAlignment="1">
      <alignment horizontal="left" vertical="center" wrapText="1"/>
    </xf>
    <xf numFmtId="0" fontId="154" fillId="123" borderId="131" xfId="40" applyFont="1" applyFill="1" applyBorder="1" applyAlignment="1">
      <alignment horizontal="left" vertical="center" wrapText="1"/>
    </xf>
    <xf numFmtId="0" fontId="154" fillId="126" borderId="115" xfId="40" applyFont="1" applyFill="1" applyBorder="1" applyAlignment="1">
      <alignment horizontal="left" vertical="center" wrapText="1"/>
    </xf>
    <xf numFmtId="0" fontId="154" fillId="126" borderId="131" xfId="40" applyFont="1" applyFill="1" applyBorder="1" applyAlignment="1">
      <alignment horizontal="left" vertical="center" wrapText="1"/>
    </xf>
    <xf numFmtId="0" fontId="154" fillId="148" borderId="131" xfId="40" applyFont="1" applyFill="1" applyBorder="1" applyAlignment="1">
      <alignment horizontal="left" vertical="center" wrapText="1"/>
    </xf>
    <xf numFmtId="0" fontId="154" fillId="148" borderId="131" xfId="40" applyFont="1" applyFill="1" applyBorder="1" applyAlignment="1">
      <alignment horizontal="left" vertical="center"/>
    </xf>
    <xf numFmtId="0" fontId="154" fillId="148" borderId="131" xfId="40" applyFont="1" applyFill="1" applyBorder="1" applyAlignment="1">
      <alignment horizontal="left" vertical="center" wrapText="1"/>
    </xf>
    <xf numFmtId="0" fontId="154" fillId="125" borderId="131" xfId="40" applyFont="1" applyFill="1" applyBorder="1" applyAlignment="1">
      <alignment horizontal="left" vertical="center" wrapText="1"/>
    </xf>
    <xf numFmtId="0" fontId="154" fillId="140" borderId="131" xfId="40" applyFont="1" applyFill="1" applyBorder="1" applyAlignment="1">
      <alignment horizontal="left" vertical="center" wrapText="1"/>
    </xf>
    <xf numFmtId="0" fontId="154" fillId="123" borderId="115" xfId="40" applyFont="1" applyFill="1" applyBorder="1" applyAlignment="1">
      <alignment horizontal="left" vertical="center" wrapText="1"/>
    </xf>
    <xf numFmtId="0" fontId="154" fillId="148" borderId="115" xfId="40" applyFont="1" applyFill="1" applyBorder="1" applyAlignment="1">
      <alignment horizontal="left" vertical="center" wrapText="1"/>
    </xf>
    <xf numFmtId="0" fontId="154" fillId="148" borderId="115" xfId="40" applyFont="1" applyFill="1" applyBorder="1" applyAlignment="1">
      <alignment horizontal="left" vertical="center"/>
    </xf>
    <xf numFmtId="0" fontId="154" fillId="148"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40" borderId="115" xfId="40" applyFont="1" applyFill="1" applyBorder="1" applyAlignment="1">
      <alignment horizontal="left" vertical="center" wrapText="1"/>
    </xf>
    <xf numFmtId="0" fontId="154" fillId="134" borderId="115" xfId="40" applyFont="1" applyFill="1" applyBorder="1" applyAlignment="1">
      <alignment horizontal="left" vertical="center" wrapText="1"/>
    </xf>
    <xf numFmtId="0" fontId="154" fillId="133" borderId="115" xfId="40" applyFont="1" applyFill="1" applyBorder="1" applyAlignment="1">
      <alignment horizontal="left" vertical="center" wrapText="1"/>
    </xf>
    <xf numFmtId="0" fontId="154" fillId="139" borderId="115" xfId="40" applyFont="1" applyFill="1" applyBorder="1" applyAlignment="1">
      <alignment horizontal="left" vertical="center" wrapText="1"/>
    </xf>
    <xf numFmtId="0" fontId="154" fillId="127" borderId="115" xfId="40" applyFont="1" applyFill="1" applyBorder="1" applyAlignment="1">
      <alignment horizontal="left" vertical="center" wrapText="1"/>
    </xf>
    <xf numFmtId="0" fontId="154" fillId="132" borderId="115" xfId="40" applyFont="1" applyFill="1" applyBorder="1" applyAlignment="1">
      <alignment horizontal="left" vertical="center" wrapText="1"/>
    </xf>
    <xf numFmtId="0" fontId="154" fillId="113" borderId="131" xfId="40" applyFont="1" applyFill="1" applyBorder="1" applyAlignment="1">
      <alignment horizontal="left" vertical="center"/>
    </xf>
    <xf numFmtId="0" fontId="154" fillId="113" borderId="115" xfId="40" applyFont="1" applyFill="1" applyBorder="1" applyAlignment="1">
      <alignment horizontal="left" vertical="center"/>
    </xf>
    <xf numFmtId="0" fontId="154" fillId="127" borderId="120" xfId="40" applyFont="1" applyFill="1" applyBorder="1" applyAlignment="1">
      <alignment horizontal="left" vertical="center" wrapText="1"/>
    </xf>
    <xf numFmtId="0" fontId="154" fillId="129" borderId="120" xfId="40" applyFont="1" applyFill="1" applyBorder="1" applyAlignment="1">
      <alignment horizontal="left" vertical="center" wrapText="1"/>
    </xf>
    <xf numFmtId="0" fontId="154" fillId="130" borderId="120" xfId="40" applyFont="1" applyFill="1" applyBorder="1" applyAlignment="1">
      <alignment horizontal="left" vertical="center" wrapText="1"/>
    </xf>
    <xf numFmtId="0" fontId="154" fillId="131" borderId="120" xfId="40" applyFont="1" applyFill="1" applyBorder="1" applyAlignment="1">
      <alignment horizontal="left" vertical="center"/>
    </xf>
    <xf numFmtId="0" fontId="154" fillId="131" borderId="120" xfId="40" applyFont="1" applyFill="1" applyBorder="1" applyAlignment="1">
      <alignment horizontal="left" vertical="center" wrapText="1"/>
    </xf>
    <xf numFmtId="0" fontId="154" fillId="131" borderId="120" xfId="40" applyFont="1" applyFill="1" applyBorder="1" applyAlignment="1">
      <alignment horizontal="left" vertical="center" wrapText="1"/>
    </xf>
    <xf numFmtId="0" fontId="154" fillId="130" borderId="120" xfId="40" applyFont="1" applyFill="1" applyBorder="1" applyAlignment="1">
      <alignment horizontal="left" vertical="center"/>
    </xf>
    <xf numFmtId="0" fontId="154" fillId="141" borderId="120" xfId="40" applyFont="1" applyFill="1" applyBorder="1" applyAlignment="1">
      <alignment horizontal="left" vertical="center" wrapText="1"/>
    </xf>
    <xf numFmtId="0" fontId="154" fillId="138" borderId="115" xfId="40" applyFont="1" applyFill="1" applyBorder="1" applyAlignment="1">
      <alignment horizontal="left" vertical="center" wrapText="1"/>
    </xf>
    <xf numFmtId="0" fontId="154" fillId="149" borderId="115" xfId="40" applyFont="1" applyFill="1" applyBorder="1" applyAlignment="1">
      <alignment horizontal="left" vertical="center" wrapText="1"/>
    </xf>
    <xf numFmtId="0" fontId="154" fillId="141" borderId="115" xfId="40" applyFont="1" applyFill="1" applyBorder="1" applyAlignment="1">
      <alignment horizontal="left" vertical="center" wrapText="1"/>
    </xf>
    <xf numFmtId="0" fontId="154" fillId="132" borderId="120" xfId="40" applyFont="1" applyFill="1" applyBorder="1" applyAlignment="1">
      <alignment horizontal="left" vertical="center" wrapText="1"/>
    </xf>
    <xf numFmtId="0" fontId="154" fillId="140" borderId="120" xfId="40" applyFont="1" applyFill="1" applyBorder="1" applyAlignment="1">
      <alignment horizontal="left" vertical="center" wrapText="1"/>
    </xf>
    <xf numFmtId="0" fontId="154" fillId="140" borderId="156" xfId="40" applyFont="1" applyFill="1" applyBorder="1" applyAlignment="1">
      <alignment horizontal="left" vertical="center" wrapText="1"/>
    </xf>
    <xf numFmtId="0" fontId="154" fillId="140" borderId="127" xfId="40" applyFont="1" applyFill="1" applyBorder="1" applyAlignment="1">
      <alignment horizontal="left" vertical="center" wrapText="1"/>
    </xf>
    <xf numFmtId="0" fontId="131" fillId="109" borderId="116" xfId="40" applyFont="1" applyBorder="1" applyAlignment="1">
      <alignment horizontal="center" vertical="center" wrapText="1"/>
    </xf>
    <xf numFmtId="0" fontId="132" fillId="109" borderId="116" xfId="40" applyFont="1" applyBorder="1" applyAlignment="1">
      <alignment horizontal="center" vertical="center" wrapText="1"/>
    </xf>
    <xf numFmtId="0" fontId="131" fillId="109" borderId="109" xfId="40" applyFont="1" applyBorder="1" applyAlignment="1">
      <alignment horizontal="center" vertical="center" wrapText="1"/>
    </xf>
    <xf numFmtId="0" fontId="143" fillId="109" borderId="115" xfId="40" applyFont="1" applyBorder="1" applyAlignment="1">
      <alignment horizontal="center" vertical="center" wrapText="1"/>
    </xf>
    <xf numFmtId="0" fontId="144" fillId="109" borderId="115" xfId="40" applyFont="1" applyBorder="1" applyAlignment="1">
      <alignment horizontal="center" vertical="center" wrapText="1"/>
    </xf>
    <xf numFmtId="0" fontId="143" fillId="109" borderId="117" xfId="40" applyFont="1" applyBorder="1" applyAlignment="1">
      <alignment horizontal="center" vertical="center" wrapText="1"/>
    </xf>
    <xf numFmtId="0" fontId="127" fillId="114" borderId="110" xfId="40" applyFont="1" applyFill="1" applyBorder="1" applyAlignment="1">
      <alignment horizontal="center" vertical="center" wrapText="1"/>
    </xf>
    <xf numFmtId="0" fontId="156" fillId="114" borderId="111" xfId="40" applyFont="1" applyFill="1" applyBorder="1" applyAlignment="1">
      <alignment horizontal="center" vertical="center" wrapText="1"/>
    </xf>
    <xf numFmtId="0" fontId="154" fillId="114" borderId="131"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59" borderId="120" xfId="40" applyFont="1" applyFill="1" applyBorder="1" applyAlignment="1">
      <alignment horizontal="center" vertical="center" wrapText="1"/>
    </xf>
    <xf numFmtId="0" fontId="154" fillId="114" borderId="120" xfId="40" applyFont="1" applyFill="1" applyBorder="1" applyAlignment="1">
      <alignment horizontal="center" vertical="center" wrapText="1"/>
    </xf>
    <xf numFmtId="0" fontId="156" fillId="154" borderId="110" xfId="40" applyFont="1" applyFill="1" applyBorder="1" applyAlignment="1">
      <alignment horizontal="center" vertical="center" wrapText="1"/>
    </xf>
    <xf numFmtId="0" fontId="154" fillId="154" borderId="131"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6" borderId="120" xfId="40" applyFont="1" applyFill="1" applyBorder="1" applyAlignment="1">
      <alignment horizontal="center" vertical="center" wrapText="1"/>
    </xf>
    <xf numFmtId="0" fontId="154" fillId="154" borderId="120" xfId="40" applyFont="1" applyFill="1" applyBorder="1" applyAlignment="1">
      <alignment horizontal="center" vertical="center" wrapText="1"/>
    </xf>
    <xf numFmtId="0" fontId="169" fillId="113" borderId="115" xfId="40" applyFont="1" applyFill="1" applyBorder="1" applyAlignment="1">
      <alignment horizontal="center" vertical="center" wrapText="1"/>
    </xf>
    <xf numFmtId="0" fontId="136" fillId="126" borderId="110" xfId="40" applyFont="1" applyFill="1" applyBorder="1" applyAlignment="1">
      <alignment horizontal="center" vertical="center"/>
    </xf>
    <xf numFmtId="0" fontId="170" fillId="156" borderId="115" xfId="40" applyFont="1" applyFill="1" applyBorder="1" applyAlignment="1">
      <alignment horizontal="center" vertical="center" wrapText="1"/>
    </xf>
    <xf numFmtId="0" fontId="171" fillId="113" borderId="106" xfId="40" applyFont="1" applyFill="1" applyAlignment="1">
      <alignment horizontal="center" vertical="center" wrapText="1"/>
    </xf>
    <xf numFmtId="0" fontId="174" fillId="113" borderId="106" xfId="40" applyFont="1" applyFill="1" applyAlignment="1">
      <alignment horizontal="center" vertical="center" wrapText="1"/>
    </xf>
    <xf numFmtId="0" fontId="172" fillId="113" borderId="106" xfId="40" applyFont="1" applyFill="1" applyAlignment="1">
      <alignment vertical="top" wrapText="1"/>
    </xf>
    <xf numFmtId="0" fontId="175" fillId="113" borderId="106" xfId="40" applyFont="1" applyFill="1" applyAlignment="1">
      <alignment horizontal="center" vertical="center"/>
    </xf>
    <xf numFmtId="0" fontId="136" fillId="125" borderId="145" xfId="40" applyFont="1" applyFill="1" applyBorder="1" applyAlignment="1">
      <alignment horizontal="center" vertical="center" wrapText="1"/>
    </xf>
    <xf numFmtId="0" fontId="138" fillId="125" borderId="156" xfId="40" applyFont="1" applyFill="1" applyBorder="1" applyAlignment="1">
      <alignment horizontal="center" vertical="center" wrapText="1"/>
    </xf>
    <xf numFmtId="0" fontId="138" fillId="125" borderId="127" xfId="40" applyFont="1" applyFill="1" applyBorder="1" applyAlignment="1">
      <alignment horizontal="center" vertical="center" wrapText="1"/>
    </xf>
    <xf numFmtId="0" fontId="138" fillId="139" borderId="12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28" fillId="109" borderId="115" xfId="40" applyFont="1" applyBorder="1"/>
    <xf numFmtId="0" fontId="138" fillId="109" borderId="115" xfId="40" applyFont="1" applyBorder="1"/>
    <xf numFmtId="0" fontId="138" fillId="125" borderId="127" xfId="40" applyFont="1" applyFill="1" applyBorder="1" applyAlignment="1">
      <alignment horizontal="center" vertical="center" wrapText="1"/>
    </xf>
    <xf numFmtId="0" fontId="138" fillId="125" borderId="143" xfId="40" applyFont="1" applyFill="1" applyBorder="1" applyAlignment="1">
      <alignment horizontal="center" vertical="center" wrapText="1"/>
    </xf>
    <xf numFmtId="0" fontId="138" fillId="132" borderId="127" xfId="40" applyFont="1" applyFill="1" applyBorder="1" applyAlignment="1">
      <alignment horizontal="center" vertical="center" wrapText="1"/>
    </xf>
    <xf numFmtId="0" fontId="138" fillId="138" borderId="127" xfId="40" applyFont="1" applyFill="1" applyBorder="1" applyAlignment="1">
      <alignment horizontal="center" vertical="center" wrapText="1"/>
    </xf>
    <xf numFmtId="0" fontId="138" fillId="109" borderId="115" xfId="40" applyFont="1" applyBorder="1" applyAlignment="1">
      <alignment vertical="center" wrapText="1"/>
    </xf>
    <xf numFmtId="0" fontId="154" fillId="109" borderId="115" xfId="40" applyFont="1" applyBorder="1" applyAlignment="1">
      <alignment vertical="center" wrapText="1"/>
    </xf>
    <xf numFmtId="0" fontId="154" fillId="148" borderId="115" xfId="40" applyFont="1" applyFill="1" applyBorder="1" applyAlignment="1">
      <alignment vertical="center" wrapText="1"/>
    </xf>
    <xf numFmtId="0" fontId="154" fillId="109" borderId="115" xfId="40" applyFont="1" applyBorder="1" applyAlignment="1">
      <alignment horizontal="left" vertical="center" wrapText="1"/>
    </xf>
    <xf numFmtId="0" fontId="163" fillId="109" borderId="115" xfId="40" applyFont="1" applyBorder="1" applyAlignment="1">
      <alignment vertical="center" wrapText="1"/>
    </xf>
    <xf numFmtId="0" fontId="138" fillId="125" borderId="127" xfId="40" applyFont="1" applyFill="1" applyBorder="1" applyAlignment="1">
      <alignment horizontal="left" vertical="center" wrapText="1"/>
    </xf>
    <xf numFmtId="0" fontId="138" fillId="132" borderId="144" xfId="40" applyFont="1" applyFill="1" applyBorder="1" applyAlignment="1">
      <alignment horizontal="left" vertical="center" wrapText="1"/>
    </xf>
    <xf numFmtId="0" fontId="138" fillId="138" borderId="115" xfId="40" applyFont="1" applyFill="1" applyBorder="1" applyAlignment="1">
      <alignment horizontal="left" vertical="center" wrapText="1"/>
    </xf>
    <xf numFmtId="0" fontId="138" fillId="138" borderId="156" xfId="40" applyFont="1" applyFill="1" applyBorder="1" applyAlignment="1">
      <alignment horizontal="left" vertical="center" wrapText="1"/>
    </xf>
    <xf numFmtId="0" fontId="154" fillId="125" borderId="127" xfId="40" applyFont="1" applyFill="1" applyBorder="1" applyAlignment="1">
      <alignment horizontal="left" vertical="center" wrapText="1"/>
    </xf>
    <xf numFmtId="0" fontId="176" fillId="125" borderId="156" xfId="40" applyFont="1" applyFill="1" applyBorder="1" applyAlignment="1">
      <alignment horizontal="left" vertical="center" wrapText="1"/>
    </xf>
    <xf numFmtId="0" fontId="136" fillId="114" borderId="107" xfId="40" applyFont="1" applyFill="1" applyBorder="1" applyAlignment="1">
      <alignment vertical="center" wrapText="1"/>
    </xf>
    <xf numFmtId="0" fontId="136" fillId="114" borderId="128" xfId="40" applyFont="1" applyFill="1" applyBorder="1" applyAlignment="1">
      <alignment vertical="center" wrapText="1"/>
    </xf>
    <xf numFmtId="0" fontId="136" fillId="114" borderId="112" xfId="40" applyFont="1" applyFill="1" applyBorder="1" applyAlignment="1">
      <alignment vertical="center" wrapText="1"/>
    </xf>
    <xf numFmtId="0" fontId="136" fillId="114" borderId="106" xfId="40" applyFont="1" applyFill="1" applyAlignment="1">
      <alignment vertical="center" wrapText="1"/>
    </xf>
    <xf numFmtId="0" fontId="136" fillId="114" borderId="149" xfId="40" applyFont="1" applyFill="1" applyBorder="1" applyAlignment="1">
      <alignment vertical="center" wrapText="1"/>
    </xf>
    <xf numFmtId="0" fontId="128" fillId="109" borderId="131" xfId="40" applyFont="1" applyBorder="1"/>
    <xf numFmtId="0" fontId="154" fillId="125" borderId="143" xfId="40" applyFont="1" applyFill="1" applyBorder="1" applyAlignment="1">
      <alignment horizontal="left" vertical="center" wrapText="1"/>
    </xf>
    <xf numFmtId="0" fontId="154" fillId="132" borderId="127" xfId="40" applyFont="1" applyFill="1" applyBorder="1" applyAlignment="1">
      <alignment horizontal="left" vertical="center" wrapText="1"/>
    </xf>
    <xf numFmtId="0" fontId="138" fillId="132" borderId="127" xfId="40" applyFont="1" applyFill="1" applyBorder="1" applyAlignment="1">
      <alignment horizontal="left" vertical="center" wrapText="1"/>
    </xf>
    <xf numFmtId="0" fontId="158" fillId="109" borderId="127" xfId="40" applyFont="1" applyBorder="1" applyAlignment="1">
      <alignment vertical="center" wrapText="1"/>
    </xf>
    <xf numFmtId="0" fontId="157" fillId="109" borderId="158" xfId="40" applyFont="1" applyBorder="1" applyAlignment="1">
      <alignment vertical="center" wrapText="1"/>
    </xf>
    <xf numFmtId="0" fontId="158" fillId="109" borderId="156" xfId="40" applyFont="1" applyBorder="1" applyAlignment="1">
      <alignment vertical="center" wrapText="1"/>
    </xf>
    <xf numFmtId="0" fontId="158" fillId="133" borderId="127" xfId="40" applyFont="1" applyFill="1" applyBorder="1" applyAlignment="1">
      <alignment vertical="center" wrapText="1"/>
    </xf>
    <xf numFmtId="0" fontId="158" fillId="109" borderId="144" xfId="40" applyFont="1" applyBorder="1" applyAlignment="1">
      <alignment vertical="center" wrapText="1"/>
    </xf>
    <xf numFmtId="0" fontId="158" fillId="137" borderId="127" xfId="40" applyFont="1" applyFill="1" applyBorder="1" applyAlignment="1">
      <alignment vertical="center" wrapText="1"/>
    </xf>
    <xf numFmtId="0" fontId="154" fillId="160" borderId="115" xfId="40" applyFont="1" applyFill="1" applyBorder="1" applyAlignment="1">
      <alignment horizontal="left" vertical="center" wrapText="1"/>
    </xf>
    <xf numFmtId="0" fontId="154" fillId="161" borderId="115" xfId="40" applyFont="1" applyFill="1" applyBorder="1" applyAlignment="1">
      <alignment horizontal="left" vertical="center" wrapText="1"/>
    </xf>
    <xf numFmtId="0" fontId="150" fillId="113" borderId="106" xfId="40" applyFont="1" applyFill="1" applyAlignment="1">
      <alignment horizontal="center" vertical="center"/>
    </xf>
    <xf numFmtId="0" fontId="137" fillId="113" borderId="106" xfId="40" applyFont="1" applyFill="1" applyAlignment="1">
      <alignment horizontal="center" vertical="center"/>
    </xf>
    <xf numFmtId="0" fontId="146" fillId="114" borderId="107" xfId="40" applyFont="1" applyFill="1" applyBorder="1" applyAlignment="1">
      <alignment horizontal="left" vertical="center" wrapText="1"/>
    </xf>
    <xf numFmtId="0" fontId="146" fillId="114" borderId="128" xfId="40" applyFont="1" applyFill="1" applyBorder="1" applyAlignment="1">
      <alignment horizontal="left" vertical="center" wrapText="1"/>
    </xf>
    <xf numFmtId="0" fontId="146" fillId="114" borderId="113" xfId="40" applyFont="1" applyFill="1" applyBorder="1" applyAlignment="1">
      <alignment horizontal="left" vertical="center" wrapText="1"/>
    </xf>
    <xf numFmtId="0" fontId="136" fillId="114" borderId="107" xfId="40" applyFont="1" applyFill="1" applyBorder="1" applyAlignment="1">
      <alignment horizontal="left" vertical="center" wrapText="1"/>
    </xf>
    <xf numFmtId="0" fontId="136" fillId="114" borderId="128" xfId="40" applyFont="1" applyFill="1" applyBorder="1" applyAlignment="1">
      <alignment horizontal="left" vertical="center" wrapText="1"/>
    </xf>
    <xf numFmtId="0" fontId="136" fillId="114" borderId="112" xfId="40" applyFont="1" applyFill="1" applyBorder="1" applyAlignment="1">
      <alignment horizontal="left" vertical="center" wrapText="1"/>
    </xf>
    <xf numFmtId="0" fontId="134" fillId="114" borderId="108" xfId="40" applyFont="1" applyFill="1" applyBorder="1" applyAlignment="1">
      <alignment horizontal="right" vertical="center" wrapText="1"/>
    </xf>
    <xf numFmtId="0" fontId="134" fillId="114" borderId="109" xfId="40" applyFont="1" applyFill="1" applyBorder="1" applyAlignment="1">
      <alignment horizontal="right" vertical="center" wrapText="1"/>
    </xf>
    <xf numFmtId="0" fontId="134" fillId="114" borderId="110" xfId="40" applyFont="1" applyFill="1" applyBorder="1" applyAlignment="1">
      <alignment horizontal="right" vertical="center" wrapText="1"/>
    </xf>
    <xf numFmtId="0" fontId="134" fillId="114" borderId="111" xfId="40" applyFont="1" applyFill="1" applyBorder="1" applyAlignment="1">
      <alignment horizontal="right" vertical="center" wrapText="1"/>
    </xf>
    <xf numFmtId="0" fontId="153" fillId="114" borderId="108" xfId="40" applyFont="1" applyFill="1" applyBorder="1" applyAlignment="1">
      <alignment horizontal="center" vertical="center" wrapText="1"/>
    </xf>
    <xf numFmtId="0" fontId="153" fillId="114" borderId="109" xfId="40" applyFont="1" applyFill="1" applyBorder="1" applyAlignment="1">
      <alignment horizontal="center" vertical="center" wrapText="1"/>
    </xf>
    <xf numFmtId="0" fontId="153" fillId="154" borderId="108" xfId="40" applyFont="1" applyFill="1" applyBorder="1" applyAlignment="1">
      <alignment horizontal="center" vertical="center" wrapText="1"/>
    </xf>
    <xf numFmtId="0" fontId="153" fillId="154" borderId="109" xfId="40" applyFont="1" applyFill="1" applyBorder="1" applyAlignment="1">
      <alignment horizontal="center" vertical="center" wrapText="1"/>
    </xf>
    <xf numFmtId="0" fontId="153" fillId="126" borderId="108" xfId="40" applyFont="1" applyFill="1" applyBorder="1" applyAlignment="1">
      <alignment horizontal="center" vertical="center" wrapText="1"/>
    </xf>
    <xf numFmtId="0" fontId="153" fillId="126" borderId="109" xfId="40" applyFont="1" applyFill="1" applyBorder="1" applyAlignment="1">
      <alignment horizontal="center" vertical="center" wrapText="1"/>
    </xf>
    <xf numFmtId="0" fontId="122" fillId="114" borderId="152" xfId="40" applyFont="1" applyFill="1" applyBorder="1" applyAlignment="1">
      <alignment horizontal="center" vertical="center" wrapText="1"/>
    </xf>
    <xf numFmtId="0" fontId="122" fillId="114" borderId="106" xfId="40" applyFont="1" applyFill="1" applyAlignment="1">
      <alignment horizontal="center" vertical="center" wrapText="1"/>
    </xf>
    <xf numFmtId="0" fontId="136" fillId="125" borderId="156" xfId="40" applyFont="1" applyFill="1" applyBorder="1" applyAlignment="1">
      <alignment horizontal="center" vertical="center" wrapText="1"/>
    </xf>
    <xf numFmtId="0" fontId="136" fillId="125" borderId="137" xfId="40" applyFont="1" applyFill="1" applyBorder="1" applyAlignment="1">
      <alignment horizontal="center" vertical="center" wrapText="1"/>
    </xf>
    <xf numFmtId="0" fontId="136" fillId="114" borderId="106" xfId="40" applyFont="1" applyFill="1" applyAlignment="1">
      <alignment horizontal="left" vertical="center" wrapText="1"/>
    </xf>
    <xf numFmtId="0" fontId="136" fillId="114" borderId="149" xfId="40" applyFont="1" applyFill="1" applyBorder="1" applyAlignment="1">
      <alignment horizontal="left" vertical="center" wrapText="1"/>
    </xf>
    <xf numFmtId="0" fontId="122" fillId="114" borderId="132" xfId="40" applyFont="1" applyFill="1" applyBorder="1" applyAlignment="1">
      <alignment horizontal="center" vertical="center" wrapText="1"/>
    </xf>
    <xf numFmtId="0" fontId="122" fillId="114" borderId="133" xfId="40" applyFont="1" applyFill="1" applyBorder="1" applyAlignment="1">
      <alignment horizontal="center" vertical="center" wrapText="1"/>
    </xf>
    <xf numFmtId="0" fontId="122" fillId="114" borderId="139" xfId="40" applyFont="1" applyFill="1" applyBorder="1" applyAlignment="1">
      <alignment horizontal="center" vertical="center" wrapText="1"/>
    </xf>
    <xf numFmtId="0" fontId="122" fillId="114" borderId="15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36" fillId="114" borderId="136" xfId="40" applyFont="1" applyFill="1" applyBorder="1" applyAlignment="1">
      <alignment horizontal="left" vertical="center" wrapText="1"/>
    </xf>
    <xf numFmtId="0" fontId="136" fillId="114" borderId="137" xfId="40" applyFont="1" applyFill="1" applyBorder="1" applyAlignment="1">
      <alignment horizontal="left" vertical="center" wrapText="1"/>
    </xf>
    <xf numFmtId="0" fontId="136" fillId="114" borderId="142" xfId="40" applyFont="1" applyFill="1" applyBorder="1" applyAlignment="1">
      <alignment horizontal="left" vertical="center" wrapText="1"/>
    </xf>
    <xf numFmtId="0" fontId="122" fillId="114" borderId="134" xfId="40" applyFont="1" applyFill="1" applyBorder="1" applyAlignment="1">
      <alignment horizontal="center" vertical="center" wrapText="1"/>
    </xf>
    <xf numFmtId="0" fontId="130" fillId="113" borderId="106" xfId="40" applyFont="1" applyFill="1" applyAlignment="1">
      <alignment horizontal="center"/>
    </xf>
    <xf numFmtId="0" fontId="129" fillId="113" borderId="106" xfId="40" applyFont="1" applyFill="1" applyAlignment="1">
      <alignment horizontal="center" vertical="center"/>
    </xf>
    <xf numFmtId="0" fontId="129" fillId="113" borderId="112" xfId="40" applyFont="1" applyFill="1" applyBorder="1" applyAlignment="1">
      <alignment horizontal="center"/>
    </xf>
    <xf numFmtId="0" fontId="140" fillId="114" borderId="132" xfId="40" applyFont="1" applyFill="1" applyBorder="1" applyAlignment="1">
      <alignment horizontal="left" vertical="center" wrapText="1"/>
    </xf>
    <xf numFmtId="0" fontId="140" fillId="114" borderId="133" xfId="40" applyFont="1" applyFill="1" applyBorder="1" applyAlignment="1">
      <alignment horizontal="left" vertical="center" wrapText="1"/>
    </xf>
    <xf numFmtId="0" fontId="140" fillId="114" borderId="157" xfId="40" applyFont="1" applyFill="1" applyBorder="1" applyAlignment="1">
      <alignment horizontal="left" vertical="center" wrapText="1"/>
    </xf>
    <xf numFmtId="0" fontId="127" fillId="140" borderId="114" xfId="40" applyFont="1" applyFill="1" applyBorder="1" applyAlignment="1">
      <alignment horizontal="center" vertical="center" wrapText="1"/>
    </xf>
    <xf numFmtId="0" fontId="127" fillId="140" borderId="117" xfId="40" applyFont="1" applyFill="1" applyBorder="1" applyAlignment="1">
      <alignment horizontal="center" vertical="center" wrapText="1"/>
    </xf>
    <xf numFmtId="0" fontId="145" fillId="114" borderId="146" xfId="40" applyFont="1" applyFill="1" applyBorder="1" applyAlignment="1">
      <alignment horizontal="center" vertical="center" wrapText="1"/>
    </xf>
    <xf numFmtId="0" fontId="141" fillId="114" borderId="147" xfId="40" applyFont="1" applyFill="1" applyBorder="1" applyAlignment="1">
      <alignment horizontal="center" vertical="center" wrapText="1"/>
    </xf>
    <xf numFmtId="0" fontId="141" fillId="114" borderId="148" xfId="40" applyFont="1" applyFill="1" applyBorder="1" applyAlignment="1">
      <alignment horizontal="center" vertical="center" wrapText="1"/>
    </xf>
    <xf numFmtId="0" fontId="141" fillId="114" borderId="149" xfId="40" applyFont="1" applyFill="1" applyBorder="1" applyAlignment="1">
      <alignment horizontal="center" vertical="center" wrapText="1"/>
    </xf>
    <xf numFmtId="0" fontId="122" fillId="114" borderId="108" xfId="40" applyFont="1" applyFill="1" applyBorder="1" applyAlignment="1">
      <alignment horizontal="center" vertical="center" wrapText="1"/>
    </xf>
    <xf numFmtId="0" fontId="122" fillId="114" borderId="109" xfId="40" applyFont="1" applyFill="1" applyBorder="1" applyAlignment="1">
      <alignment horizontal="center" vertical="center" wrapText="1"/>
    </xf>
    <xf numFmtId="0" fontId="122" fillId="154" borderId="108" xfId="40" applyFont="1" applyFill="1" applyBorder="1" applyAlignment="1">
      <alignment horizontal="center" vertical="center" wrapText="1"/>
    </xf>
    <xf numFmtId="0" fontId="122" fillId="154" borderId="109" xfId="40" applyFont="1" applyFill="1" applyBorder="1" applyAlignment="1">
      <alignment horizontal="center" vertical="center" wrapText="1"/>
    </xf>
    <xf numFmtId="0" fontId="122" fillId="126" borderId="108" xfId="40" applyFont="1" applyFill="1" applyBorder="1" applyAlignment="1">
      <alignment horizontal="center" vertical="center" wrapText="1"/>
    </xf>
    <xf numFmtId="0" fontId="122" fillId="126" borderId="109" xfId="40" applyFont="1" applyFill="1" applyBorder="1" applyAlignment="1">
      <alignment horizontal="center" vertical="center" wrapText="1"/>
    </xf>
    <xf numFmtId="0" fontId="127" fillId="125" borderId="108" xfId="40" applyFont="1" applyFill="1" applyBorder="1" applyAlignment="1">
      <alignment horizontal="center" vertical="center" wrapText="1"/>
    </xf>
    <xf numFmtId="0" fontId="127" fillId="125" borderId="116" xfId="40" applyFont="1" applyFill="1" applyBorder="1" applyAlignment="1">
      <alignment horizontal="center" vertical="center" wrapText="1"/>
    </xf>
    <xf numFmtId="0" fontId="127" fillId="125" borderId="143" xfId="40" applyFont="1" applyFill="1" applyBorder="1" applyAlignment="1">
      <alignment horizontal="center" vertical="center" wrapText="1"/>
    </xf>
    <xf numFmtId="0" fontId="140" fillId="114" borderId="134" xfId="40" applyFont="1" applyFill="1" applyBorder="1" applyAlignment="1">
      <alignment horizontal="left" vertical="center" wrapText="1"/>
    </xf>
    <xf numFmtId="0" fontId="140" fillId="114" borderId="115" xfId="40" applyFont="1" applyFill="1" applyBorder="1" applyAlignment="1">
      <alignment horizontal="left" vertical="center" wrapText="1"/>
    </xf>
    <xf numFmtId="0" fontId="140" fillId="114" borderId="107" xfId="40" applyFont="1" applyFill="1" applyBorder="1" applyAlignment="1">
      <alignment horizontal="left" vertical="center" wrapText="1"/>
    </xf>
    <xf numFmtId="0" fontId="140" fillId="114" borderId="128" xfId="40" applyFont="1" applyFill="1" applyBorder="1" applyAlignment="1">
      <alignment horizontal="left" vertical="center" wrapText="1"/>
    </xf>
    <xf numFmtId="0" fontId="140" fillId="114" borderId="113" xfId="40" applyFont="1" applyFill="1" applyBorder="1" applyAlignment="1">
      <alignment horizontal="left" vertical="center" wrapText="1"/>
    </xf>
    <xf numFmtId="0" fontId="173" fillId="113" borderId="106" xfId="40" applyFont="1" applyFill="1" applyAlignment="1">
      <alignment horizontal="center" vertical="center"/>
    </xf>
    <xf numFmtId="0" fontId="145" fillId="114" borderId="146" xfId="40" applyFont="1" applyFill="1" applyBorder="1" applyAlignment="1">
      <alignment horizontal="center" vertical="center" wrapText="1"/>
    </xf>
    <xf numFmtId="0" fontId="145" fillId="114" borderId="154" xfId="40" applyFont="1" applyFill="1" applyBorder="1" applyAlignment="1">
      <alignment horizontal="center" vertical="center" wrapText="1"/>
    </xf>
    <xf numFmtId="0" fontId="127" fillId="114" borderId="114" xfId="40" applyFont="1" applyFill="1" applyBorder="1" applyAlignment="1">
      <alignment horizontal="center" vertical="center"/>
    </xf>
    <xf numFmtId="0" fontId="127" fillId="114" borderId="115" xfId="40" applyFont="1" applyFill="1" applyBorder="1" applyAlignment="1">
      <alignment horizontal="center" vertical="center"/>
    </xf>
    <xf numFmtId="0" fontId="149" fillId="144" borderId="106" xfId="40" applyFont="1" applyFill="1" applyAlignment="1">
      <alignment horizontal="left" vertical="center"/>
    </xf>
    <xf numFmtId="0" fontId="149" fillId="145" borderId="106" xfId="40" applyFont="1" applyFill="1" applyAlignment="1">
      <alignment horizontal="left" vertical="center"/>
    </xf>
    <xf numFmtId="0" fontId="149" fillId="142" borderId="106" xfId="40" applyFont="1" applyFill="1" applyAlignment="1">
      <alignment horizontal="left" vertical="center"/>
    </xf>
    <xf numFmtId="0" fontId="149" fillId="143" borderId="106" xfId="40" applyFont="1" applyFill="1" applyAlignment="1">
      <alignment horizontal="left" vertical="center"/>
    </xf>
    <xf numFmtId="0" fontId="149" fillId="118" borderId="106" xfId="40" applyFont="1" applyFill="1" applyAlignment="1">
      <alignment horizontal="left" vertical="center"/>
    </xf>
    <xf numFmtId="0" fontId="177" fillId="162" borderId="159" xfId="60"/>
    <xf numFmtId="0" fontId="177" fillId="166" borderId="159" xfId="60" applyFill="1"/>
    <xf numFmtId="0" fontId="186" fillId="166" borderId="159" xfId="60" applyFont="1" applyFill="1"/>
    <xf numFmtId="0" fontId="186" fillId="162" borderId="175" xfId="60" applyFont="1" applyBorder="1" applyAlignment="1">
      <alignment horizontal="center" vertical="center"/>
    </xf>
    <xf numFmtId="0" fontId="177" fillId="169" borderId="161" xfId="60" applyFill="1" applyBorder="1"/>
    <xf numFmtId="0" fontId="177" fillId="170" borderId="169" xfId="60" applyFill="1" applyBorder="1"/>
    <xf numFmtId="0" fontId="188" fillId="171" borderId="162" xfId="60" applyFont="1" applyFill="1" applyBorder="1" applyAlignment="1">
      <alignment horizontal="center" vertical="center" wrapText="1"/>
    </xf>
    <xf numFmtId="0" fontId="177" fillId="166" borderId="159" xfId="60" applyFill="1" applyAlignment="1">
      <alignment horizontal="left" vertical="center"/>
    </xf>
    <xf numFmtId="0" fontId="188" fillId="169" borderId="168" xfId="60" applyFont="1" applyFill="1" applyBorder="1" applyAlignment="1">
      <alignment horizontal="center" vertical="center" wrapText="1"/>
    </xf>
    <xf numFmtId="0" fontId="188" fillId="171" borderId="168" xfId="60" applyFont="1" applyFill="1" applyBorder="1" applyAlignment="1">
      <alignment horizontal="center" vertical="center" wrapText="1"/>
    </xf>
    <xf numFmtId="0" fontId="186" fillId="162" borderId="176" xfId="60" applyFont="1" applyBorder="1" applyAlignment="1">
      <alignment horizontal="center" vertical="center"/>
    </xf>
    <xf numFmtId="0" fontId="177" fillId="170" borderId="168" xfId="60" applyFill="1" applyBorder="1"/>
    <xf numFmtId="0" fontId="177" fillId="172" borderId="168" xfId="60" applyFill="1" applyBorder="1"/>
    <xf numFmtId="0" fontId="177" fillId="173" borderId="170" xfId="60" applyFill="1" applyBorder="1"/>
    <xf numFmtId="0" fontId="188" fillId="170" borderId="168" xfId="60" applyFont="1" applyFill="1" applyBorder="1" applyAlignment="1">
      <alignment horizontal="center" vertical="center" wrapText="1"/>
    </xf>
    <xf numFmtId="0" fontId="188" fillId="173" borderId="168" xfId="60" applyFont="1" applyFill="1" applyBorder="1" applyAlignment="1">
      <alignment horizontal="center" vertical="center" wrapText="1"/>
    </xf>
    <xf numFmtId="0" fontId="177" fillId="173" borderId="168" xfId="60" applyFill="1" applyBorder="1"/>
    <xf numFmtId="0" fontId="188" fillId="172" borderId="168" xfId="60" applyFont="1" applyFill="1" applyBorder="1" applyAlignment="1">
      <alignment horizontal="center" vertical="center" wrapText="1"/>
    </xf>
    <xf numFmtId="0" fontId="188" fillId="174" borderId="168" xfId="60" applyFont="1" applyFill="1" applyBorder="1" applyAlignment="1">
      <alignment horizontal="center" vertical="center" wrapText="1"/>
    </xf>
    <xf numFmtId="0" fontId="186" fillId="162" borderId="177" xfId="60" applyFont="1" applyBorder="1" applyAlignment="1">
      <alignment horizontal="center" vertical="center"/>
    </xf>
    <xf numFmtId="0" fontId="188" fillId="174" borderId="163" xfId="60" applyFont="1" applyFill="1" applyBorder="1" applyAlignment="1">
      <alignment horizontal="center" vertical="center" wrapText="1"/>
    </xf>
    <xf numFmtId="0" fontId="188" fillId="174" borderId="171" xfId="60" applyFont="1" applyFill="1" applyBorder="1" applyAlignment="1">
      <alignment horizontal="center" vertical="center" wrapText="1"/>
    </xf>
    <xf numFmtId="0" fontId="188" fillId="174" borderId="164" xfId="60" applyFont="1" applyFill="1" applyBorder="1" applyAlignment="1">
      <alignment horizontal="center" vertical="center" wrapText="1"/>
    </xf>
    <xf numFmtId="0" fontId="186" fillId="162" borderId="159" xfId="60" applyFont="1"/>
    <xf numFmtId="0" fontId="186" fillId="162" borderId="178" xfId="60" applyFont="1" applyBorder="1" applyAlignment="1">
      <alignment horizontal="center" vertical="center"/>
    </xf>
    <xf numFmtId="0" fontId="186" fillId="162" borderId="179" xfId="60" applyFont="1" applyBorder="1" applyAlignment="1">
      <alignment horizontal="center" vertical="center"/>
    </xf>
    <xf numFmtId="0" fontId="177" fillId="175" borderId="169" xfId="60" applyFill="1" applyBorder="1"/>
    <xf numFmtId="0" fontId="189" fillId="175" borderId="168" xfId="60" applyFont="1" applyFill="1" applyBorder="1" applyAlignment="1">
      <alignment horizontal="center" vertical="center" wrapText="1"/>
    </xf>
    <xf numFmtId="0" fontId="177" fillId="175" borderId="167" xfId="60" applyFill="1" applyBorder="1"/>
    <xf numFmtId="0" fontId="177" fillId="172" borderId="167" xfId="60" applyFill="1" applyBorder="1"/>
    <xf numFmtId="0" fontId="177" fillId="171" borderId="168" xfId="60" applyFill="1" applyBorder="1"/>
    <xf numFmtId="0" fontId="179" fillId="166" borderId="159" xfId="60" applyFont="1" applyFill="1" applyAlignment="1">
      <alignment horizontal="left" vertical="center"/>
    </xf>
    <xf numFmtId="0" fontId="179" fillId="166" borderId="159" xfId="60" applyFont="1" applyFill="1" applyAlignment="1">
      <alignment horizontal="left" vertical="center" wrapText="1"/>
    </xf>
    <xf numFmtId="0" fontId="179" fillId="166" borderId="161" xfId="60" applyFont="1" applyFill="1" applyBorder="1" applyAlignment="1">
      <alignment horizontal="left" vertical="center" wrapText="1"/>
    </xf>
    <xf numFmtId="0" fontId="191" fillId="166" borderId="162" xfId="60" applyFont="1" applyFill="1" applyBorder="1" applyAlignment="1">
      <alignment horizontal="left" vertical="center" wrapText="1"/>
    </xf>
    <xf numFmtId="0" fontId="179" fillId="166" borderId="172" xfId="60" applyFont="1" applyFill="1" applyBorder="1" applyAlignment="1">
      <alignment horizontal="left" vertical="center" wrapText="1"/>
    </xf>
    <xf numFmtId="0" fontId="191" fillId="166" borderId="174" xfId="60" applyFont="1" applyFill="1" applyBorder="1" applyAlignment="1">
      <alignment horizontal="left" vertical="center" wrapText="1"/>
    </xf>
    <xf numFmtId="0" fontId="179" fillId="166" borderId="167" xfId="60" applyFont="1" applyFill="1" applyBorder="1" applyAlignment="1">
      <alignment horizontal="left" vertical="center" wrapText="1"/>
    </xf>
    <xf numFmtId="0" fontId="191" fillId="166" borderId="170" xfId="60" applyFont="1" applyFill="1" applyBorder="1" applyAlignment="1">
      <alignment horizontal="left" vertical="center" wrapText="1"/>
    </xf>
    <xf numFmtId="0" fontId="179" fillId="166" borderId="193" xfId="60" applyFont="1" applyFill="1" applyBorder="1" applyAlignment="1">
      <alignment horizontal="left" vertical="center" wrapText="1"/>
    </xf>
    <xf numFmtId="0" fontId="191" fillId="166" borderId="194" xfId="60" applyFont="1" applyFill="1" applyBorder="1" applyAlignment="1">
      <alignment horizontal="left" vertical="center" wrapText="1"/>
    </xf>
    <xf numFmtId="0" fontId="179" fillId="166" borderId="163" xfId="60" applyFont="1" applyFill="1" applyBorder="1" applyAlignment="1">
      <alignment horizontal="left" vertical="center" wrapText="1"/>
    </xf>
    <xf numFmtId="0" fontId="191" fillId="166" borderId="164" xfId="60" applyFont="1" applyFill="1" applyBorder="1" applyAlignment="1">
      <alignment horizontal="left" vertical="center" wrapText="1"/>
    </xf>
    <xf numFmtId="164" fontId="191" fillId="166" borderId="164" xfId="60" applyNumberFormat="1" applyFont="1" applyFill="1" applyBorder="1" applyAlignment="1">
      <alignment horizontal="left" vertical="center" wrapText="1"/>
    </xf>
    <xf numFmtId="0" fontId="199" fillId="162" borderId="168" xfId="60" applyFont="1" applyBorder="1" applyAlignment="1">
      <alignment horizontal="center" vertical="center"/>
    </xf>
    <xf numFmtId="0" fontId="200" fillId="174" borderId="168" xfId="60" applyFont="1" applyFill="1" applyBorder="1" applyAlignment="1">
      <alignment horizontal="center" vertical="center" wrapText="1"/>
    </xf>
    <xf numFmtId="0" fontId="182" fillId="166" borderId="159" xfId="60" applyFont="1" applyFill="1"/>
    <xf numFmtId="0" fontId="182" fillId="166" borderId="159" xfId="60" applyFont="1" applyFill="1" applyAlignment="1">
      <alignment horizontal="center" vertical="center" wrapText="1"/>
    </xf>
    <xf numFmtId="0" fontId="182" fillId="166" borderId="159" xfId="60" applyFont="1" applyFill="1" applyAlignment="1">
      <alignment horizontal="left" vertical="top" wrapText="1"/>
    </xf>
    <xf numFmtId="0" fontId="182" fillId="166" borderId="159" xfId="60" applyFont="1" applyFill="1" applyAlignment="1">
      <alignment horizontal="justify"/>
    </xf>
    <xf numFmtId="0" fontId="182" fillId="166" borderId="159" xfId="60" applyFont="1" applyFill="1" applyAlignment="1">
      <alignment horizontal="center" vertical="center"/>
    </xf>
    <xf numFmtId="0" fontId="182" fillId="162" borderId="159" xfId="60" applyFont="1"/>
    <xf numFmtId="0" fontId="183" fillId="166" borderId="159" xfId="60" applyFont="1" applyFill="1" applyAlignment="1">
      <alignment vertical="center"/>
    </xf>
    <xf numFmtId="0" fontId="183" fillId="162" borderId="159" xfId="60" applyFont="1" applyAlignment="1">
      <alignment vertical="center"/>
    </xf>
    <xf numFmtId="0" fontId="182" fillId="162" borderId="159" xfId="60" applyFont="1" applyAlignment="1">
      <alignment horizontal="center" vertical="center" wrapText="1"/>
    </xf>
    <xf numFmtId="0" fontId="182" fillId="162" borderId="159" xfId="60" applyFont="1" applyAlignment="1">
      <alignment horizontal="left" vertical="top" wrapText="1"/>
    </xf>
    <xf numFmtId="0" fontId="182" fillId="162" borderId="159" xfId="60" applyFont="1" applyAlignment="1">
      <alignment horizontal="justify"/>
    </xf>
    <xf numFmtId="0" fontId="182" fillId="162" borderId="159" xfId="60" applyFont="1" applyAlignment="1">
      <alignment horizontal="center" vertical="center"/>
    </xf>
    <xf numFmtId="0" fontId="191" fillId="166" borderId="159" xfId="60" applyFont="1" applyFill="1" applyAlignment="1">
      <alignment horizontal="left" vertical="center" wrapText="1"/>
    </xf>
    <xf numFmtId="0" fontId="185" fillId="166" borderId="159" xfId="60" applyFont="1" applyFill="1" applyAlignment="1">
      <alignment horizontal="left" vertical="center"/>
    </xf>
    <xf numFmtId="0" fontId="185" fillId="162" borderId="159" xfId="60" applyFont="1"/>
    <xf numFmtId="0" fontId="204" fillId="162" borderId="159" xfId="60" applyFont="1"/>
    <xf numFmtId="0" fontId="204" fillId="166" borderId="159" xfId="60" applyFont="1" applyFill="1"/>
    <xf numFmtId="0" fontId="200" fillId="174" borderId="182" xfId="60" applyFont="1" applyFill="1" applyBorder="1" applyAlignment="1">
      <alignment horizontal="center" vertical="center" wrapText="1"/>
    </xf>
    <xf numFmtId="0" fontId="199" fillId="162" borderId="182" xfId="60" applyFont="1" applyBorder="1" applyAlignment="1">
      <alignment horizontal="center" vertical="center"/>
    </xf>
    <xf numFmtId="0" fontId="200" fillId="174" borderId="204" xfId="60" applyFont="1" applyFill="1" applyBorder="1" applyAlignment="1">
      <alignment horizontal="center" vertical="center" wrapText="1"/>
    </xf>
    <xf numFmtId="0" fontId="199" fillId="162" borderId="204" xfId="60" applyFont="1" applyBorder="1" applyAlignment="1">
      <alignment horizontal="center" vertical="center"/>
    </xf>
    <xf numFmtId="0" fontId="188" fillId="174" borderId="169" xfId="60" applyFont="1" applyFill="1" applyBorder="1" applyAlignment="1">
      <alignment horizontal="center" vertical="center" wrapText="1"/>
    </xf>
    <xf numFmtId="0" fontId="188" fillId="174" borderId="206" xfId="60" applyFont="1" applyFill="1" applyBorder="1" applyAlignment="1">
      <alignment horizontal="center" vertical="center" wrapText="1"/>
    </xf>
    <xf numFmtId="0" fontId="188" fillId="174" borderId="188" xfId="60" applyFont="1" applyFill="1" applyBorder="1" applyAlignment="1">
      <alignment horizontal="center" vertical="center" wrapText="1"/>
    </xf>
    <xf numFmtId="0" fontId="190" fillId="162" borderId="167" xfId="60" applyFont="1" applyBorder="1" applyAlignment="1">
      <alignment vertical="top" wrapText="1"/>
    </xf>
    <xf numFmtId="0" fontId="199" fillId="162" borderId="170" xfId="60" applyFont="1" applyBorder="1" applyAlignment="1">
      <alignment horizontal="center" vertical="center"/>
    </xf>
    <xf numFmtId="0" fontId="190" fillId="162" borderId="183" xfId="60" applyFont="1" applyBorder="1" applyAlignment="1">
      <alignment vertical="top" wrapText="1"/>
    </xf>
    <xf numFmtId="0" fontId="177" fillId="195" borderId="205" xfId="60" applyFill="1" applyBorder="1" applyAlignment="1">
      <alignment horizontal="center"/>
    </xf>
    <xf numFmtId="0" fontId="177" fillId="199" borderId="205" xfId="60" applyFill="1" applyBorder="1" applyAlignment="1">
      <alignment horizontal="center"/>
    </xf>
    <xf numFmtId="0" fontId="177" fillId="200" borderId="205" xfId="60" applyFill="1" applyBorder="1" applyAlignment="1">
      <alignment horizontal="center"/>
    </xf>
    <xf numFmtId="0" fontId="177" fillId="197" borderId="205" xfId="60" applyFill="1" applyBorder="1" applyAlignment="1">
      <alignment horizontal="center"/>
    </xf>
    <xf numFmtId="0" fontId="177" fillId="173" borderId="205" xfId="60" applyFill="1" applyBorder="1" applyAlignment="1">
      <alignment horizontal="center"/>
    </xf>
    <xf numFmtId="0" fontId="208" fillId="162" borderId="159" xfId="60" applyFont="1" applyAlignment="1"/>
    <xf numFmtId="0" fontId="210" fillId="168" borderId="161" xfId="60" applyFont="1" applyFill="1" applyBorder="1" applyAlignment="1">
      <alignment horizontal="center" vertical="center" wrapText="1"/>
    </xf>
    <xf numFmtId="0" fontId="210" fillId="168" borderId="203" xfId="60" applyFont="1" applyFill="1" applyBorder="1" applyAlignment="1">
      <alignment vertical="center" wrapText="1"/>
    </xf>
    <xf numFmtId="0" fontId="193" fillId="179" borderId="163" xfId="60" applyFont="1" applyFill="1" applyBorder="1" applyAlignment="1">
      <alignment horizontal="center" vertical="center" wrapText="1"/>
    </xf>
    <xf numFmtId="0" fontId="193" fillId="179" borderId="164" xfId="60" applyFont="1" applyFill="1" applyBorder="1" applyAlignment="1">
      <alignment horizontal="center" vertical="center" wrapText="1"/>
    </xf>
    <xf numFmtId="0" fontId="193" fillId="168" borderId="163" xfId="60" applyFont="1" applyFill="1" applyBorder="1" applyAlignment="1">
      <alignment horizontal="center" vertical="center" wrapText="1"/>
    </xf>
    <xf numFmtId="0" fontId="211" fillId="162" borderId="171" xfId="60" applyFont="1" applyBorder="1" applyAlignment="1"/>
    <xf numFmtId="0" fontId="211" fillId="166" borderId="171" xfId="60" applyFont="1" applyFill="1" applyBorder="1" applyAlignment="1"/>
    <xf numFmtId="0" fontId="193" fillId="178" borderId="171" xfId="60" applyFont="1" applyFill="1" applyBorder="1" applyAlignment="1">
      <alignment horizontal="center" vertical="center" wrapText="1"/>
    </xf>
    <xf numFmtId="0" fontId="193" fillId="178" borderId="164" xfId="60" applyFont="1" applyFill="1" applyBorder="1" applyAlignment="1">
      <alignment horizontal="center" vertical="center" wrapText="1"/>
    </xf>
    <xf numFmtId="0" fontId="211" fillId="162" borderId="168" xfId="60" applyFont="1" applyBorder="1"/>
    <xf numFmtId="0" fontId="211" fillId="162" borderId="168" xfId="60" applyFont="1" applyBorder="1" applyAlignment="1">
      <alignment wrapText="1"/>
    </xf>
    <xf numFmtId="0" fontId="211" fillId="162" borderId="168" xfId="60" applyFont="1" applyBorder="1" applyAlignment="1">
      <alignment wrapText="1"/>
    </xf>
    <xf numFmtId="0" fontId="211" fillId="166" borderId="168" xfId="60" applyFont="1" applyFill="1" applyBorder="1"/>
    <xf numFmtId="0" fontId="211" fillId="190" borderId="168" xfId="60" applyFont="1" applyFill="1" applyBorder="1"/>
    <xf numFmtId="0" fontId="211" fillId="190" borderId="168" xfId="60" applyFont="1" applyFill="1" applyBorder="1" applyAlignment="1">
      <alignment wrapText="1"/>
    </xf>
    <xf numFmtId="0" fontId="211" fillId="190" borderId="168" xfId="60" applyFont="1" applyFill="1" applyBorder="1" applyAlignment="1">
      <alignment wrapText="1"/>
    </xf>
    <xf numFmtId="0" fontId="211" fillId="186" borderId="168" xfId="60" applyFont="1" applyFill="1" applyBorder="1"/>
    <xf numFmtId="0" fontId="211" fillId="184" borderId="168" xfId="60" applyFont="1" applyFill="1" applyBorder="1"/>
    <xf numFmtId="0" fontId="211" fillId="184" borderId="168" xfId="60" applyFont="1" applyFill="1" applyBorder="1" applyAlignment="1">
      <alignment wrapText="1"/>
    </xf>
    <xf numFmtId="0" fontId="211" fillId="184" borderId="168" xfId="60" applyFont="1" applyFill="1" applyBorder="1" applyAlignment="1">
      <alignment wrapText="1"/>
    </xf>
    <xf numFmtId="0" fontId="211" fillId="183" borderId="168" xfId="60" applyFont="1" applyFill="1" applyBorder="1"/>
    <xf numFmtId="0" fontId="212" fillId="168" borderId="163" xfId="60" applyFont="1" applyFill="1" applyBorder="1" applyAlignment="1">
      <alignment horizontal="center" vertical="center" wrapText="1"/>
    </xf>
    <xf numFmtId="0" fontId="213" fillId="162" borderId="171" xfId="60" applyFont="1" applyBorder="1" applyAlignment="1"/>
    <xf numFmtId="0" fontId="213" fillId="166" borderId="171" xfId="60" applyFont="1" applyFill="1" applyBorder="1" applyAlignment="1"/>
    <xf numFmtId="0" fontId="212" fillId="178" borderId="171" xfId="60" applyFont="1" applyFill="1" applyBorder="1" applyAlignment="1">
      <alignment horizontal="center" vertical="center" wrapText="1"/>
    </xf>
    <xf numFmtId="0" fontId="211" fillId="203" borderId="168" xfId="60" applyFont="1" applyFill="1" applyBorder="1"/>
    <xf numFmtId="0" fontId="211" fillId="203" borderId="168" xfId="60" applyFont="1" applyFill="1" applyBorder="1" applyAlignment="1">
      <alignment wrapText="1"/>
    </xf>
    <xf numFmtId="0" fontId="211" fillId="203" borderId="168" xfId="60" applyFont="1" applyFill="1" applyBorder="1" applyAlignment="1">
      <alignment wrapText="1"/>
    </xf>
    <xf numFmtId="0" fontId="211" fillId="204" borderId="168" xfId="60" applyFont="1" applyFill="1" applyBorder="1"/>
    <xf numFmtId="0" fontId="211" fillId="204" borderId="168" xfId="60" applyFont="1" applyFill="1" applyBorder="1" applyAlignment="1">
      <alignment wrapText="1"/>
    </xf>
    <xf numFmtId="0" fontId="211" fillId="204" borderId="168" xfId="60" applyFont="1" applyFill="1" applyBorder="1" applyAlignment="1">
      <alignment wrapText="1"/>
    </xf>
    <xf numFmtId="0" fontId="211" fillId="166" borderId="168" xfId="60" applyFont="1" applyFill="1" applyBorder="1" applyAlignment="1">
      <alignment horizontal="center" vertical="center" wrapText="1"/>
    </xf>
    <xf numFmtId="0" fontId="179" fillId="168" borderId="175" xfId="60" applyFont="1" applyFill="1" applyBorder="1" applyAlignment="1">
      <alignment horizontal="center" vertical="center" wrapText="1"/>
    </xf>
    <xf numFmtId="0" fontId="179" fillId="168" borderId="203" xfId="60" applyFont="1" applyFill="1" applyBorder="1" applyAlignment="1">
      <alignment horizontal="center" vertical="center" wrapText="1"/>
    </xf>
    <xf numFmtId="0" fontId="183" fillId="166" borderId="159" xfId="60" applyFont="1" applyFill="1" applyAlignment="1">
      <alignment horizontal="center" vertical="center"/>
    </xf>
    <xf numFmtId="0" fontId="183" fillId="162" borderId="159" xfId="60" applyFont="1" applyAlignment="1">
      <alignment horizontal="center" vertical="center"/>
    </xf>
    <xf numFmtId="0" fontId="196" fillId="166" borderId="159" xfId="60" applyFont="1" applyFill="1" applyAlignment="1">
      <alignment horizontal="center" vertical="center"/>
    </xf>
    <xf numFmtId="0" fontId="196" fillId="162" borderId="159" xfId="60" applyFont="1" applyAlignment="1">
      <alignment horizontal="center" vertical="center"/>
    </xf>
    <xf numFmtId="0" fontId="196" fillId="162" borderId="168" xfId="60" applyFont="1" applyBorder="1" applyAlignment="1">
      <alignment horizontal="center" vertical="center"/>
    </xf>
    <xf numFmtId="0" fontId="213" fillId="162" borderId="171" xfId="60" applyFont="1" applyBorder="1" applyAlignment="1">
      <alignment horizontal="center" vertical="center"/>
    </xf>
    <xf numFmtId="0" fontId="213" fillId="166" borderId="171" xfId="60" applyFont="1" applyFill="1" applyBorder="1" applyAlignment="1">
      <alignment horizontal="center" vertical="center"/>
    </xf>
    <xf numFmtId="0" fontId="213" fillId="177" borderId="164" xfId="60" applyFont="1" applyFill="1" applyBorder="1" applyAlignment="1">
      <alignment horizontal="center" vertical="center" wrapText="1"/>
    </xf>
    <xf numFmtId="0" fontId="213" fillId="179" borderId="163" xfId="60" applyFont="1" applyFill="1" applyBorder="1" applyAlignment="1">
      <alignment horizontal="center" vertical="center" wrapText="1"/>
    </xf>
    <xf numFmtId="0" fontId="213" fillId="179" borderId="164" xfId="60" applyFont="1" applyFill="1" applyBorder="1" applyAlignment="1">
      <alignment horizontal="center" vertical="center" wrapText="1"/>
    </xf>
    <xf numFmtId="0" fontId="213" fillId="168" borderId="163" xfId="60" applyFont="1" applyFill="1" applyBorder="1" applyAlignment="1">
      <alignment horizontal="center" vertical="center" wrapText="1"/>
    </xf>
    <xf numFmtId="0" fontId="213" fillId="178" borderId="163" xfId="60" applyFont="1" applyFill="1" applyBorder="1" applyAlignment="1">
      <alignment horizontal="center" vertical="center" wrapText="1"/>
    </xf>
    <xf numFmtId="0" fontId="213" fillId="178" borderId="171" xfId="60" applyFont="1" applyFill="1" applyBorder="1" applyAlignment="1">
      <alignment horizontal="center" vertical="center" wrapText="1"/>
    </xf>
    <xf numFmtId="0" fontId="213" fillId="178" borderId="198" xfId="60" applyFont="1" applyFill="1" applyBorder="1" applyAlignment="1">
      <alignment horizontal="center" vertical="center" wrapText="1"/>
    </xf>
    <xf numFmtId="0" fontId="213" fillId="193" borderId="167" xfId="60" applyFont="1" applyFill="1" applyBorder="1" applyAlignment="1">
      <alignment horizontal="center" vertical="center" wrapText="1"/>
    </xf>
    <xf numFmtId="0" fontId="213" fillId="193" borderId="170" xfId="60" applyFont="1" applyFill="1" applyBorder="1" applyAlignment="1">
      <alignment horizontal="center" vertical="center" wrapText="1"/>
    </xf>
    <xf numFmtId="0" fontId="214" fillId="169" borderId="171" xfId="60" applyFont="1" applyFill="1" applyBorder="1" applyAlignment="1">
      <alignment horizontal="center" vertical="center" wrapText="1"/>
    </xf>
    <xf numFmtId="0" fontId="215" fillId="175" borderId="171" xfId="60" applyFont="1" applyFill="1" applyBorder="1" applyAlignment="1">
      <alignment horizontal="center" vertical="center" wrapText="1"/>
    </xf>
    <xf numFmtId="0" fontId="214" fillId="170" borderId="171" xfId="60" applyFont="1" applyFill="1" applyBorder="1" applyAlignment="1">
      <alignment horizontal="center" vertical="center" wrapText="1"/>
    </xf>
    <xf numFmtId="0" fontId="214" fillId="172" borderId="171" xfId="60" applyFont="1" applyFill="1" applyBorder="1" applyAlignment="1">
      <alignment horizontal="center" vertical="center" wrapText="1"/>
    </xf>
    <xf numFmtId="0" fontId="214" fillId="171" borderId="171" xfId="60" applyFont="1" applyFill="1" applyBorder="1" applyAlignment="1">
      <alignment horizontal="center" vertical="center" wrapText="1"/>
    </xf>
    <xf numFmtId="0" fontId="214" fillId="173" borderId="171" xfId="60" applyFont="1" applyFill="1" applyBorder="1" applyAlignment="1">
      <alignment horizontal="center" vertical="center" wrapText="1"/>
    </xf>
    <xf numFmtId="0" fontId="214" fillId="174" borderId="171" xfId="60" applyFont="1" applyFill="1" applyBorder="1" applyAlignment="1">
      <alignment horizontal="center" vertical="center" wrapText="1"/>
    </xf>
    <xf numFmtId="0" fontId="195" fillId="166" borderId="159" xfId="60" applyFont="1" applyFill="1" applyAlignment="1">
      <alignment horizontal="left" vertical="center"/>
    </xf>
    <xf numFmtId="0" fontId="195" fillId="162" borderId="159" xfId="60" applyFont="1"/>
    <xf numFmtId="0" fontId="195" fillId="201" borderId="159" xfId="60" applyFont="1" applyFill="1"/>
    <xf numFmtId="0" fontId="211" fillId="176" borderId="168" xfId="60" applyFont="1" applyFill="1" applyBorder="1" applyAlignment="1">
      <alignment horizontal="left" vertical="center" wrapText="1"/>
    </xf>
    <xf numFmtId="0" fontId="211" fillId="179" borderId="168" xfId="60" applyFont="1" applyFill="1" applyBorder="1" applyAlignment="1">
      <alignment horizontal="center" vertical="center" wrapText="1"/>
    </xf>
    <xf numFmtId="0" fontId="211" fillId="179" borderId="168" xfId="60" applyFont="1" applyFill="1" applyBorder="1" applyAlignment="1">
      <alignment horizontal="left" vertical="center" wrapText="1"/>
    </xf>
    <xf numFmtId="0" fontId="211" fillId="178" borderId="168" xfId="60" applyFont="1" applyFill="1" applyBorder="1" applyAlignment="1">
      <alignment horizontal="center" vertical="center" wrapText="1"/>
    </xf>
    <xf numFmtId="0" fontId="211" fillId="178" borderId="168" xfId="60" applyFont="1" applyFill="1" applyBorder="1" applyAlignment="1">
      <alignment vertical="center" wrapText="1"/>
    </xf>
    <xf numFmtId="0" fontId="211" fillId="186" borderId="168" xfId="60" applyFont="1" applyFill="1" applyBorder="1" applyAlignment="1">
      <alignment horizontal="center" vertical="center" wrapText="1"/>
    </xf>
    <xf numFmtId="0" fontId="211" fillId="191" borderId="168" xfId="60" applyFont="1" applyFill="1" applyBorder="1" applyAlignment="1">
      <alignment horizontal="center" vertical="center" wrapText="1"/>
    </xf>
    <xf numFmtId="0" fontId="211" fillId="191" borderId="168" xfId="60" applyFont="1" applyFill="1" applyBorder="1" applyAlignment="1">
      <alignment horizontal="left" vertical="center" wrapText="1"/>
    </xf>
    <xf numFmtId="0" fontId="211" fillId="183" borderId="168" xfId="60" applyFont="1" applyFill="1" applyBorder="1" applyAlignment="1">
      <alignment horizontal="center" vertical="center" wrapText="1"/>
    </xf>
    <xf numFmtId="0" fontId="211" fillId="185" borderId="168" xfId="60" applyFont="1" applyFill="1" applyBorder="1" applyAlignment="1">
      <alignment horizontal="center" vertical="center" wrapText="1"/>
    </xf>
    <xf numFmtId="0" fontId="211" fillId="185"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203" borderId="168" xfId="60" applyFont="1" applyFill="1" applyBorder="1" applyAlignment="1">
      <alignment horizontal="center" vertical="center" wrapText="1"/>
    </xf>
    <xf numFmtId="0" fontId="211" fillId="166" borderId="183" xfId="60" applyFont="1" applyFill="1" applyBorder="1" applyAlignment="1">
      <alignment horizontal="center" vertical="center" wrapText="1"/>
    </xf>
    <xf numFmtId="0" fontId="211" fillId="166" borderId="167" xfId="60" applyFont="1" applyFill="1" applyBorder="1" applyAlignment="1">
      <alignment horizontal="center" vertical="center" wrapText="1"/>
    </xf>
    <xf numFmtId="0" fontId="211" fillId="186" borderId="167" xfId="60" applyFont="1" applyFill="1" applyBorder="1" applyAlignment="1">
      <alignment horizontal="center" vertical="center" wrapText="1"/>
    </xf>
    <xf numFmtId="0" fontId="211" fillId="166" borderId="172" xfId="60" applyFont="1" applyFill="1" applyBorder="1" applyAlignment="1">
      <alignment horizontal="center" vertical="center" wrapText="1"/>
    </xf>
    <xf numFmtId="0" fontId="220" fillId="205" borderId="191" xfId="60" applyFont="1" applyFill="1" applyBorder="1" applyAlignment="1">
      <alignment horizontal="center" vertical="center" wrapText="1"/>
    </xf>
    <xf numFmtId="0" fontId="220" fillId="205" borderId="208" xfId="60" applyFont="1" applyFill="1" applyBorder="1" applyAlignment="1">
      <alignment horizontal="center" vertical="center" wrapText="1"/>
    </xf>
    <xf numFmtId="0" fontId="220" fillId="206" borderId="163" xfId="60" applyFont="1" applyFill="1" applyBorder="1" applyAlignment="1">
      <alignment horizontal="center" vertical="center" wrapText="1"/>
    </xf>
    <xf numFmtId="0" fontId="220" fillId="206" borderId="208" xfId="60" applyFont="1" applyFill="1" applyBorder="1" applyAlignment="1">
      <alignment horizontal="center" vertical="center" wrapText="1"/>
    </xf>
    <xf numFmtId="0" fontId="193" fillId="167" borderId="163" xfId="60" applyFont="1" applyFill="1" applyBorder="1" applyAlignment="1">
      <alignment horizontal="center" vertical="center" wrapText="1"/>
    </xf>
    <xf numFmtId="0" fontId="193" fillId="167" borderId="164" xfId="60" applyFont="1" applyFill="1" applyBorder="1" applyAlignment="1">
      <alignment horizontal="center" vertical="center" wrapText="1"/>
    </xf>
    <xf numFmtId="0" fontId="193" fillId="207" borderId="163" xfId="60" applyFont="1" applyFill="1" applyBorder="1" applyAlignment="1">
      <alignment horizontal="center" vertical="center" wrapText="1"/>
    </xf>
    <xf numFmtId="0" fontId="193" fillId="207" borderId="164" xfId="60" applyFont="1" applyFill="1" applyBorder="1" applyAlignment="1">
      <alignment horizontal="center" vertical="center" wrapText="1"/>
    </xf>
    <xf numFmtId="0" fontId="220" fillId="208" borderId="191" xfId="60" applyFont="1" applyFill="1" applyBorder="1" applyAlignment="1">
      <alignment horizontal="center" vertical="center" wrapText="1"/>
    </xf>
    <xf numFmtId="0" fontId="220" fillId="208" borderId="208"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179" borderId="168" xfId="60" applyFont="1" applyFill="1" applyBorder="1" applyAlignment="1">
      <alignment vertical="center" wrapText="1"/>
    </xf>
    <xf numFmtId="0" fontId="222" fillId="169" borderId="171" xfId="60" applyFont="1" applyFill="1" applyBorder="1" applyAlignment="1">
      <alignment horizontal="center" vertical="center" wrapText="1"/>
    </xf>
    <xf numFmtId="0" fontId="210" fillId="175" borderId="171" xfId="60" applyFont="1" applyFill="1" applyBorder="1" applyAlignment="1">
      <alignment horizontal="center" vertical="center" wrapText="1"/>
    </xf>
    <xf numFmtId="0" fontId="222" fillId="170" borderId="171" xfId="60" applyFont="1" applyFill="1" applyBorder="1" applyAlignment="1">
      <alignment horizontal="center" vertical="center" wrapText="1"/>
    </xf>
    <xf numFmtId="0" fontId="222" fillId="172" borderId="171" xfId="60" applyFont="1" applyFill="1" applyBorder="1" applyAlignment="1">
      <alignment horizontal="center" vertical="center" wrapText="1"/>
    </xf>
    <xf numFmtId="0" fontId="222" fillId="171" borderId="171" xfId="60" applyFont="1" applyFill="1" applyBorder="1" applyAlignment="1">
      <alignment horizontal="center" vertical="center" wrapText="1"/>
    </xf>
    <xf numFmtId="0" fontId="222" fillId="173" borderId="171" xfId="60" applyFont="1" applyFill="1" applyBorder="1" applyAlignment="1">
      <alignment horizontal="center" vertical="center" wrapText="1"/>
    </xf>
    <xf numFmtId="0" fontId="222" fillId="174" borderId="171" xfId="60" applyFont="1" applyFill="1" applyBorder="1" applyAlignment="1">
      <alignment horizontal="center" vertical="center" wrapText="1"/>
    </xf>
    <xf numFmtId="0" fontId="195" fillId="166" borderId="167" xfId="60" applyFont="1" applyFill="1" applyBorder="1" applyAlignment="1">
      <alignment horizontal="center" vertical="center" wrapText="1"/>
    </xf>
    <xf numFmtId="0" fontId="213" fillId="166" borderId="167" xfId="60" applyFont="1" applyFill="1" applyBorder="1" applyAlignment="1">
      <alignment horizontal="center" vertical="center" wrapText="1"/>
    </xf>
    <xf numFmtId="0" fontId="195" fillId="162" borderId="159" xfId="60" applyFont="1" applyAlignment="1">
      <alignment wrapText="1"/>
    </xf>
    <xf numFmtId="0" fontId="211" fillId="178" borderId="168" xfId="60" applyFont="1" applyFill="1" applyBorder="1" applyAlignment="1">
      <alignment horizontal="center" vertical="center" wrapText="1"/>
    </xf>
    <xf numFmtId="0" fontId="211" fillId="176" borderId="168" xfId="60" applyFont="1" applyFill="1" applyBorder="1" applyAlignment="1">
      <alignment vertical="center" wrapText="1"/>
    </xf>
    <xf numFmtId="0" fontId="223" fillId="169" borderId="171" xfId="60" applyFont="1" applyFill="1" applyBorder="1" applyAlignment="1">
      <alignment horizontal="center" vertical="center" wrapText="1"/>
    </xf>
    <xf numFmtId="0" fontId="224" fillId="175" borderId="171" xfId="60" applyFont="1" applyFill="1" applyBorder="1" applyAlignment="1">
      <alignment horizontal="center" vertical="center" wrapText="1"/>
    </xf>
    <xf numFmtId="0" fontId="223" fillId="170" borderId="171" xfId="60" applyFont="1" applyFill="1" applyBorder="1" applyAlignment="1">
      <alignment horizontal="center" vertical="center" wrapText="1"/>
    </xf>
    <xf numFmtId="0" fontId="223" fillId="172" borderId="171" xfId="60" applyFont="1" applyFill="1" applyBorder="1" applyAlignment="1">
      <alignment horizontal="center" vertical="center" wrapText="1"/>
    </xf>
    <xf numFmtId="0" fontId="223" fillId="171" borderId="171" xfId="60" applyFont="1" applyFill="1" applyBorder="1" applyAlignment="1">
      <alignment horizontal="center" vertical="center" wrapText="1"/>
    </xf>
    <xf numFmtId="0" fontId="223" fillId="173" borderId="171" xfId="60" applyFont="1" applyFill="1" applyBorder="1" applyAlignment="1">
      <alignment horizontal="center" vertical="center" wrapText="1"/>
    </xf>
    <xf numFmtId="0" fontId="223" fillId="174" borderId="171" xfId="60" applyFont="1" applyFill="1" applyBorder="1" applyAlignment="1">
      <alignment horizontal="center" vertical="center" wrapText="1"/>
    </xf>
    <xf numFmtId="0" fontId="225" fillId="174" borderId="168" xfId="60" applyFont="1" applyFill="1" applyBorder="1" applyAlignment="1">
      <alignment horizontal="center" vertical="center" wrapText="1"/>
    </xf>
    <xf numFmtId="0" fontId="225" fillId="169" borderId="168" xfId="60" applyFont="1" applyFill="1" applyBorder="1" applyAlignment="1">
      <alignment horizontal="center" vertical="center" wrapText="1"/>
    </xf>
    <xf numFmtId="0" fontId="179" fillId="175" borderId="168" xfId="60" applyFont="1" applyFill="1" applyBorder="1" applyAlignment="1">
      <alignment horizontal="center" vertical="center" wrapText="1"/>
    </xf>
    <xf numFmtId="0" fontId="225" fillId="170" borderId="168" xfId="60" applyFont="1" applyFill="1" applyBorder="1" applyAlignment="1">
      <alignment horizontal="center" vertical="center" wrapText="1"/>
    </xf>
    <xf numFmtId="0" fontId="225" fillId="172" borderId="168" xfId="60" applyFont="1" applyFill="1" applyBorder="1" applyAlignment="1">
      <alignment horizontal="center" vertical="center" wrapText="1"/>
    </xf>
    <xf numFmtId="0" fontId="225" fillId="171" borderId="168" xfId="60" applyFont="1" applyFill="1" applyBorder="1" applyAlignment="1">
      <alignment horizontal="center" vertical="center" wrapText="1"/>
    </xf>
    <xf numFmtId="0" fontId="225" fillId="173" borderId="168" xfId="60" applyFont="1" applyFill="1" applyBorder="1" applyAlignment="1">
      <alignment horizontal="center" vertical="center" wrapText="1"/>
    </xf>
    <xf numFmtId="0" fontId="195" fillId="166" borderId="159" xfId="60" applyFont="1" applyFill="1" applyAlignment="1">
      <alignment horizontal="center" vertical="center"/>
    </xf>
    <xf numFmtId="0" fontId="211" fillId="177" borderId="184" xfId="60" applyFont="1" applyFill="1" applyBorder="1" applyAlignment="1">
      <alignment horizontal="center" vertical="center" wrapText="1"/>
    </xf>
    <xf numFmtId="0" fontId="211" fillId="179" borderId="168" xfId="60" applyFont="1" applyFill="1" applyBorder="1" applyAlignment="1">
      <alignment horizontal="center" vertical="center" wrapText="1"/>
    </xf>
    <xf numFmtId="0" fontId="211" fillId="179"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195" fillId="162" borderId="159" xfId="60" applyFont="1" applyAlignment="1">
      <alignment horizontal="center" vertical="center"/>
    </xf>
    <xf numFmtId="0" fontId="195" fillId="162" borderId="168" xfId="60" applyFont="1" applyBorder="1" applyAlignment="1">
      <alignment horizontal="center" vertical="center"/>
    </xf>
    <xf numFmtId="0" fontId="211" fillId="177" borderId="168" xfId="60" applyFont="1" applyFill="1" applyBorder="1" applyAlignment="1">
      <alignment horizontal="center" vertical="center" wrapText="1"/>
    </xf>
    <xf numFmtId="0" fontId="211" fillId="188" borderId="168" xfId="60" applyFont="1" applyFill="1" applyBorder="1" applyAlignment="1">
      <alignment horizontal="center" vertical="center" wrapText="1"/>
    </xf>
    <xf numFmtId="0" fontId="211" fillId="189" borderId="168" xfId="60" applyFont="1" applyFill="1" applyBorder="1" applyAlignment="1">
      <alignment horizontal="center" vertical="center" wrapText="1"/>
    </xf>
    <xf numFmtId="0" fontId="211" fillId="192" borderId="168" xfId="60" applyFont="1" applyFill="1" applyBorder="1" applyAlignment="1">
      <alignment horizontal="center" vertical="center" wrapText="1"/>
    </xf>
    <xf numFmtId="0" fontId="211" fillId="181" borderId="168" xfId="60" applyFont="1" applyFill="1" applyBorder="1" applyAlignment="1">
      <alignment horizontal="center" vertical="center" wrapText="1"/>
    </xf>
    <xf numFmtId="0" fontId="211" fillId="182" borderId="168" xfId="60" applyFont="1" applyFill="1" applyBorder="1" applyAlignment="1">
      <alignment horizontal="center" vertical="center" wrapText="1"/>
    </xf>
    <xf numFmtId="0" fontId="211" fillId="181" borderId="173" xfId="60" applyFont="1" applyFill="1" applyBorder="1" applyAlignment="1">
      <alignment horizontal="center" vertical="center" wrapText="1"/>
    </xf>
    <xf numFmtId="0" fontId="211" fillId="182" borderId="173" xfId="60" applyFont="1" applyFill="1" applyBorder="1" applyAlignment="1">
      <alignment horizontal="center" vertical="center" wrapText="1"/>
    </xf>
    <xf numFmtId="0" fontId="211" fillId="185" borderId="173" xfId="60" applyFont="1" applyFill="1" applyBorder="1" applyAlignment="1">
      <alignment horizontal="center" vertical="center" wrapText="1"/>
    </xf>
    <xf numFmtId="0" fontId="211" fillId="179" borderId="173" xfId="60" applyFont="1" applyFill="1" applyBorder="1" applyAlignment="1">
      <alignment horizontal="center" vertical="center" wrapText="1"/>
    </xf>
    <xf numFmtId="0" fontId="182" fillId="166" borderId="159" xfId="60" applyFont="1" applyFill="1" applyAlignment="1">
      <alignment horizontal="left" vertical="center" wrapText="1"/>
    </xf>
    <xf numFmtId="0" fontId="211" fillId="166" borderId="184" xfId="60" applyFont="1" applyFill="1" applyBorder="1" applyAlignment="1">
      <alignment horizontal="left" vertical="center" wrapText="1"/>
    </xf>
    <xf numFmtId="0" fontId="211" fillId="166" borderId="168" xfId="60" applyFont="1" applyFill="1" applyBorder="1" applyAlignment="1">
      <alignment horizontal="left" vertical="center" wrapText="1"/>
    </xf>
    <xf numFmtId="0" fontId="211" fillId="166" borderId="173" xfId="60" applyFont="1" applyFill="1" applyBorder="1" applyAlignment="1">
      <alignment horizontal="left" vertical="center" wrapText="1"/>
    </xf>
    <xf numFmtId="0" fontId="218" fillId="201" borderId="184" xfId="60" applyFont="1" applyFill="1" applyBorder="1" applyAlignment="1">
      <alignment horizontal="left" vertical="center" wrapText="1"/>
    </xf>
    <xf numFmtId="0" fontId="182" fillId="162" borderId="159" xfId="60" applyFont="1" applyAlignment="1">
      <alignment horizontal="left" vertical="center" wrapText="1"/>
    </xf>
    <xf numFmtId="0" fontId="211" fillId="176" borderId="184" xfId="60" applyFont="1" applyFill="1" applyBorder="1" applyAlignment="1">
      <alignment horizontal="left" vertical="center" wrapText="1"/>
    </xf>
    <xf numFmtId="0" fontId="211" fillId="179" borderId="168" xfId="60" applyFont="1" applyFill="1" applyBorder="1" applyAlignment="1">
      <alignment horizontal="left" vertical="center" wrapText="1"/>
    </xf>
    <xf numFmtId="0" fontId="211" fillId="179" borderId="184" xfId="60" applyFont="1" applyFill="1" applyBorder="1" applyAlignment="1">
      <alignment horizontal="left" vertical="center" wrapText="1"/>
    </xf>
    <xf numFmtId="0" fontId="211" fillId="201" borderId="184" xfId="60" applyFont="1" applyFill="1" applyBorder="1" applyAlignment="1">
      <alignment horizontal="left" vertical="center" wrapText="1"/>
    </xf>
    <xf numFmtId="0" fontId="211" fillId="201" borderId="184" xfId="60" applyFont="1" applyFill="1" applyBorder="1" applyAlignment="1">
      <alignment horizontal="left" vertical="center"/>
    </xf>
    <xf numFmtId="0" fontId="211" fillId="201" borderId="184" xfId="60" applyFont="1" applyFill="1" applyBorder="1" applyAlignment="1">
      <alignment horizontal="left" vertical="center" wrapText="1"/>
    </xf>
    <xf numFmtId="0" fontId="211" fillId="178" borderId="184" xfId="60" applyFont="1" applyFill="1" applyBorder="1" applyAlignment="1">
      <alignment horizontal="left" vertical="center" wrapText="1"/>
    </xf>
    <xf numFmtId="0" fontId="211" fillId="193" borderId="184" xfId="60" applyFont="1" applyFill="1" applyBorder="1" applyAlignment="1">
      <alignment horizontal="left" vertical="center" wrapText="1"/>
    </xf>
    <xf numFmtId="0" fontId="211" fillId="176" borderId="168" xfId="60" applyFont="1" applyFill="1" applyBorder="1" applyAlignment="1">
      <alignment horizontal="left" vertical="center" wrapText="1"/>
    </xf>
    <xf numFmtId="0" fontId="211" fillId="201" borderId="168" xfId="60" applyFont="1" applyFill="1" applyBorder="1" applyAlignment="1">
      <alignment horizontal="left" vertical="center" wrapText="1"/>
    </xf>
    <xf numFmtId="0" fontId="211" fillId="201" borderId="168" xfId="60" applyFont="1" applyFill="1" applyBorder="1" applyAlignment="1">
      <alignment horizontal="left" vertical="center"/>
    </xf>
    <xf numFmtId="0" fontId="211" fillId="201"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193" borderId="168" xfId="60" applyFont="1" applyFill="1" applyBorder="1" applyAlignment="1">
      <alignment horizontal="left" vertical="center" wrapText="1"/>
    </xf>
    <xf numFmtId="0" fontId="211" fillId="187" borderId="168" xfId="60" applyFont="1" applyFill="1" applyBorder="1" applyAlignment="1">
      <alignment horizontal="left" vertical="center" wrapText="1"/>
    </xf>
    <xf numFmtId="0" fontId="211" fillId="186" borderId="168" xfId="60" applyFont="1" applyFill="1" applyBorder="1" applyAlignment="1">
      <alignment horizontal="left" vertical="center" wrapText="1"/>
    </xf>
    <xf numFmtId="0" fontId="211" fillId="192" borderId="168" xfId="60" applyFont="1" applyFill="1" applyBorder="1" applyAlignment="1">
      <alignment horizontal="left" vertical="center" wrapText="1"/>
    </xf>
    <xf numFmtId="0" fontId="211" fillId="180" borderId="168" xfId="60" applyFont="1" applyFill="1" applyBorder="1" applyAlignment="1">
      <alignment horizontal="left" vertical="center" wrapText="1"/>
    </xf>
    <xf numFmtId="0" fontId="211" fillId="185" borderId="168" xfId="60" applyFont="1" applyFill="1" applyBorder="1" applyAlignment="1">
      <alignment horizontal="left" vertical="center" wrapText="1"/>
    </xf>
    <xf numFmtId="0" fontId="211" fillId="166" borderId="184" xfId="60" applyFont="1" applyFill="1" applyBorder="1" applyAlignment="1">
      <alignment horizontal="left" vertical="center"/>
    </xf>
    <xf numFmtId="0" fontId="211" fillId="166" borderId="168" xfId="60" applyFont="1" applyFill="1" applyBorder="1" applyAlignment="1">
      <alignment horizontal="left" vertical="center"/>
    </xf>
    <xf numFmtId="0" fontId="211" fillId="180" borderId="173" xfId="60" applyFont="1" applyFill="1" applyBorder="1" applyAlignment="1">
      <alignment horizontal="left" vertical="center" wrapText="1"/>
    </xf>
    <xf numFmtId="0" fontId="211" fillId="182" borderId="173" xfId="60" applyFont="1" applyFill="1" applyBorder="1" applyAlignment="1">
      <alignment horizontal="left" vertical="center" wrapText="1"/>
    </xf>
    <xf numFmtId="0" fontId="211" fillId="183" borderId="173" xfId="60" applyFont="1" applyFill="1" applyBorder="1" applyAlignment="1">
      <alignment horizontal="left" vertical="center" wrapText="1"/>
    </xf>
    <xf numFmtId="0" fontId="211" fillId="184" borderId="173" xfId="60" applyFont="1" applyFill="1" applyBorder="1" applyAlignment="1">
      <alignment horizontal="left" vertical="center"/>
    </xf>
    <xf numFmtId="0" fontId="211" fillId="184" borderId="173" xfId="60" applyFont="1" applyFill="1" applyBorder="1" applyAlignment="1">
      <alignment horizontal="left" vertical="center" wrapText="1"/>
    </xf>
    <xf numFmtId="0" fontId="211" fillId="184" borderId="173" xfId="60" applyFont="1" applyFill="1" applyBorder="1" applyAlignment="1">
      <alignment horizontal="left" vertical="center" wrapText="1"/>
    </xf>
    <xf numFmtId="0" fontId="211" fillId="183" borderId="173" xfId="60" applyFont="1" applyFill="1" applyBorder="1" applyAlignment="1">
      <alignment horizontal="left" vertical="center"/>
    </xf>
    <xf numFmtId="0" fontId="211" fillId="194" borderId="173" xfId="60" applyFont="1" applyFill="1" applyBorder="1" applyAlignment="1">
      <alignment horizontal="left" vertical="center" wrapText="1"/>
    </xf>
    <xf numFmtId="0" fontId="211" fillId="191" borderId="168" xfId="60" applyFont="1" applyFill="1" applyBorder="1" applyAlignment="1">
      <alignment horizontal="left" vertical="center" wrapText="1"/>
    </xf>
    <xf numFmtId="0" fontId="211" fillId="202" borderId="168" xfId="60" applyFont="1" applyFill="1" applyBorder="1" applyAlignment="1">
      <alignment horizontal="left" vertical="center" wrapText="1"/>
    </xf>
    <xf numFmtId="0" fontId="211" fillId="194" borderId="168" xfId="60" applyFont="1" applyFill="1" applyBorder="1" applyAlignment="1">
      <alignment horizontal="left" vertical="center" wrapText="1"/>
    </xf>
    <xf numFmtId="0" fontId="211" fillId="185" borderId="173" xfId="60" applyFont="1" applyFill="1" applyBorder="1" applyAlignment="1">
      <alignment horizontal="left" vertical="center" wrapText="1"/>
    </xf>
    <xf numFmtId="0" fontId="211" fillId="193" borderId="173" xfId="60" applyFont="1" applyFill="1" applyBorder="1" applyAlignment="1">
      <alignment horizontal="left" vertical="center" wrapText="1"/>
    </xf>
    <xf numFmtId="0" fontId="211" fillId="193" borderId="209" xfId="60" applyFont="1" applyFill="1" applyBorder="1" applyAlignment="1">
      <alignment horizontal="left" vertical="center" wrapText="1"/>
    </xf>
    <xf numFmtId="0" fontId="211" fillId="193" borderId="180" xfId="60" applyFont="1" applyFill="1" applyBorder="1" applyAlignment="1">
      <alignment horizontal="left" vertical="center" wrapText="1"/>
    </xf>
    <xf numFmtId="0" fontId="188" fillId="162" borderId="169" xfId="60" applyFont="1" applyBorder="1" applyAlignment="1">
      <alignment horizontal="center" vertical="center" wrapText="1"/>
    </xf>
    <xf numFmtId="0" fontId="189" fillId="162" borderId="169" xfId="60" applyFont="1" applyBorder="1" applyAlignment="1">
      <alignment horizontal="center" vertical="center" wrapText="1"/>
    </xf>
    <xf numFmtId="0" fontId="188" fillId="162" borderId="162" xfId="60" applyFont="1" applyBorder="1" applyAlignment="1">
      <alignment horizontal="center" vertical="center" wrapText="1"/>
    </xf>
    <xf numFmtId="0" fontId="200" fillId="162" borderId="168" xfId="60" applyFont="1" applyBorder="1" applyAlignment="1">
      <alignment horizontal="center" vertical="center" wrapText="1"/>
    </xf>
    <xf numFmtId="0" fontId="201" fillId="162" borderId="168" xfId="60" applyFont="1" applyBorder="1" applyAlignment="1">
      <alignment horizontal="center" vertical="center" wrapText="1"/>
    </xf>
    <xf numFmtId="0" fontId="200" fillId="162" borderId="170" xfId="60" applyFont="1" applyBorder="1" applyAlignment="1">
      <alignment horizontal="center" vertical="center" wrapText="1"/>
    </xf>
    <xf numFmtId="0" fontId="184" fillId="167" borderId="163" xfId="60" applyFont="1" applyFill="1" applyBorder="1" applyAlignment="1">
      <alignment horizontal="center" vertical="center" wrapText="1"/>
    </xf>
    <xf numFmtId="0" fontId="213" fillId="167" borderId="164" xfId="60" applyFont="1" applyFill="1" applyBorder="1" applyAlignment="1">
      <alignment horizontal="center" vertical="center" wrapText="1"/>
    </xf>
    <xf numFmtId="0" fontId="211" fillId="167" borderId="184"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212" borderId="173" xfId="60" applyFont="1" applyFill="1" applyBorder="1" applyAlignment="1">
      <alignment horizontal="center" vertical="center" wrapText="1"/>
    </xf>
    <xf numFmtId="0" fontId="211" fillId="167" borderId="173" xfId="60" applyFont="1" applyFill="1" applyBorder="1" applyAlignment="1">
      <alignment horizontal="center" vertical="center" wrapText="1"/>
    </xf>
    <xf numFmtId="0" fontId="213" fillId="207" borderId="163" xfId="60" applyFont="1" applyFill="1" applyBorder="1" applyAlignment="1">
      <alignment horizontal="center" vertical="center" wrapText="1"/>
    </xf>
    <xf numFmtId="0" fontId="211" fillId="207" borderId="184"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09" borderId="173" xfId="60" applyFont="1" applyFill="1" applyBorder="1" applyAlignment="1">
      <alignment horizontal="center" vertical="center" wrapText="1"/>
    </xf>
    <xf numFmtId="0" fontId="211" fillId="207" borderId="173" xfId="60" applyFont="1" applyFill="1" applyBorder="1" applyAlignment="1">
      <alignment horizontal="center" vertical="center" wrapText="1"/>
    </xf>
    <xf numFmtId="0" fontId="226" fillId="166" borderId="168" xfId="60" applyFont="1" applyFill="1" applyBorder="1" applyAlignment="1">
      <alignment horizontal="center" vertical="center" wrapText="1"/>
    </xf>
    <xf numFmtId="0" fontId="193" fillId="179" borderId="163" xfId="60" applyFont="1" applyFill="1" applyBorder="1" applyAlignment="1">
      <alignment horizontal="center" vertical="center"/>
    </xf>
    <xf numFmtId="0" fontId="227" fillId="209" borderId="168" xfId="60" applyFont="1" applyFill="1" applyBorder="1" applyAlignment="1">
      <alignment horizontal="center" vertical="center" wrapText="1"/>
    </xf>
    <xf numFmtId="0" fontId="228" fillId="166" borderId="159" xfId="60" applyFont="1" applyFill="1" applyAlignment="1">
      <alignment horizontal="center" vertical="center" wrapText="1"/>
    </xf>
    <xf numFmtId="0" fontId="231" fillId="166" borderId="159" xfId="60" applyFont="1" applyFill="1" applyAlignment="1">
      <alignment horizontal="center" vertical="center" wrapText="1"/>
    </xf>
    <xf numFmtId="0" fontId="229" fillId="166" borderId="159" xfId="60" applyFont="1" applyFill="1" applyAlignment="1">
      <alignment vertical="top" wrapText="1"/>
    </xf>
    <xf numFmtId="0" fontId="232" fillId="166" borderId="159" xfId="60" applyFont="1" applyFill="1" applyAlignment="1">
      <alignment horizontal="center" vertical="center"/>
    </xf>
    <xf numFmtId="0" fontId="193" fillId="178" borderId="198" xfId="60" applyFont="1" applyFill="1" applyBorder="1" applyAlignment="1">
      <alignment horizontal="center" vertical="center" wrapText="1"/>
    </xf>
    <xf numFmtId="0" fontId="195" fillId="178" borderId="209" xfId="60" applyFont="1" applyFill="1" applyBorder="1" applyAlignment="1">
      <alignment horizontal="center" vertical="center" wrapText="1"/>
    </xf>
    <xf numFmtId="0" fontId="195" fillId="178" borderId="180" xfId="60" applyFont="1" applyFill="1" applyBorder="1" applyAlignment="1">
      <alignment horizontal="center" vertical="center" wrapText="1"/>
    </xf>
    <xf numFmtId="0" fontId="195" fillId="192" borderId="18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85" fillId="162" borderId="168" xfId="60" applyFont="1" applyBorder="1"/>
    <xf numFmtId="0" fontId="195" fillId="162" borderId="168" xfId="60" applyFont="1" applyBorder="1"/>
    <xf numFmtId="0" fontId="195" fillId="178" borderId="180" xfId="60" applyFont="1" applyFill="1" applyBorder="1" applyAlignment="1">
      <alignment horizontal="center" vertical="center" wrapText="1"/>
    </xf>
    <xf numFmtId="0" fontId="195" fillId="178" borderId="196" xfId="60" applyFont="1" applyFill="1" applyBorder="1" applyAlignment="1">
      <alignment horizontal="center" vertical="center" wrapText="1"/>
    </xf>
    <xf numFmtId="0" fontId="195" fillId="185" borderId="180" xfId="60" applyFont="1" applyFill="1" applyBorder="1" applyAlignment="1">
      <alignment horizontal="center" vertical="center" wrapText="1"/>
    </xf>
    <xf numFmtId="0" fontId="195" fillId="191" borderId="180" xfId="60" applyFont="1" applyFill="1" applyBorder="1" applyAlignment="1">
      <alignment horizontal="center" vertical="center" wrapText="1"/>
    </xf>
    <xf numFmtId="0" fontId="195" fillId="162" borderId="168" xfId="60" applyFont="1" applyBorder="1" applyAlignment="1">
      <alignment vertical="center" wrapText="1"/>
    </xf>
    <xf numFmtId="0" fontId="211" fillId="162" borderId="168" xfId="60" applyFont="1" applyBorder="1" applyAlignment="1">
      <alignment vertical="center" wrapText="1"/>
    </xf>
    <xf numFmtId="0" fontId="211" fillId="201" borderId="168" xfId="60" applyFont="1" applyFill="1" applyBorder="1" applyAlignment="1">
      <alignment vertical="center" wrapText="1"/>
    </xf>
    <xf numFmtId="0" fontId="211" fillId="162" borderId="168" xfId="60" applyFont="1" applyBorder="1" applyAlignment="1">
      <alignment horizontal="left" vertical="center" wrapText="1"/>
    </xf>
    <xf numFmtId="0" fontId="220" fillId="162" borderId="168" xfId="60" applyFont="1" applyBorder="1" applyAlignment="1">
      <alignment vertical="center" wrapText="1"/>
    </xf>
    <xf numFmtId="0" fontId="195" fillId="178" borderId="180" xfId="60" applyFont="1" applyFill="1" applyBorder="1" applyAlignment="1">
      <alignment horizontal="left" vertical="center" wrapText="1"/>
    </xf>
    <xf numFmtId="0" fontId="195" fillId="185" borderId="197" xfId="60" applyFont="1" applyFill="1" applyBorder="1" applyAlignment="1">
      <alignment horizontal="left" vertical="center" wrapText="1"/>
    </xf>
    <xf numFmtId="0" fontId="195" fillId="191" borderId="168" xfId="60" applyFont="1" applyFill="1" applyBorder="1" applyAlignment="1">
      <alignment horizontal="left" vertical="center" wrapText="1"/>
    </xf>
    <xf numFmtId="0" fontId="195" fillId="191" borderId="209" xfId="60" applyFont="1" applyFill="1" applyBorder="1" applyAlignment="1">
      <alignment horizontal="left" vertical="center" wrapText="1"/>
    </xf>
    <xf numFmtId="0" fontId="211" fillId="178" borderId="180" xfId="60" applyFont="1" applyFill="1" applyBorder="1" applyAlignment="1">
      <alignment horizontal="left" vertical="center" wrapText="1"/>
    </xf>
    <xf numFmtId="0" fontId="233" fillId="178" borderId="209" xfId="60" applyFont="1" applyFill="1" applyBorder="1" applyAlignment="1">
      <alignment horizontal="left" vertical="center" wrapText="1"/>
    </xf>
    <xf numFmtId="0" fontId="193" fillId="167" borderId="160" xfId="60" applyFont="1" applyFill="1" applyBorder="1" applyAlignment="1">
      <alignment vertical="center" wrapText="1"/>
    </xf>
    <xf numFmtId="0" fontId="193" fillId="167" borderId="181" xfId="60" applyFont="1" applyFill="1" applyBorder="1" applyAlignment="1">
      <alignment vertical="center" wrapText="1"/>
    </xf>
    <xf numFmtId="0" fontId="193" fillId="167" borderId="165" xfId="60" applyFont="1" applyFill="1" applyBorder="1" applyAlignment="1">
      <alignment vertical="center" wrapText="1"/>
    </xf>
    <xf numFmtId="0" fontId="193" fillId="167" borderId="159" xfId="60" applyFont="1" applyFill="1" applyAlignment="1">
      <alignment vertical="center" wrapText="1"/>
    </xf>
    <xf numFmtId="0" fontId="193" fillId="167" borderId="202" xfId="60" applyFont="1" applyFill="1" applyBorder="1" applyAlignment="1">
      <alignment vertical="center" wrapText="1"/>
    </xf>
    <xf numFmtId="0" fontId="185" fillId="162" borderId="184" xfId="60" applyFont="1" applyBorder="1"/>
    <xf numFmtId="0" fontId="211" fillId="178" borderId="196" xfId="60" applyFont="1" applyFill="1" applyBorder="1" applyAlignment="1">
      <alignment horizontal="left" vertical="center" wrapText="1"/>
    </xf>
    <xf numFmtId="0" fontId="211" fillId="185" borderId="180" xfId="60" applyFont="1" applyFill="1" applyBorder="1" applyAlignment="1">
      <alignment horizontal="left" vertical="center" wrapText="1"/>
    </xf>
    <xf numFmtId="0" fontId="195" fillId="185" borderId="180" xfId="60" applyFont="1" applyFill="1" applyBorder="1" applyAlignment="1">
      <alignment horizontal="left" vertical="center" wrapText="1"/>
    </xf>
    <xf numFmtId="0" fontId="215" fillId="162" borderId="180" xfId="60" applyFont="1" applyBorder="1" applyAlignment="1">
      <alignment vertical="center" wrapText="1"/>
    </xf>
    <xf numFmtId="0" fontId="214" fillId="162" borderId="211" xfId="60" applyFont="1" applyBorder="1" applyAlignment="1">
      <alignment vertical="center" wrapText="1"/>
    </xf>
    <xf numFmtId="0" fontId="215" fillId="162" borderId="209" xfId="60" applyFont="1" applyBorder="1" applyAlignment="1">
      <alignment vertical="center" wrapText="1"/>
    </xf>
    <xf numFmtId="0" fontId="215" fillId="186" borderId="180" xfId="60" applyFont="1" applyFill="1" applyBorder="1" applyAlignment="1">
      <alignment vertical="center" wrapText="1"/>
    </xf>
    <xf numFmtId="0" fontId="215" fillId="162" borderId="197" xfId="60" applyFont="1" applyBorder="1" applyAlignment="1">
      <alignment vertical="center" wrapText="1"/>
    </xf>
    <xf numFmtId="0" fontId="215" fillId="190" borderId="180" xfId="60" applyFont="1" applyFill="1" applyBorder="1" applyAlignment="1">
      <alignment vertical="center" wrapText="1"/>
    </xf>
    <xf numFmtId="0" fontId="211" fillId="213" borderId="168" xfId="60" applyFont="1" applyFill="1" applyBorder="1" applyAlignment="1">
      <alignment horizontal="left" vertical="center" wrapText="1"/>
    </xf>
    <xf numFmtId="0" fontId="211" fillId="214" borderId="168" xfId="60" applyFont="1" applyFill="1" applyBorder="1" applyAlignment="1">
      <alignment horizontal="left" vertical="center" wrapText="1"/>
    </xf>
    <xf numFmtId="0" fontId="207" fillId="166" borderId="159" xfId="60" applyFont="1" applyFill="1" applyAlignment="1">
      <alignment horizontal="center" vertical="center"/>
    </xf>
    <xf numFmtId="0" fontId="194" fillId="166" borderId="159" xfId="60" applyFont="1" applyFill="1" applyAlignment="1">
      <alignment horizontal="center" vertical="center"/>
    </xf>
    <xf numFmtId="0" fontId="203" fillId="167" borderId="160" xfId="60" applyFont="1" applyFill="1" applyBorder="1" applyAlignment="1">
      <alignment horizontal="left" vertical="center" wrapText="1"/>
    </xf>
    <xf numFmtId="0" fontId="203" fillId="167" borderId="181" xfId="60" applyFont="1" applyFill="1" applyBorder="1" applyAlignment="1">
      <alignment horizontal="left" vertical="center" wrapText="1"/>
    </xf>
    <xf numFmtId="0" fontId="203" fillId="167" borderId="166" xfId="60" applyFont="1" applyFill="1" applyBorder="1" applyAlignment="1">
      <alignment horizontal="left" vertical="center" wrapText="1"/>
    </xf>
    <xf numFmtId="0" fontId="193" fillId="167" borderId="160" xfId="60" applyFont="1" applyFill="1" applyBorder="1" applyAlignment="1">
      <alignment horizontal="left" vertical="center" wrapText="1"/>
    </xf>
    <xf numFmtId="0" fontId="193" fillId="167" borderId="181" xfId="60" applyFont="1" applyFill="1" applyBorder="1" applyAlignment="1">
      <alignment horizontal="left" vertical="center" wrapText="1"/>
    </xf>
    <xf numFmtId="0" fontId="193" fillId="167" borderId="165" xfId="60" applyFont="1" applyFill="1" applyBorder="1" applyAlignment="1">
      <alignment horizontal="left" vertical="center" wrapText="1"/>
    </xf>
    <xf numFmtId="0" fontId="191" fillId="167" borderId="161" xfId="60" applyFont="1" applyFill="1" applyBorder="1" applyAlignment="1">
      <alignment horizontal="right" vertical="center" wrapText="1"/>
    </xf>
    <xf numFmtId="0" fontId="191" fillId="167" borderId="162" xfId="60" applyFont="1" applyFill="1" applyBorder="1" applyAlignment="1">
      <alignment horizontal="right" vertical="center" wrapText="1"/>
    </xf>
    <xf numFmtId="0" fontId="191" fillId="167" borderId="163" xfId="60" applyFont="1" applyFill="1" applyBorder="1" applyAlignment="1">
      <alignment horizontal="right" vertical="center" wrapText="1"/>
    </xf>
    <xf numFmtId="0" fontId="191" fillId="167" borderId="164" xfId="60" applyFont="1" applyFill="1" applyBorder="1" applyAlignment="1">
      <alignment horizontal="right" vertical="center" wrapText="1"/>
    </xf>
    <xf numFmtId="0" fontId="210" fillId="167" borderId="161" xfId="60" applyFont="1" applyFill="1" applyBorder="1" applyAlignment="1">
      <alignment horizontal="center" vertical="center" wrapText="1"/>
    </xf>
    <xf numFmtId="0" fontId="210" fillId="167" borderId="162" xfId="60" applyFont="1" applyFill="1" applyBorder="1" applyAlignment="1">
      <alignment horizontal="center" vertical="center" wrapText="1"/>
    </xf>
    <xf numFmtId="0" fontId="210" fillId="207" borderId="161" xfId="60" applyFont="1" applyFill="1" applyBorder="1" applyAlignment="1">
      <alignment horizontal="center" vertical="center" wrapText="1"/>
    </xf>
    <xf numFmtId="0" fontId="210" fillId="207" borderId="162" xfId="60" applyFont="1" applyFill="1" applyBorder="1" applyAlignment="1">
      <alignment horizontal="center" vertical="center" wrapText="1"/>
    </xf>
    <xf numFmtId="0" fontId="210" fillId="179" borderId="161" xfId="60" applyFont="1" applyFill="1" applyBorder="1" applyAlignment="1">
      <alignment horizontal="center" vertical="center" wrapText="1"/>
    </xf>
    <xf numFmtId="0" fontId="210" fillId="179" borderId="162" xfId="60" applyFont="1" applyFill="1" applyBorder="1" applyAlignment="1">
      <alignment horizontal="center" vertical="center" wrapText="1"/>
    </xf>
    <xf numFmtId="0" fontId="179" fillId="167" borderId="205" xfId="60" applyFont="1" applyFill="1" applyBorder="1" applyAlignment="1">
      <alignment horizontal="center" vertical="center" wrapText="1"/>
    </xf>
    <xf numFmtId="0" fontId="179" fillId="167" borderId="159" xfId="60" applyFont="1" applyFill="1" applyAlignment="1">
      <alignment horizontal="center" vertical="center" wrapText="1"/>
    </xf>
    <xf numFmtId="0" fontId="193" fillId="178" borderId="209" xfId="60" applyFont="1" applyFill="1" applyBorder="1" applyAlignment="1">
      <alignment horizontal="center" vertical="center" wrapText="1"/>
    </xf>
    <xf numFmtId="0" fontId="193" fillId="178" borderId="190" xfId="60" applyFont="1" applyFill="1" applyBorder="1" applyAlignment="1">
      <alignment horizontal="center" vertical="center" wrapText="1"/>
    </xf>
    <xf numFmtId="0" fontId="193" fillId="167" borderId="159" xfId="60" applyFont="1" applyFill="1" applyAlignment="1">
      <alignment horizontal="left" vertical="center" wrapText="1"/>
    </xf>
    <xf numFmtId="0" fontId="193" fillId="167" borderId="202" xfId="60" applyFont="1" applyFill="1" applyBorder="1" applyAlignment="1">
      <alignment horizontal="left" vertical="center" wrapText="1"/>
    </xf>
    <xf numFmtId="0" fontId="179" fillId="167" borderId="185" xfId="60" applyFont="1" applyFill="1" applyBorder="1" applyAlignment="1">
      <alignment horizontal="center" vertical="center" wrapText="1"/>
    </xf>
    <xf numFmtId="0" fontId="179" fillId="167" borderId="186" xfId="60" applyFont="1" applyFill="1" applyBorder="1" applyAlignment="1">
      <alignment horizontal="center" vertical="center" wrapText="1"/>
    </xf>
    <xf numFmtId="0" fontId="179" fillId="167" borderId="192" xfId="60" applyFont="1" applyFill="1" applyBorder="1" applyAlignment="1">
      <alignment horizontal="center" vertical="center" wrapText="1"/>
    </xf>
    <xf numFmtId="0" fontId="179" fillId="167" borderId="21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93" fillId="167" borderId="189" xfId="60" applyFont="1" applyFill="1" applyBorder="1" applyAlignment="1">
      <alignment horizontal="left" vertical="center" wrapText="1"/>
    </xf>
    <xf numFmtId="0" fontId="193" fillId="167" borderId="190" xfId="60" applyFont="1" applyFill="1" applyBorder="1" applyAlignment="1">
      <alignment horizontal="left" vertical="center" wrapText="1"/>
    </xf>
    <xf numFmtId="0" fontId="193" fillId="167" borderId="195" xfId="60" applyFont="1" applyFill="1" applyBorder="1" applyAlignment="1">
      <alignment horizontal="left" vertical="center" wrapText="1"/>
    </xf>
    <xf numFmtId="0" fontId="179" fillId="167" borderId="187" xfId="60" applyFont="1" applyFill="1" applyBorder="1" applyAlignment="1">
      <alignment horizontal="center" vertical="center" wrapText="1"/>
    </xf>
    <xf numFmtId="0" fontId="187" fillId="166" borderId="159" xfId="60" applyFont="1" applyFill="1" applyAlignment="1">
      <alignment horizontal="center"/>
    </xf>
    <xf numFmtId="0" fontId="186" fillId="166" borderId="159" xfId="60" applyFont="1" applyFill="1" applyAlignment="1">
      <alignment horizontal="center" vertical="center"/>
    </xf>
    <xf numFmtId="0" fontId="186" fillId="166" borderId="165" xfId="60" applyFont="1" applyFill="1" applyBorder="1" applyAlignment="1">
      <alignment horizontal="center"/>
    </xf>
    <xf numFmtId="0" fontId="197" fillId="167" borderId="185" xfId="60" applyFont="1" applyFill="1" applyBorder="1" applyAlignment="1">
      <alignment horizontal="left" vertical="center" wrapText="1"/>
    </xf>
    <xf numFmtId="0" fontId="197" fillId="167" borderId="186" xfId="60" applyFont="1" applyFill="1" applyBorder="1" applyAlignment="1">
      <alignment horizontal="left" vertical="center" wrapText="1"/>
    </xf>
    <xf numFmtId="0" fontId="197" fillId="167" borderId="210" xfId="60" applyFont="1" applyFill="1" applyBorder="1" applyAlignment="1">
      <alignment horizontal="left" vertical="center" wrapText="1"/>
    </xf>
    <xf numFmtId="0" fontId="184" fillId="193" borderId="167" xfId="60" applyFont="1" applyFill="1" applyBorder="1" applyAlignment="1">
      <alignment horizontal="center" vertical="center" wrapText="1"/>
    </xf>
    <xf numFmtId="0" fontId="184" fillId="193" borderId="170" xfId="60" applyFont="1" applyFill="1" applyBorder="1" applyAlignment="1">
      <alignment horizontal="center" vertical="center" wrapText="1"/>
    </xf>
    <xf numFmtId="0" fontId="202" fillId="167" borderId="199" xfId="60" applyFont="1" applyFill="1" applyBorder="1" applyAlignment="1">
      <alignment horizontal="center" vertical="center" wrapText="1"/>
    </xf>
    <xf numFmtId="0" fontId="198" fillId="167" borderId="200" xfId="60" applyFont="1" applyFill="1" applyBorder="1" applyAlignment="1">
      <alignment horizontal="center" vertical="center" wrapText="1"/>
    </xf>
    <xf numFmtId="0" fontId="198" fillId="167" borderId="201" xfId="60" applyFont="1" applyFill="1" applyBorder="1" applyAlignment="1">
      <alignment horizontal="center" vertical="center" wrapText="1"/>
    </xf>
    <xf numFmtId="0" fontId="198" fillId="167" borderId="202" xfId="60" applyFont="1" applyFill="1" applyBorder="1" applyAlignment="1">
      <alignment horizontal="center" vertical="center" wrapText="1"/>
    </xf>
    <xf numFmtId="0" fontId="179" fillId="167" borderId="161" xfId="60" applyFont="1" applyFill="1" applyBorder="1" applyAlignment="1">
      <alignment horizontal="center" vertical="center" wrapText="1"/>
    </xf>
    <xf numFmtId="0" fontId="179" fillId="167" borderId="162" xfId="60" applyFont="1" applyFill="1" applyBorder="1" applyAlignment="1">
      <alignment horizontal="center" vertical="center" wrapText="1"/>
    </xf>
    <xf numFmtId="0" fontId="179" fillId="207" borderId="161" xfId="60" applyFont="1" applyFill="1" applyBorder="1" applyAlignment="1">
      <alignment horizontal="center" vertical="center" wrapText="1"/>
    </xf>
    <xf numFmtId="0" fontId="179" fillId="207" borderId="162" xfId="60" applyFont="1" applyFill="1" applyBorder="1" applyAlignment="1">
      <alignment horizontal="center" vertical="center" wrapText="1"/>
    </xf>
    <xf numFmtId="0" fontId="179" fillId="179" borderId="161" xfId="60" applyFont="1" applyFill="1" applyBorder="1" applyAlignment="1">
      <alignment horizontal="center" vertical="center" wrapText="1"/>
    </xf>
    <xf numFmtId="0" fontId="179" fillId="179" borderId="162" xfId="60" applyFont="1" applyFill="1" applyBorder="1" applyAlignment="1">
      <alignment horizontal="center" vertical="center" wrapText="1"/>
    </xf>
    <xf numFmtId="0" fontId="184" fillId="178" borderId="161" xfId="60" applyFont="1" applyFill="1" applyBorder="1" applyAlignment="1">
      <alignment horizontal="center" vertical="center" wrapText="1"/>
    </xf>
    <xf numFmtId="0" fontId="184" fillId="178" borderId="169" xfId="60" applyFont="1" applyFill="1" applyBorder="1" applyAlignment="1">
      <alignment horizontal="center" vertical="center" wrapText="1"/>
    </xf>
    <xf numFmtId="0" fontId="184" fillId="178" borderId="196" xfId="60" applyFont="1" applyFill="1" applyBorder="1" applyAlignment="1">
      <alignment horizontal="center" vertical="center" wrapText="1"/>
    </xf>
    <xf numFmtId="0" fontId="197" fillId="167" borderId="187" xfId="60" applyFont="1" applyFill="1" applyBorder="1" applyAlignment="1">
      <alignment horizontal="left" vertical="center" wrapText="1"/>
    </xf>
    <xf numFmtId="0" fontId="197" fillId="167" borderId="168" xfId="60" applyFont="1" applyFill="1" applyBorder="1" applyAlignment="1">
      <alignment horizontal="left" vertical="center" wrapText="1"/>
    </xf>
    <xf numFmtId="0" fontId="197" fillId="167" borderId="160" xfId="60" applyFont="1" applyFill="1" applyBorder="1" applyAlignment="1">
      <alignment horizontal="left" vertical="center" wrapText="1"/>
    </xf>
    <xf numFmtId="0" fontId="197" fillId="167" borderId="181" xfId="60" applyFont="1" applyFill="1" applyBorder="1" applyAlignment="1">
      <alignment horizontal="left" vertical="center" wrapText="1"/>
    </xf>
    <xf numFmtId="0" fontId="197" fillId="167" borderId="166" xfId="60" applyFont="1" applyFill="1" applyBorder="1" applyAlignment="1">
      <alignment horizontal="left" vertical="center" wrapText="1"/>
    </xf>
    <xf numFmtId="0" fontId="230" fillId="166" borderId="159" xfId="60" applyFont="1" applyFill="1" applyAlignment="1">
      <alignment horizontal="center" vertical="center"/>
    </xf>
    <xf numFmtId="0" fontId="202" fillId="167" borderId="199" xfId="60" applyFont="1" applyFill="1" applyBorder="1" applyAlignment="1">
      <alignment horizontal="center" vertical="center" wrapText="1"/>
    </xf>
    <xf numFmtId="0" fontId="202" fillId="167" borderId="207" xfId="60" applyFont="1" applyFill="1" applyBorder="1" applyAlignment="1">
      <alignment horizontal="center" vertical="center" wrapText="1"/>
    </xf>
    <xf numFmtId="0" fontId="184" fillId="167" borderId="167" xfId="60" applyFont="1" applyFill="1" applyBorder="1" applyAlignment="1">
      <alignment horizontal="center" vertical="center"/>
    </xf>
    <xf numFmtId="0" fontId="184" fillId="167" borderId="168" xfId="60" applyFont="1" applyFill="1" applyBorder="1" applyAlignment="1">
      <alignment horizontal="center" vertical="center"/>
    </xf>
    <xf numFmtId="0" fontId="206" fillId="197" borderId="159" xfId="60" applyFont="1" applyFill="1" applyAlignment="1">
      <alignment horizontal="left" vertical="center"/>
    </xf>
    <xf numFmtId="0" fontId="206" fillId="198" borderId="159" xfId="60" applyFont="1" applyFill="1" applyAlignment="1">
      <alignment horizontal="left" vertical="center"/>
    </xf>
    <xf numFmtId="0" fontId="206" fillId="195" borderId="159" xfId="60" applyFont="1" applyFill="1" applyAlignment="1">
      <alignment horizontal="left" vertical="center"/>
    </xf>
    <xf numFmtId="0" fontId="206" fillId="196" borderId="159" xfId="60" applyFont="1" applyFill="1" applyAlignment="1">
      <alignment horizontal="left" vertical="center"/>
    </xf>
    <xf numFmtId="0" fontId="206" fillId="171" borderId="159" xfId="60" applyFont="1" applyFill="1" applyAlignment="1">
      <alignment horizontal="left" vertical="center"/>
    </xf>
    <xf numFmtId="0" fontId="234" fillId="162" borderId="159" xfId="60" applyNumberFormat="1" applyFont="1" applyFill="1" applyBorder="1"/>
    <xf numFmtId="0" fontId="235" fillId="162" borderId="159" xfId="60" applyNumberFormat="1" applyFont="1" applyFill="1" applyBorder="1"/>
    <xf numFmtId="0" fontId="236" fillId="162" borderId="159" xfId="60" applyNumberFormat="1" applyFont="1" applyFill="1" applyBorder="1"/>
    <xf numFmtId="0" fontId="234" fillId="215" borderId="159" xfId="60" applyNumberFormat="1" applyFont="1" applyFill="1" applyBorder="1"/>
    <xf numFmtId="0" fontId="237" fillId="215" borderId="159" xfId="60" applyNumberFormat="1" applyFont="1" applyFill="1" applyBorder="1"/>
    <xf numFmtId="0" fontId="237" fillId="215" borderId="159" xfId="60" applyNumberFormat="1" applyFont="1" applyFill="1" applyBorder="1" applyAlignment="1">
      <alignment wrapText="1"/>
    </xf>
    <xf numFmtId="0" fontId="237" fillId="215" borderId="159" xfId="60" applyNumberFormat="1" applyFont="1" applyFill="1" applyBorder="1" applyAlignment="1">
      <alignment vertical="center" wrapText="1"/>
    </xf>
    <xf numFmtId="165" fontId="234" fillId="162" borderId="159" xfId="60" applyNumberFormat="1" applyFont="1" applyFill="1" applyBorder="1"/>
    <xf numFmtId="0" fontId="234" fillId="162" borderId="159" xfId="60" applyNumberFormat="1" applyFont="1" applyFill="1" applyBorder="1" applyAlignment="1">
      <alignment horizontal="right"/>
    </xf>
    <xf numFmtId="165" fontId="234" fillId="162" borderId="159" xfId="60" applyNumberFormat="1" applyFont="1" applyFill="1" applyBorder="1" applyAlignment="1">
      <alignment horizontal="right"/>
    </xf>
    <xf numFmtId="0" fontId="234" fillId="216" borderId="159" xfId="60" applyNumberFormat="1" applyFont="1" applyFill="1" applyBorder="1"/>
    <xf numFmtId="0" fontId="234" fillId="216" borderId="159" xfId="60" applyNumberFormat="1" applyFont="1" applyFill="1" applyBorder="1" applyAlignment="1">
      <alignment horizontal="right"/>
    </xf>
    <xf numFmtId="165" fontId="234" fillId="216" borderId="159" xfId="60" applyNumberFormat="1" applyFont="1" applyFill="1" applyBorder="1" applyAlignment="1">
      <alignment horizontal="right"/>
    </xf>
    <xf numFmtId="0" fontId="238" fillId="216" borderId="159" xfId="60" applyNumberFormat="1" applyFont="1" applyFill="1" applyBorder="1"/>
    <xf numFmtId="0" fontId="238" fillId="216" borderId="159" xfId="60" applyNumberFormat="1" applyFont="1" applyFill="1" applyBorder="1" applyAlignment="1">
      <alignment horizontal="right"/>
    </xf>
    <xf numFmtId="165" fontId="238" fillId="216" borderId="159" xfId="60" applyNumberFormat="1" applyFont="1" applyFill="1" applyBorder="1" applyAlignment="1">
      <alignment horizontal="right"/>
    </xf>
    <xf numFmtId="0" fontId="234" fillId="217" borderId="159" xfId="60" applyNumberFormat="1" applyFont="1" applyFill="1" applyBorder="1"/>
    <xf numFmtId="0" fontId="234" fillId="217" borderId="159" xfId="60" applyNumberFormat="1" applyFont="1" applyFill="1" applyBorder="1" applyAlignment="1">
      <alignment horizontal="right"/>
    </xf>
    <xf numFmtId="165" fontId="234" fillId="217" borderId="159" xfId="60" applyNumberFormat="1" applyFont="1" applyFill="1" applyBorder="1" applyAlignment="1">
      <alignment horizontal="right"/>
    </xf>
    <xf numFmtId="0" fontId="234" fillId="217" borderId="159" xfId="60" applyNumberFormat="1" applyFont="1" applyFill="1" applyBorder="1" applyAlignment="1">
      <alignment wrapText="1"/>
    </xf>
    <xf numFmtId="0" fontId="234" fillId="162" borderId="159" xfId="60" applyNumberFormat="1" applyFont="1" applyFill="1" applyBorder="1" applyAlignment="1">
      <alignment wrapText="1"/>
    </xf>
    <xf numFmtId="165" fontId="234" fillId="217" borderId="159" xfId="60" applyNumberFormat="1" applyFont="1" applyFill="1" applyBorder="1"/>
    <xf numFmtId="166" fontId="234" fillId="162" borderId="159" xfId="60" applyNumberFormat="1" applyFont="1" applyFill="1" applyBorder="1"/>
    <xf numFmtId="166" fontId="234" fillId="217" borderId="159" xfId="60" applyNumberFormat="1" applyFont="1" applyFill="1" applyBorder="1"/>
    <xf numFmtId="0" fontId="239" fillId="162" borderId="159" xfId="60" applyNumberFormat="1" applyFont="1" applyFill="1" applyBorder="1"/>
    <xf numFmtId="0" fontId="240" fillId="114" borderId="108" xfId="40" applyNumberFormat="1" applyFont="1" applyFill="1" applyBorder="1" applyAlignment="1">
      <alignment horizontal="right" vertical="center" wrapText="1"/>
    </xf>
    <xf numFmtId="0" fontId="240" fillId="114" borderId="109" xfId="40" applyNumberFormat="1" applyFont="1" applyFill="1" applyBorder="1" applyAlignment="1">
      <alignment horizontal="right" vertical="center" wrapText="1"/>
    </xf>
    <xf numFmtId="0" fontId="241" fillId="114" borderId="108" xfId="40" applyNumberFormat="1" applyFont="1" applyFill="1" applyBorder="1" applyAlignment="1">
      <alignment horizontal="center" vertical="center" wrapText="1"/>
    </xf>
    <xf numFmtId="0" fontId="241" fillId="114" borderId="109" xfId="40" applyNumberFormat="1" applyFont="1" applyFill="1" applyBorder="1" applyAlignment="1">
      <alignment horizontal="center" vertical="center" wrapText="1"/>
    </xf>
    <xf numFmtId="0" fontId="241" fillId="154" borderId="108" xfId="40" applyNumberFormat="1" applyFont="1" applyFill="1" applyBorder="1" applyAlignment="1">
      <alignment horizontal="center" vertical="center" wrapText="1"/>
    </xf>
    <xf numFmtId="0" fontId="241" fillId="154" borderId="109" xfId="40" applyNumberFormat="1" applyFont="1" applyFill="1" applyBorder="1" applyAlignment="1">
      <alignment horizontal="center" vertical="center" wrapText="1"/>
    </xf>
    <xf numFmtId="0" fontId="241" fillId="126" borderId="108" xfId="40" applyNumberFormat="1" applyFont="1" applyFill="1" applyBorder="1" applyAlignment="1">
      <alignment horizontal="center" vertical="center" wrapText="1"/>
    </xf>
    <xf numFmtId="0" fontId="241" fillId="126" borderId="109" xfId="40" applyNumberFormat="1" applyFont="1" applyFill="1" applyBorder="1" applyAlignment="1">
      <alignment horizontal="center" vertical="center" wrapText="1"/>
    </xf>
    <xf numFmtId="0" fontId="241" fillId="115" borderId="108" xfId="40" applyNumberFormat="1" applyFont="1" applyFill="1" applyBorder="1" applyAlignment="1">
      <alignment horizontal="center" vertical="center" wrapText="1"/>
    </xf>
    <xf numFmtId="0" fontId="241" fillId="115" borderId="150" xfId="40" applyNumberFormat="1" applyFont="1" applyFill="1" applyBorder="1" applyAlignment="1">
      <alignment vertical="center" wrapText="1"/>
    </xf>
    <xf numFmtId="0" fontId="241" fillId="125" borderId="156" xfId="40" applyNumberFormat="1" applyFont="1" applyFill="1" applyBorder="1" applyAlignment="1">
      <alignment horizontal="center" vertical="center" wrapText="1"/>
    </xf>
    <xf numFmtId="0" fontId="240" fillId="114" borderId="110" xfId="40" applyNumberFormat="1" applyFont="1" applyFill="1" applyBorder="1" applyAlignment="1">
      <alignment horizontal="right" vertical="center" wrapText="1"/>
    </xf>
    <xf numFmtId="0" fontId="240" fillId="114" borderId="111" xfId="40" applyNumberFormat="1" applyFont="1" applyFill="1" applyBorder="1" applyAlignment="1">
      <alignment horizontal="right" vertical="center" wrapText="1"/>
    </xf>
    <xf numFmtId="0" fontId="241" fillId="114" borderId="110" xfId="40" applyNumberFormat="1" applyFont="1" applyFill="1" applyBorder="1" applyAlignment="1">
      <alignment horizontal="center" vertical="center" wrapText="1"/>
    </xf>
    <xf numFmtId="0" fontId="241" fillId="114" borderId="155" xfId="40" applyNumberFormat="1" applyFont="1" applyFill="1" applyBorder="1" applyAlignment="1">
      <alignment horizontal="center" vertical="center" wrapText="1"/>
    </xf>
    <xf numFmtId="0" fontId="241" fillId="154" borderId="138" xfId="40" applyNumberFormat="1" applyFont="1" applyFill="1" applyBorder="1" applyAlignment="1">
      <alignment horizontal="center" vertical="center" wrapText="1"/>
    </xf>
    <xf numFmtId="0" fontId="241" fillId="154" borderId="155" xfId="40" applyNumberFormat="1" applyFont="1" applyFill="1" applyBorder="1" applyAlignment="1">
      <alignment horizontal="center" vertical="center" wrapText="1"/>
    </xf>
    <xf numFmtId="0" fontId="241" fillId="152" borderId="138" xfId="40" applyNumberFormat="1" applyFont="1" applyFill="1" applyBorder="1" applyAlignment="1">
      <alignment horizontal="center" vertical="center" wrapText="1"/>
    </xf>
    <xf numFmtId="0" fontId="241" fillId="152" borderId="155" xfId="40" applyNumberFormat="1" applyFont="1" applyFill="1" applyBorder="1" applyAlignment="1">
      <alignment horizontal="center" vertical="center" wrapText="1"/>
    </xf>
    <xf numFmtId="0" fontId="241" fillId="115" borderId="110" xfId="40" applyNumberFormat="1" applyFont="1" applyFill="1" applyBorder="1" applyAlignment="1">
      <alignment horizontal="center" vertical="center" wrapText="1"/>
    </xf>
    <xf numFmtId="0" fontId="240" fillId="109" borderId="118" xfId="40" applyNumberFormat="1" applyFont="1" applyFill="1" applyBorder="1"/>
    <xf numFmtId="0" fontId="241" fillId="116" borderId="118" xfId="40" applyNumberFormat="1" applyFont="1" applyFill="1" applyBorder="1" applyAlignment="1">
      <alignment horizontal="center" vertical="center" wrapText="1"/>
    </xf>
    <xf numFmtId="0" fontId="241" fillId="122" borderId="118" xfId="40" applyNumberFormat="1" applyFont="1" applyFill="1" applyBorder="1" applyAlignment="1">
      <alignment horizontal="center" vertical="center" wrapText="1"/>
    </xf>
    <xf numFmtId="0" fontId="241" fillId="117" borderId="118" xfId="40" applyNumberFormat="1" applyFont="1" applyFill="1" applyBorder="1" applyAlignment="1">
      <alignment horizontal="center" vertical="center" wrapText="1"/>
    </xf>
    <xf numFmtId="0" fontId="241" fillId="119" borderId="118" xfId="40" applyNumberFormat="1" applyFont="1" applyFill="1" applyBorder="1" applyAlignment="1">
      <alignment horizontal="center" vertical="center" wrapText="1"/>
    </xf>
    <xf numFmtId="0" fontId="241" fillId="118" borderId="118" xfId="40" applyNumberFormat="1" applyFont="1" applyFill="1" applyBorder="1" applyAlignment="1">
      <alignment horizontal="center" vertical="center" wrapText="1"/>
    </xf>
    <xf numFmtId="0" fontId="241" fillId="120" borderId="118" xfId="40" applyNumberFormat="1" applyFont="1" applyFill="1" applyBorder="1" applyAlignment="1">
      <alignment horizontal="center" vertical="center" wrapText="1"/>
    </xf>
    <xf numFmtId="0" fontId="241" fillId="121" borderId="118" xfId="40" applyNumberFormat="1" applyFont="1" applyFill="1" applyBorder="1" applyAlignment="1">
      <alignment horizontal="center" vertical="center" wrapText="1"/>
    </xf>
    <xf numFmtId="0" fontId="240" fillId="113" borderId="118" xfId="40" applyNumberFormat="1" applyFont="1" applyFill="1" applyBorder="1"/>
    <xf numFmtId="0" fontId="241" fillId="125" borderId="118" xfId="40" applyNumberFormat="1" applyFont="1" applyFill="1" applyBorder="1" applyAlignment="1">
      <alignment horizontal="center" vertical="center" wrapText="1"/>
    </xf>
    <xf numFmtId="0" fontId="241" fillId="114" borderId="107" xfId="40" applyNumberFormat="1" applyFont="1" applyFill="1" applyBorder="1" applyAlignment="1">
      <alignment horizontal="left" vertical="center" wrapText="1"/>
    </xf>
    <xf numFmtId="0" fontId="241" fillId="114" borderId="128" xfId="40" applyNumberFormat="1" applyFont="1" applyFill="1" applyBorder="1" applyAlignment="1">
      <alignment horizontal="left" vertical="center" wrapText="1"/>
    </xf>
    <xf numFmtId="0" fontId="241" fillId="114" borderId="112" xfId="40" applyNumberFormat="1" applyFont="1" applyFill="1" applyBorder="1" applyAlignment="1">
      <alignment horizontal="left" vertical="center" wrapText="1"/>
    </xf>
    <xf numFmtId="0" fontId="240" fillId="113" borderId="130" xfId="40" applyNumberFormat="1" applyFont="1" applyFill="1" applyBorder="1" applyAlignment="1">
      <alignment horizontal="center" vertical="center" wrapText="1"/>
    </xf>
    <xf numFmtId="0" fontId="241" fillId="109" borderId="156" xfId="40" applyNumberFormat="1" applyFont="1" applyFill="1" applyBorder="1" applyAlignment="1">
      <alignment vertical="center" wrapText="1"/>
    </xf>
    <xf numFmtId="0" fontId="240" fillId="123" borderId="115" xfId="40" applyNumberFormat="1" applyFont="1" applyFill="1" applyBorder="1" applyAlignment="1">
      <alignment horizontal="left" vertical="center" wrapText="1"/>
    </xf>
    <xf numFmtId="0" fontId="240" fillId="114" borderId="115" xfId="40" applyNumberFormat="1" applyFont="1" applyFill="1" applyBorder="1" applyAlignment="1">
      <alignment horizontal="center" vertical="center" wrapText="1"/>
    </xf>
    <xf numFmtId="0" fontId="240" fillId="154" borderId="115" xfId="40" applyNumberFormat="1" applyFont="1" applyFill="1" applyBorder="1" applyAlignment="1">
      <alignment horizontal="center" vertical="center" wrapText="1"/>
    </xf>
    <xf numFmtId="0" fontId="240" fillId="160" borderId="115" xfId="40" applyNumberFormat="1" applyFont="1" applyFill="1" applyBorder="1" applyAlignment="1">
      <alignment horizontal="left" vertical="center" wrapText="1"/>
    </xf>
    <xf numFmtId="0" fontId="240" fillId="126" borderId="115" xfId="40" applyNumberFormat="1" applyFont="1" applyFill="1" applyBorder="1" applyAlignment="1">
      <alignment horizontal="center" vertical="center" wrapText="1"/>
    </xf>
    <xf numFmtId="0" fontId="240" fillId="126" borderId="115" xfId="40" applyNumberFormat="1" applyFont="1" applyFill="1" applyBorder="1" applyAlignment="1">
      <alignment vertical="center" wrapText="1"/>
    </xf>
    <xf numFmtId="0" fontId="240" fillId="113" borderId="115" xfId="40" applyNumberFormat="1" applyFont="1" applyFill="1" applyBorder="1" applyAlignment="1">
      <alignment horizontal="center" vertical="center" wrapText="1"/>
    </xf>
    <xf numFmtId="0" fontId="240" fillId="109" borderId="115" xfId="40" applyNumberFormat="1" applyFont="1" applyFill="1" applyBorder="1"/>
    <xf numFmtId="0" fontId="240" fillId="109" borderId="115" xfId="40" applyNumberFormat="1" applyFont="1" applyFill="1" applyBorder="1" applyAlignment="1">
      <alignment wrapText="1"/>
    </xf>
    <xf numFmtId="0" fontId="240" fillId="113" borderId="115" xfId="40" applyNumberFormat="1" applyFont="1" applyFill="1" applyBorder="1"/>
    <xf numFmtId="0" fontId="240" fillId="125" borderId="115" xfId="40" applyNumberFormat="1" applyFont="1" applyFill="1" applyBorder="1" applyAlignment="1">
      <alignment vertical="center" wrapText="1"/>
    </xf>
    <xf numFmtId="0" fontId="240" fillId="113" borderId="114" xfId="40" applyNumberFormat="1" applyFont="1" applyFill="1" applyBorder="1" applyAlignment="1">
      <alignment horizontal="center" vertical="center" wrapText="1"/>
    </xf>
    <xf numFmtId="0" fontId="241" fillId="109" borderId="127" xfId="40" applyNumberFormat="1" applyFont="1" applyFill="1" applyBorder="1" applyAlignment="1">
      <alignment vertical="center" wrapText="1"/>
    </xf>
    <xf numFmtId="0" fontId="240" fillId="150" borderId="115" xfId="40" applyNumberFormat="1" applyFont="1" applyFill="1" applyBorder="1"/>
    <xf numFmtId="0" fontId="240" fillId="150" borderId="115" xfId="40" applyNumberFormat="1" applyFont="1" applyFill="1" applyBorder="1" applyAlignment="1">
      <alignment wrapText="1"/>
    </xf>
    <xf numFmtId="0" fontId="241" fillId="113" borderId="127" xfId="40" applyNumberFormat="1" applyFont="1" applyFill="1" applyBorder="1" applyAlignment="1">
      <alignment vertical="center" wrapText="1"/>
    </xf>
    <xf numFmtId="0" fontId="240" fillId="131" borderId="115" xfId="40" applyNumberFormat="1" applyFont="1" applyFill="1" applyBorder="1"/>
    <xf numFmtId="0" fontId="240" fillId="131" borderId="115" xfId="40" applyNumberFormat="1" applyFont="1" applyFill="1" applyBorder="1" applyAlignment="1">
      <alignment wrapText="1"/>
    </xf>
    <xf numFmtId="0" fontId="240" fillId="125" borderId="115" xfId="40" applyNumberFormat="1" applyFont="1" applyFill="1" applyBorder="1" applyAlignment="1">
      <alignment horizontal="left" vertical="center" wrapText="1"/>
    </xf>
    <xf numFmtId="0" fontId="240" fillId="113" borderId="119" xfId="40" applyNumberFormat="1" applyFont="1" applyFill="1" applyBorder="1" applyAlignment="1">
      <alignment horizontal="center" vertical="center" wrapText="1"/>
    </xf>
    <xf numFmtId="0" fontId="241" fillId="109" borderId="144" xfId="40" applyNumberFormat="1" applyFont="1" applyFill="1" applyBorder="1" applyAlignment="1">
      <alignment vertical="center" wrapText="1"/>
    </xf>
    <xf numFmtId="0" fontId="242" fillId="113" borderId="130" xfId="40" applyNumberFormat="1" applyFont="1" applyFill="1" applyBorder="1" applyAlignment="1">
      <alignment horizontal="center" vertical="center" wrapText="1"/>
    </xf>
    <xf numFmtId="0" fontId="242" fillId="109" borderId="156" xfId="40" applyNumberFormat="1" applyFont="1" applyFill="1" applyBorder="1" applyAlignment="1">
      <alignment vertical="center" wrapText="1"/>
    </xf>
    <xf numFmtId="0" fontId="242" fillId="123" borderId="115" xfId="40" applyNumberFormat="1" applyFont="1" applyFill="1" applyBorder="1" applyAlignment="1">
      <alignment horizontal="left" vertical="center" wrapText="1"/>
    </xf>
    <xf numFmtId="0" fontId="242" fillId="114" borderId="115" xfId="40" applyNumberFormat="1" applyFont="1" applyFill="1" applyBorder="1" applyAlignment="1">
      <alignment horizontal="center" vertical="center" wrapText="1"/>
    </xf>
    <xf numFmtId="0" fontId="242" fillId="154" borderId="115" xfId="40" applyNumberFormat="1" applyFont="1" applyFill="1" applyBorder="1" applyAlignment="1">
      <alignment horizontal="center" vertical="center" wrapText="1"/>
    </xf>
    <xf numFmtId="0" fontId="242" fillId="160"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center" vertical="center" wrapText="1"/>
    </xf>
    <xf numFmtId="0" fontId="242" fillId="126" borderId="115" xfId="40" applyNumberFormat="1" applyFont="1" applyFill="1" applyBorder="1" applyAlignment="1">
      <alignment vertical="center" wrapText="1"/>
    </xf>
    <xf numFmtId="0" fontId="242" fillId="113" borderId="115" xfId="40" applyNumberFormat="1" applyFont="1" applyFill="1" applyBorder="1" applyAlignment="1">
      <alignment horizontal="center" vertical="center" wrapText="1"/>
    </xf>
    <xf numFmtId="0" fontId="242" fillId="109" borderId="115" xfId="40" applyNumberFormat="1" applyFont="1" applyFill="1" applyBorder="1"/>
    <xf numFmtId="0" fontId="242" fillId="109" borderId="115" xfId="40" applyNumberFormat="1" applyFont="1" applyFill="1" applyBorder="1" applyAlignment="1">
      <alignment wrapText="1"/>
    </xf>
    <xf numFmtId="0" fontId="242" fillId="113" borderId="115" xfId="40" applyNumberFormat="1" applyFont="1" applyFill="1" applyBorder="1"/>
    <xf numFmtId="0" fontId="242" fillId="125" borderId="115" xfId="40" applyNumberFormat="1" applyFont="1" applyFill="1" applyBorder="1" applyAlignment="1">
      <alignment vertical="center" wrapText="1"/>
    </xf>
    <xf numFmtId="0" fontId="242" fillId="113" borderId="114" xfId="40" applyNumberFormat="1" applyFont="1" applyFill="1" applyBorder="1" applyAlignment="1">
      <alignment horizontal="center" vertical="center" wrapText="1"/>
    </xf>
    <xf numFmtId="0" fontId="242" fillId="109" borderId="127" xfId="40" applyNumberFormat="1" applyFont="1" applyFill="1" applyBorder="1" applyAlignment="1">
      <alignment vertical="center" wrapText="1"/>
    </xf>
    <xf numFmtId="0" fontId="242" fillId="150" borderId="115" xfId="40" applyNumberFormat="1" applyFont="1" applyFill="1" applyBorder="1"/>
    <xf numFmtId="0" fontId="242" fillId="150" borderId="115" xfId="40" applyNumberFormat="1" applyFont="1" applyFill="1" applyBorder="1" applyAlignment="1">
      <alignment wrapText="1"/>
    </xf>
    <xf numFmtId="0" fontId="242" fillId="113" borderId="127" xfId="40" applyNumberFormat="1" applyFont="1" applyFill="1" applyBorder="1" applyAlignment="1">
      <alignment vertical="center" wrapText="1"/>
    </xf>
    <xf numFmtId="0" fontId="242" fillId="131" borderId="115" xfId="40" applyNumberFormat="1" applyFont="1" applyFill="1" applyBorder="1"/>
    <xf numFmtId="0" fontId="242" fillId="131" borderId="115" xfId="40" applyNumberFormat="1" applyFont="1" applyFill="1" applyBorder="1" applyAlignment="1">
      <alignment wrapText="1"/>
    </xf>
    <xf numFmtId="0" fontId="242" fillId="125" borderId="115" xfId="40" applyNumberFormat="1" applyFont="1" applyFill="1" applyBorder="1" applyAlignment="1">
      <alignment horizontal="left" vertical="center" wrapText="1"/>
    </xf>
    <xf numFmtId="0" fontId="242" fillId="113" borderId="119" xfId="40" applyNumberFormat="1" applyFont="1" applyFill="1" applyBorder="1" applyAlignment="1">
      <alignment horizontal="center" vertical="center" wrapText="1"/>
    </xf>
    <xf numFmtId="0" fontId="242" fillId="109" borderId="144" xfId="40" applyNumberFormat="1" applyFont="1" applyFill="1" applyBorder="1" applyAlignment="1">
      <alignment vertical="center" wrapText="1"/>
    </xf>
    <xf numFmtId="0" fontId="146" fillId="218" borderId="107" xfId="40" applyNumberFormat="1" applyFont="1" applyFill="1" applyBorder="1" applyAlignment="1">
      <alignment horizontal="left" vertical="center" wrapText="1"/>
    </xf>
    <xf numFmtId="0" fontId="146" fillId="218" borderId="128" xfId="40" applyNumberFormat="1" applyFont="1" applyFill="1" applyBorder="1" applyAlignment="1">
      <alignment horizontal="left" vertical="center" wrapText="1"/>
    </xf>
    <xf numFmtId="0" fontId="146" fillId="218" borderId="113" xfId="40" applyNumberFormat="1" applyFont="1" applyFill="1" applyBorder="1" applyAlignment="1">
      <alignment horizontal="left" vertical="center" wrapText="1"/>
    </xf>
    <xf numFmtId="0" fontId="125" fillId="218" borderId="106" xfId="40" applyNumberFormat="1" applyFont="1" applyFill="1" applyBorder="1" applyAlignment="1">
      <alignment horizontal="justify"/>
    </xf>
    <xf numFmtId="0" fontId="122" fillId="218" borderId="152" xfId="40" applyNumberFormat="1" applyFont="1" applyFill="1" applyBorder="1" applyAlignment="1">
      <alignment horizontal="center" vertical="center" wrapText="1"/>
    </xf>
    <xf numFmtId="0" fontId="122" fillId="218" borderId="106" xfId="40" applyNumberFormat="1" applyFont="1" applyFill="1" applyBorder="1" applyAlignment="1">
      <alignment horizontal="center" vertical="center" wrapText="1"/>
    </xf>
    <xf numFmtId="0" fontId="243" fillId="218" borderId="107" xfId="40" applyNumberFormat="1" applyFont="1" applyFill="1" applyBorder="1" applyAlignment="1">
      <alignment horizontal="left" vertical="center" wrapText="1"/>
    </xf>
    <xf numFmtId="0" fontId="243" fillId="218" borderId="128" xfId="40" applyNumberFormat="1" applyFont="1" applyFill="1" applyBorder="1" applyAlignment="1">
      <alignment horizontal="left" vertical="center" wrapText="1"/>
    </xf>
    <xf numFmtId="0" fontId="243" fillId="218" borderId="113" xfId="40" applyNumberFormat="1" applyFont="1" applyFill="1" applyBorder="1" applyAlignment="1">
      <alignment horizontal="left" vertical="center" wrapText="1"/>
    </xf>
    <xf numFmtId="0" fontId="243" fillId="218" borderId="106" xfId="40" applyNumberFormat="1" applyFont="1" applyFill="1" applyBorder="1" applyAlignment="1">
      <alignment horizontal="justify"/>
    </xf>
    <xf numFmtId="0" fontId="243" fillId="218" borderId="152" xfId="40" applyNumberFormat="1" applyFont="1" applyFill="1" applyBorder="1" applyAlignment="1">
      <alignment horizontal="center" vertical="center" wrapText="1"/>
    </xf>
    <xf numFmtId="0" fontId="243" fillId="218" borderId="106" xfId="40" applyNumberFormat="1" applyFont="1" applyFill="1" applyBorder="1" applyAlignment="1">
      <alignment horizontal="center" vertical="center" wrapText="1"/>
    </xf>
    <xf numFmtId="0" fontId="243" fillId="218" borderId="106" xfId="40" applyNumberFormat="1" applyFont="1" applyFill="1" applyBorder="1" applyAlignment="1">
      <alignment horizontal="justify" wrapText="1"/>
    </xf>
    <xf numFmtId="0" fontId="243" fillId="218" borderId="106" xfId="40" applyNumberFormat="1" applyFont="1" applyFill="1" applyBorder="1" applyAlignment="1">
      <alignment horizontal="justify" vertical="center" wrapText="1"/>
    </xf>
    <xf numFmtId="0" fontId="240" fillId="219" borderId="108" xfId="40" applyNumberFormat="1" applyFont="1" applyFill="1" applyBorder="1" applyAlignment="1">
      <alignment horizontal="right" vertical="center" wrapText="1"/>
    </xf>
    <xf numFmtId="0" fontId="240" fillId="219" borderId="109" xfId="40" applyNumberFormat="1" applyFont="1" applyFill="1" applyBorder="1" applyAlignment="1">
      <alignment horizontal="right" vertical="center" wrapText="1"/>
    </xf>
    <xf numFmtId="0" fontId="240" fillId="219" borderId="110" xfId="40" applyNumberFormat="1" applyFont="1" applyFill="1" applyBorder="1" applyAlignment="1">
      <alignment horizontal="right" vertical="center" wrapText="1"/>
    </xf>
    <xf numFmtId="0" fontId="240"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right" vertical="center" wrapText="1"/>
    </xf>
    <xf numFmtId="0" fontId="244" fillId="219" borderId="109" xfId="40" applyNumberFormat="1" applyFont="1" applyFill="1" applyBorder="1" applyAlignment="1">
      <alignment horizontal="right" vertical="center" wrapText="1"/>
    </xf>
    <xf numFmtId="0" fontId="244" fillId="219" borderId="110" xfId="40" applyNumberFormat="1" applyFont="1" applyFill="1" applyBorder="1" applyAlignment="1">
      <alignment horizontal="right" vertical="center" wrapText="1"/>
    </xf>
    <xf numFmtId="0" fontId="244"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center" vertical="center" wrapText="1"/>
    </xf>
    <xf numFmtId="0" fontId="244" fillId="219" borderId="109" xfId="40" applyNumberFormat="1" applyFont="1" applyFill="1" applyBorder="1" applyAlignment="1">
      <alignment horizontal="center" vertical="center" wrapText="1"/>
    </xf>
    <xf numFmtId="0" fontId="244" fillId="219" borderId="110" xfId="40" applyNumberFormat="1" applyFont="1" applyFill="1" applyBorder="1" applyAlignment="1">
      <alignment horizontal="center" vertical="center" wrapText="1"/>
    </xf>
    <xf numFmtId="0" fontId="244" fillId="219" borderId="111" xfId="40" applyNumberFormat="1" applyFont="1" applyFill="1" applyBorder="1" applyAlignment="1">
      <alignment horizontal="center" vertical="center" wrapText="1"/>
    </xf>
    <xf numFmtId="0" fontId="241" fillId="218" borderId="108" xfId="40" applyNumberFormat="1" applyFont="1" applyFill="1" applyBorder="1" applyAlignment="1">
      <alignment horizontal="center" vertical="center" wrapText="1"/>
    </xf>
    <xf numFmtId="0" fontId="241" fillId="218" borderId="109" xfId="40" applyNumberFormat="1" applyFont="1" applyFill="1" applyBorder="1" applyAlignment="1">
      <alignment horizontal="center" vertical="center" wrapText="1"/>
    </xf>
    <xf numFmtId="0" fontId="241" fillId="218" borderId="110" xfId="40" applyNumberFormat="1" applyFont="1" applyFill="1" applyBorder="1" applyAlignment="1">
      <alignment horizontal="center" vertical="center" wrapText="1"/>
    </xf>
    <xf numFmtId="0" fontId="241" fillId="218" borderId="155" xfId="40" applyNumberFormat="1" applyFont="1" applyFill="1" applyBorder="1" applyAlignment="1">
      <alignment horizontal="center" vertical="center" wrapText="1"/>
    </xf>
    <xf numFmtId="0" fontId="241" fillId="220" borderId="108" xfId="40" applyNumberFormat="1" applyFont="1" applyFill="1" applyBorder="1" applyAlignment="1">
      <alignment horizontal="center" vertical="center" wrapText="1"/>
    </xf>
    <xf numFmtId="0" fontId="241" fillId="220" borderId="109" xfId="40" applyNumberFormat="1" applyFont="1" applyFill="1" applyBorder="1" applyAlignment="1">
      <alignment horizontal="center" vertical="center" wrapText="1"/>
    </xf>
    <xf numFmtId="0" fontId="241" fillId="220" borderId="138" xfId="40" applyNumberFormat="1" applyFont="1" applyFill="1" applyBorder="1" applyAlignment="1">
      <alignment horizontal="center" vertical="center" wrapText="1"/>
    </xf>
    <xf numFmtId="0" fontId="241" fillId="220" borderId="155" xfId="40" applyNumberFormat="1" applyFont="1" applyFill="1" applyBorder="1" applyAlignment="1">
      <alignment horizontal="center" vertical="center" wrapText="1"/>
    </xf>
    <xf numFmtId="0" fontId="241" fillId="221" borderId="108" xfId="40" applyNumberFormat="1" applyFont="1" applyFill="1" applyBorder="1" applyAlignment="1">
      <alignment horizontal="center" vertical="center" wrapText="1"/>
    </xf>
    <xf numFmtId="0" fontId="241" fillId="221" borderId="109" xfId="40" applyNumberFormat="1" applyFont="1" applyFill="1" applyBorder="1" applyAlignment="1">
      <alignment horizontal="center" vertical="center" wrapText="1"/>
    </xf>
    <xf numFmtId="0" fontId="241" fillId="221" borderId="138" xfId="40" applyNumberFormat="1" applyFont="1" applyFill="1" applyBorder="1" applyAlignment="1">
      <alignment horizontal="center" vertical="center" wrapText="1"/>
    </xf>
    <xf numFmtId="0" fontId="241" fillId="221" borderId="155" xfId="40" applyNumberFormat="1" applyFont="1" applyFill="1" applyBorder="1" applyAlignment="1">
      <alignment horizontal="center" vertical="center" wrapText="1"/>
    </xf>
    <xf numFmtId="0" fontId="241" fillId="222" borderId="108" xfId="40" applyNumberFormat="1" applyFont="1" applyFill="1" applyBorder="1" applyAlignment="1">
      <alignment horizontal="center" vertical="center" wrapText="1"/>
    </xf>
    <xf numFmtId="0" fontId="241" fillId="222" borderId="110" xfId="40" applyNumberFormat="1" applyFont="1" applyFill="1" applyBorder="1" applyAlignment="1">
      <alignment horizontal="center" vertical="center" wrapText="1"/>
    </xf>
    <xf numFmtId="0" fontId="241" fillId="218" borderId="156" xfId="40" applyNumberFormat="1" applyFont="1" applyFill="1" applyBorder="1" applyAlignment="1">
      <alignment horizontal="center" vertical="center" wrapText="1"/>
    </xf>
    <xf numFmtId="0" fontId="136" fillId="218" borderId="137" xfId="40" applyNumberFormat="1" applyFont="1" applyFill="1" applyBorder="1" applyAlignment="1">
      <alignment horizontal="center" vertical="center" wrapText="1"/>
    </xf>
    <xf numFmtId="0" fontId="241" fillId="218" borderId="118" xfId="40" applyNumberFormat="1" applyFont="1" applyFill="1" applyBorder="1" applyAlignment="1">
      <alignment horizontal="center" vertical="center" wrapText="1"/>
    </xf>
    <xf numFmtId="0" fontId="136" fillId="218" borderId="145" xfId="40" applyNumberFormat="1" applyFont="1" applyFill="1" applyBorder="1" applyAlignment="1">
      <alignment horizontal="center" vertical="center" wrapText="1"/>
    </xf>
    <xf numFmtId="0" fontId="136" fillId="218" borderId="115" xfId="40" applyNumberFormat="1" applyFont="1" applyFill="1" applyBorder="1" applyAlignment="1">
      <alignment horizontal="center" vertical="center" wrapText="1"/>
    </xf>
    <xf numFmtId="0" fontId="241" fillId="109" borderId="118" xfId="40" applyNumberFormat="1" applyFont="1" applyFill="1" applyBorder="1"/>
    <xf numFmtId="0" fontId="241" fillId="113" borderId="118" xfId="40" applyNumberFormat="1" applyFont="1" applyFill="1" applyBorder="1"/>
    <xf numFmtId="0" fontId="241" fillId="109" borderId="118" xfId="40" applyNumberFormat="1" applyFont="1" applyFill="1" applyBorder="1" applyAlignment="1">
      <alignment wrapText="1"/>
    </xf>
    <xf numFmtId="0" fontId="241" fillId="113" borderId="118" xfId="40" applyNumberFormat="1" applyFont="1" applyFill="1" applyBorder="1" applyAlignment="1">
      <alignment wrapText="1"/>
    </xf>
    <xf numFmtId="0" fontId="241" fillId="109" borderId="118" xfId="40" applyNumberFormat="1" applyFont="1" applyFill="1" applyBorder="1" applyAlignment="1">
      <alignment vertical="center" wrapText="1"/>
    </xf>
    <xf numFmtId="0" fontId="241" fillId="113" borderId="118" xfId="40" applyNumberFormat="1" applyFont="1" applyFill="1" applyBorder="1" applyAlignment="1">
      <alignment vertical="center" wrapText="1"/>
    </xf>
    <xf numFmtId="0" fontId="241" fillId="223" borderId="107" xfId="40" applyNumberFormat="1" applyFont="1" applyFill="1" applyBorder="1" applyAlignment="1">
      <alignment horizontal="left" vertical="center" wrapText="1"/>
    </xf>
    <xf numFmtId="0" fontId="241" fillId="223" borderId="128" xfId="40" applyNumberFormat="1" applyFont="1" applyFill="1" applyBorder="1" applyAlignment="1">
      <alignment horizontal="left" vertical="center" wrapText="1"/>
    </xf>
    <xf numFmtId="0" fontId="241" fillId="223" borderId="112" xfId="40" applyNumberFormat="1" applyFont="1" applyFill="1" applyBorder="1" applyAlignment="1">
      <alignment horizontal="left" vertical="center" wrapText="1"/>
    </xf>
    <xf numFmtId="0" fontId="136" fillId="223" borderId="128" xfId="40" applyNumberFormat="1" applyFont="1" applyFill="1" applyBorder="1" applyAlignment="1">
      <alignment horizontal="left" vertical="center" wrapText="1"/>
    </xf>
    <xf numFmtId="0" fontId="245" fillId="223" borderId="107" xfId="40" applyNumberFormat="1" applyFont="1" applyFill="1" applyBorder="1" applyAlignment="1">
      <alignment horizontal="left" vertical="center" wrapText="1"/>
    </xf>
    <xf numFmtId="0" fontId="245" fillId="223" borderId="128" xfId="40" applyNumberFormat="1" applyFont="1" applyFill="1" applyBorder="1" applyAlignment="1">
      <alignment horizontal="left" vertical="center" wrapText="1"/>
    </xf>
    <xf numFmtId="0" fontId="245" fillId="223" borderId="112" xfId="40" applyNumberFormat="1" applyFont="1" applyFill="1" applyBorder="1" applyAlignment="1">
      <alignment horizontal="left" vertical="center" wrapText="1"/>
    </xf>
    <xf numFmtId="0" fontId="242" fillId="113" borderId="130" xfId="40" applyNumberFormat="1" applyFont="1" applyFill="1" applyBorder="1" applyAlignment="1">
      <alignment horizontal="center" vertical="top" wrapText="1"/>
    </xf>
    <xf numFmtId="0" fontId="242" fillId="109" borderId="156" xfId="40" applyNumberFormat="1" applyFont="1" applyFill="1" applyBorder="1" applyAlignment="1">
      <alignment vertical="top" wrapText="1"/>
    </xf>
    <xf numFmtId="0" fontId="242" fillId="123" borderId="115" xfId="40" applyNumberFormat="1" applyFont="1" applyFill="1" applyBorder="1" applyAlignment="1">
      <alignment horizontal="left" vertical="top" wrapText="1"/>
    </xf>
    <xf numFmtId="0" fontId="242" fillId="114" borderId="115" xfId="40" applyNumberFormat="1" applyFont="1" applyFill="1" applyBorder="1" applyAlignment="1">
      <alignment horizontal="center" vertical="top" wrapText="1"/>
    </xf>
    <xf numFmtId="0" fontId="242" fillId="154" borderId="115" xfId="40" applyNumberFormat="1" applyFont="1" applyFill="1" applyBorder="1" applyAlignment="1">
      <alignment horizontal="center" vertical="top" wrapText="1"/>
    </xf>
    <xf numFmtId="0" fontId="242" fillId="160" borderId="115" xfId="40" applyNumberFormat="1" applyFont="1" applyFill="1" applyBorder="1" applyAlignment="1">
      <alignment horizontal="left" vertical="top" wrapText="1"/>
    </xf>
    <xf numFmtId="0" fontId="242" fillId="126" borderId="115" xfId="40" applyNumberFormat="1" applyFont="1" applyFill="1" applyBorder="1" applyAlignment="1">
      <alignment horizontal="center" vertical="top" wrapText="1"/>
    </xf>
    <xf numFmtId="0" fontId="242" fillId="126" borderId="115" xfId="40" applyNumberFormat="1" applyFont="1" applyFill="1" applyBorder="1" applyAlignment="1">
      <alignment vertical="top" wrapText="1"/>
    </xf>
    <xf numFmtId="0" fontId="242" fillId="113" borderId="115" xfId="40" applyNumberFormat="1" applyFont="1" applyFill="1" applyBorder="1" applyAlignment="1">
      <alignment horizontal="center" vertical="top" wrapText="1"/>
    </xf>
    <xf numFmtId="0" fontId="242" fillId="109" borderId="115" xfId="40" applyNumberFormat="1" applyFont="1" applyFill="1" applyBorder="1" applyAlignment="1">
      <alignment vertical="top"/>
    </xf>
    <xf numFmtId="0" fontId="242" fillId="109" borderId="115" xfId="40" applyNumberFormat="1" applyFont="1" applyFill="1" applyBorder="1" applyAlignment="1">
      <alignment vertical="top" wrapText="1"/>
    </xf>
    <xf numFmtId="0" fontId="242" fillId="113" borderId="115" xfId="40" applyNumberFormat="1" applyFont="1" applyFill="1" applyBorder="1" applyAlignment="1">
      <alignment vertical="top"/>
    </xf>
    <xf numFmtId="0" fontId="242" fillId="125" borderId="115" xfId="40" applyNumberFormat="1" applyFont="1" applyFill="1" applyBorder="1" applyAlignment="1">
      <alignment vertical="top" wrapText="1"/>
    </xf>
    <xf numFmtId="0" fontId="242" fillId="113" borderId="114" xfId="40" applyNumberFormat="1" applyFont="1" applyFill="1" applyBorder="1" applyAlignment="1">
      <alignment horizontal="center" vertical="top" wrapText="1"/>
    </xf>
    <xf numFmtId="0" fontId="242" fillId="109" borderId="127" xfId="40" applyNumberFormat="1" applyFont="1" applyFill="1" applyBorder="1" applyAlignment="1">
      <alignment vertical="top" wrapText="1"/>
    </xf>
    <xf numFmtId="0" fontId="242" fillId="150" borderId="115" xfId="40" applyNumberFormat="1" applyFont="1" applyFill="1" applyBorder="1" applyAlignment="1">
      <alignment vertical="top"/>
    </xf>
    <xf numFmtId="0" fontId="242" fillId="150" borderId="115" xfId="40" applyNumberFormat="1" applyFont="1" applyFill="1" applyBorder="1" applyAlignment="1">
      <alignment vertical="top" wrapText="1"/>
    </xf>
    <xf numFmtId="0" fontId="242" fillId="113" borderId="127" xfId="40" applyNumberFormat="1" applyFont="1" applyFill="1" applyBorder="1" applyAlignment="1">
      <alignment vertical="top" wrapText="1"/>
    </xf>
    <xf numFmtId="0" fontId="242" fillId="131" borderId="115" xfId="40" applyNumberFormat="1" applyFont="1" applyFill="1" applyBorder="1" applyAlignment="1">
      <alignment vertical="top"/>
    </xf>
    <xf numFmtId="0" fontId="242" fillId="131" borderId="115" xfId="40" applyNumberFormat="1" applyFont="1" applyFill="1" applyBorder="1" applyAlignment="1">
      <alignment vertical="top" wrapText="1"/>
    </xf>
    <xf numFmtId="0" fontId="242" fillId="125" borderId="115" xfId="40" applyNumberFormat="1" applyFont="1" applyFill="1" applyBorder="1" applyAlignment="1">
      <alignment horizontal="left" vertical="top" wrapText="1"/>
    </xf>
    <xf numFmtId="0" fontId="242" fillId="113" borderId="119" xfId="40" applyNumberFormat="1" applyFont="1" applyFill="1" applyBorder="1" applyAlignment="1">
      <alignment horizontal="center" vertical="top" wrapText="1"/>
    </xf>
    <xf numFmtId="0" fontId="242" fillId="109" borderId="144" xfId="40" applyNumberFormat="1" applyFont="1" applyFill="1" applyBorder="1" applyAlignment="1">
      <alignment vertical="top" wrapText="1"/>
    </xf>
    <xf numFmtId="0" fontId="242" fillId="113" borderId="115" xfId="40" applyNumberFormat="1" applyFont="1" applyFill="1" applyBorder="1" applyAlignment="1">
      <alignment vertical="top" wrapText="1"/>
    </xf>
    <xf numFmtId="0" fontId="241" fillId="109" borderId="156" xfId="40" applyNumberFormat="1" applyFont="1" applyFill="1" applyBorder="1" applyAlignment="1">
      <alignment vertical="top" wrapText="1"/>
    </xf>
    <xf numFmtId="0" fontId="241" fillId="109" borderId="127" xfId="40" applyNumberFormat="1" applyFont="1" applyFill="1" applyBorder="1" applyAlignment="1">
      <alignment vertical="top" wrapText="1"/>
    </xf>
    <xf numFmtId="0" fontId="241" fillId="113" borderId="127" xfId="40" applyNumberFormat="1" applyFont="1" applyFill="1" applyBorder="1" applyAlignment="1">
      <alignment vertical="top" wrapText="1"/>
    </xf>
    <xf numFmtId="0" fontId="241" fillId="109" borderId="144" xfId="40" applyNumberFormat="1" applyFont="1" applyFill="1" applyBorder="1" applyAlignment="1">
      <alignment vertical="top" wrapText="1"/>
    </xf>
    <xf numFmtId="0" fontId="241" fillId="224" borderId="156" xfId="40" applyNumberFormat="1" applyFont="1" applyFill="1" applyBorder="1" applyAlignment="1">
      <alignment vertical="top" wrapText="1"/>
    </xf>
    <xf numFmtId="0" fontId="241" fillId="224" borderId="127" xfId="40" applyNumberFormat="1" applyFont="1" applyFill="1" applyBorder="1" applyAlignment="1">
      <alignment vertical="top" wrapText="1"/>
    </xf>
    <xf numFmtId="0" fontId="241" fillId="224" borderId="144" xfId="40" applyNumberFormat="1" applyFont="1" applyFill="1" applyBorder="1" applyAlignment="1">
      <alignment vertical="top" wrapText="1"/>
    </xf>
    <xf numFmtId="0" fontId="242" fillId="224" borderId="115" xfId="40" applyNumberFormat="1" applyFont="1" applyFill="1" applyBorder="1" applyAlignment="1">
      <alignment horizontal="left" vertical="top" wrapText="1"/>
    </xf>
    <xf numFmtId="0" fontId="242" fillId="224" borderId="115" xfId="40" applyNumberFormat="1" applyFont="1" applyFill="1" applyBorder="1" applyAlignment="1">
      <alignment vertical="top" wrapText="1"/>
    </xf>
    <xf numFmtId="0" fontId="242" fillId="225" borderId="115" xfId="40" applyNumberFormat="1" applyFont="1" applyFill="1" applyBorder="1" applyAlignment="1">
      <alignment horizontal="center" vertical="top" wrapText="1"/>
    </xf>
    <xf numFmtId="0" fontId="241" fillId="225" borderId="115" xfId="40" applyNumberFormat="1" applyFont="1" applyFill="1" applyBorder="1" applyAlignment="1">
      <alignment horizontal="center" vertical="top" wrapText="1"/>
    </xf>
    <xf numFmtId="166" fontId="241" fillId="225" borderId="115" xfId="40" applyNumberFormat="1" applyFont="1" applyFill="1" applyBorder="1" applyAlignment="1">
      <alignment horizontal="center" vertical="top" wrapText="1"/>
    </xf>
    <xf numFmtId="0" fontId="242" fillId="223" borderId="130" xfId="40" applyNumberFormat="1" applyFont="1" applyFill="1" applyBorder="1" applyAlignment="1">
      <alignment horizontal="center" vertical="top" wrapText="1"/>
    </xf>
    <xf numFmtId="0" fontId="242" fillId="223" borderId="114" xfId="40" applyNumberFormat="1" applyFont="1" applyFill="1" applyBorder="1" applyAlignment="1">
      <alignment horizontal="center" vertical="top" wrapText="1"/>
    </xf>
    <xf numFmtId="0" fontId="242" fillId="223" borderId="119" xfId="40" applyNumberFormat="1" applyFont="1" applyFill="1" applyBorder="1" applyAlignment="1">
      <alignment horizontal="center" vertical="top" wrapText="1"/>
    </xf>
    <xf numFmtId="0" fontId="242" fillId="223" borderId="115" xfId="40" applyNumberFormat="1" applyFont="1" applyFill="1" applyBorder="1" applyAlignment="1">
      <alignment horizontal="center" vertical="top" wrapText="1"/>
    </xf>
    <xf numFmtId="0" fontId="241" fillId="125" borderId="115" xfId="40" applyNumberFormat="1" applyFont="1" applyFill="1" applyBorder="1" applyAlignment="1">
      <alignment horizontal="center" vertical="center" wrapText="1"/>
    </xf>
    <xf numFmtId="0" fontId="241" fillId="114" borderId="107" xfId="40" applyNumberFormat="1" applyFont="1" applyFill="1" applyBorder="1" applyAlignment="1">
      <alignment vertical="center" wrapText="1"/>
    </xf>
    <xf numFmtId="0" fontId="241" fillId="114" borderId="128" xfId="40" applyNumberFormat="1" applyFont="1" applyFill="1" applyBorder="1" applyAlignment="1">
      <alignment vertical="center" wrapText="1"/>
    </xf>
    <xf numFmtId="0" fontId="241" fillId="114" borderId="112" xfId="40" applyNumberFormat="1" applyFont="1" applyFill="1" applyBorder="1" applyAlignment="1">
      <alignment vertical="center" wrapText="1"/>
    </xf>
    <xf numFmtId="0" fontId="241" fillId="114" borderId="106" xfId="40" applyNumberFormat="1" applyFont="1" applyFill="1" applyBorder="1" applyAlignment="1">
      <alignment vertical="center" wrapText="1"/>
    </xf>
    <xf numFmtId="0" fontId="240" fillId="126"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left" vertical="center" wrapText="1"/>
    </xf>
    <xf numFmtId="0" fontId="240" fillId="226" borderId="108" xfId="40" applyNumberFormat="1" applyFont="1" applyFill="1" applyBorder="1" applyAlignment="1">
      <alignment horizontal="right" vertical="center" wrapText="1"/>
    </xf>
    <xf numFmtId="0" fontId="240" fillId="226" borderId="109" xfId="40" applyNumberFormat="1" applyFont="1" applyFill="1" applyBorder="1" applyAlignment="1">
      <alignment horizontal="right" vertical="center" wrapText="1"/>
    </xf>
    <xf numFmtId="0" fontId="240" fillId="226" borderId="110" xfId="40" applyNumberFormat="1" applyFont="1" applyFill="1" applyBorder="1" applyAlignment="1">
      <alignment horizontal="right" vertical="center" wrapText="1"/>
    </xf>
    <xf numFmtId="0" fontId="240"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right" vertical="center" wrapText="1"/>
    </xf>
    <xf numFmtId="0" fontId="176" fillId="226" borderId="109" xfId="40" applyNumberFormat="1" applyFont="1" applyFill="1" applyBorder="1" applyAlignment="1">
      <alignment horizontal="right" vertical="center" wrapText="1"/>
    </xf>
    <xf numFmtId="0" fontId="176" fillId="226" borderId="110" xfId="40" applyNumberFormat="1" applyFont="1" applyFill="1" applyBorder="1" applyAlignment="1">
      <alignment horizontal="right" vertical="center" wrapText="1"/>
    </xf>
    <xf numFmtId="0" fontId="176"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center" vertical="center" wrapText="1"/>
    </xf>
    <xf numFmtId="0" fontId="176" fillId="226" borderId="109" xfId="40" applyNumberFormat="1" applyFont="1" applyFill="1" applyBorder="1" applyAlignment="1">
      <alignment horizontal="center" vertical="center" wrapText="1"/>
    </xf>
    <xf numFmtId="0" fontId="176" fillId="226" borderId="110" xfId="40" applyNumberFormat="1" applyFont="1" applyFill="1" applyBorder="1" applyAlignment="1">
      <alignment horizontal="center" vertical="center" wrapText="1"/>
    </xf>
    <xf numFmtId="0" fontId="176" fillId="226" borderId="111" xfId="40" applyNumberFormat="1" applyFont="1" applyFill="1" applyBorder="1" applyAlignment="1">
      <alignment horizontal="center" vertical="center" wrapText="1"/>
    </xf>
    <xf numFmtId="0" fontId="241" fillId="218" borderId="115" xfId="40" applyNumberFormat="1" applyFont="1" applyFill="1" applyBorder="1" applyAlignment="1">
      <alignment horizontal="center" vertical="center" wrapText="1"/>
    </xf>
    <xf numFmtId="0" fontId="241" fillId="223" borderId="107" xfId="40" applyNumberFormat="1" applyFont="1" applyFill="1" applyBorder="1" applyAlignment="1">
      <alignment vertical="center" wrapText="1"/>
    </xf>
    <xf numFmtId="0" fontId="241" fillId="223" borderId="128" xfId="40" applyNumberFormat="1" applyFont="1" applyFill="1" applyBorder="1" applyAlignment="1">
      <alignment vertical="center" wrapText="1"/>
    </xf>
    <xf numFmtId="0" fontId="241" fillId="223" borderId="112" xfId="40" applyNumberFormat="1" applyFont="1" applyFill="1" applyBorder="1" applyAlignment="1">
      <alignment vertical="center" wrapText="1"/>
    </xf>
    <xf numFmtId="0" fontId="241" fillId="223" borderId="106" xfId="40" applyNumberFormat="1" applyFont="1" applyFill="1" applyBorder="1" applyAlignment="1">
      <alignment vertical="center" wrapText="1"/>
    </xf>
    <xf numFmtId="0" fontId="136" fillId="223" borderId="149" xfId="40" applyNumberFormat="1" applyFont="1" applyFill="1" applyBorder="1" applyAlignment="1">
      <alignment vertical="center" wrapText="1"/>
    </xf>
    <xf numFmtId="0" fontId="245" fillId="223" borderId="107" xfId="40" applyNumberFormat="1" applyFont="1" applyFill="1" applyBorder="1" applyAlignment="1">
      <alignment vertical="center" wrapText="1"/>
    </xf>
    <xf numFmtId="0" fontId="245" fillId="223" borderId="128" xfId="40" applyNumberFormat="1" applyFont="1" applyFill="1" applyBorder="1" applyAlignment="1">
      <alignment vertical="center" wrapText="1"/>
    </xf>
    <xf numFmtId="0" fontId="245" fillId="223" borderId="112" xfId="40" applyNumberFormat="1" applyFont="1" applyFill="1" applyBorder="1" applyAlignment="1">
      <alignment vertical="center" wrapText="1"/>
    </xf>
    <xf numFmtId="0" fontId="245" fillId="223" borderId="106" xfId="40" applyNumberFormat="1" applyFont="1" applyFill="1" applyBorder="1" applyAlignment="1">
      <alignment vertical="center" wrapText="1"/>
    </xf>
    <xf numFmtId="0" fontId="245" fillId="223" borderId="149" xfId="40" applyNumberFormat="1" applyFont="1" applyFill="1" applyBorder="1" applyAlignment="1">
      <alignment vertical="center" wrapText="1"/>
    </xf>
    <xf numFmtId="0" fontId="242" fillId="126" borderId="115" xfId="40" applyNumberFormat="1" applyFont="1" applyFill="1" applyBorder="1" applyAlignment="1">
      <alignment horizontal="left" vertical="top" wrapText="1"/>
    </xf>
    <xf numFmtId="0" fontId="241" fillId="114" borderId="106" xfId="40" applyNumberFormat="1" applyFont="1" applyFill="1" applyBorder="1" applyAlignment="1">
      <alignment horizontal="left" vertical="center" wrapText="1"/>
    </xf>
    <xf numFmtId="0" fontId="241" fillId="109" borderId="158" xfId="40" applyNumberFormat="1" applyFont="1" applyFill="1" applyBorder="1" applyAlignment="1">
      <alignment vertical="center" wrapText="1"/>
    </xf>
    <xf numFmtId="0" fontId="240" fillId="150" borderId="115" xfId="40" applyNumberFormat="1" applyFont="1" applyFill="1" applyBorder="1" applyAlignment="1">
      <alignment horizontal="center" vertical="center" wrapText="1"/>
    </xf>
    <xf numFmtId="0" fontId="242" fillId="109" borderId="158" xfId="40" applyNumberFormat="1" applyFont="1" applyFill="1" applyBorder="1" applyAlignment="1">
      <alignment vertical="center" wrapText="1"/>
    </xf>
    <xf numFmtId="0" fontId="242" fillId="150" borderId="115" xfId="40" applyNumberFormat="1" applyFont="1" applyFill="1" applyBorder="1" applyAlignment="1">
      <alignment horizontal="center" vertical="center" wrapText="1"/>
    </xf>
    <xf numFmtId="0" fontId="122" fillId="218" borderId="132" xfId="40" applyNumberFormat="1" applyFont="1" applyFill="1" applyBorder="1" applyAlignment="1">
      <alignment horizontal="center" vertical="center" wrapText="1"/>
    </xf>
    <xf numFmtId="0" fontId="122" fillId="218" borderId="133" xfId="40" applyNumberFormat="1" applyFont="1" applyFill="1" applyBorder="1" applyAlignment="1">
      <alignment horizontal="center" vertical="center" wrapText="1"/>
    </xf>
    <xf numFmtId="0" fontId="122" fillId="218" borderId="139" xfId="40" applyNumberFormat="1" applyFont="1" applyFill="1" applyBorder="1" applyAlignment="1">
      <alignment horizontal="center" vertical="center" wrapText="1"/>
    </xf>
    <xf numFmtId="0" fontId="243" fillId="218" borderId="132" xfId="40" applyNumberFormat="1" applyFont="1" applyFill="1" applyBorder="1" applyAlignment="1">
      <alignment horizontal="center" vertical="center" wrapText="1"/>
    </xf>
    <xf numFmtId="0" fontId="243" fillId="218" borderId="133" xfId="40" applyNumberFormat="1" applyFont="1" applyFill="1" applyBorder="1" applyAlignment="1">
      <alignment horizontal="center" vertical="center" wrapText="1"/>
    </xf>
    <xf numFmtId="0" fontId="243" fillId="218" borderId="139" xfId="40" applyNumberFormat="1" applyFont="1" applyFill="1" applyBorder="1" applyAlignment="1">
      <alignment horizontal="center" vertical="center" wrapText="1"/>
    </xf>
    <xf numFmtId="0" fontId="240" fillId="227" borderId="108" xfId="40" applyNumberFormat="1" applyFont="1" applyFill="1" applyBorder="1" applyAlignment="1">
      <alignment horizontal="right" vertical="center" wrapText="1"/>
    </xf>
    <xf numFmtId="0" fontId="240" fillId="227" borderId="109" xfId="40" applyNumberFormat="1" applyFont="1" applyFill="1" applyBorder="1" applyAlignment="1">
      <alignment horizontal="right" vertical="center" wrapText="1"/>
    </xf>
    <xf numFmtId="0" fontId="240" fillId="227" borderId="110" xfId="40" applyNumberFormat="1" applyFont="1" applyFill="1" applyBorder="1" applyAlignment="1">
      <alignment horizontal="right" vertical="center" wrapText="1"/>
    </xf>
    <xf numFmtId="0" fontId="240"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right" vertical="center" wrapText="1"/>
    </xf>
    <xf numFmtId="0" fontId="176" fillId="227" borderId="109" xfId="40" applyNumberFormat="1" applyFont="1" applyFill="1" applyBorder="1" applyAlignment="1">
      <alignment horizontal="right" vertical="center" wrapText="1"/>
    </xf>
    <xf numFmtId="0" fontId="176" fillId="227" borderId="110" xfId="40" applyNumberFormat="1" applyFont="1" applyFill="1" applyBorder="1" applyAlignment="1">
      <alignment horizontal="right" vertical="center" wrapText="1"/>
    </xf>
    <xf numFmtId="0" fontId="176"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center" vertical="center" wrapText="1"/>
    </xf>
    <xf numFmtId="0" fontId="176" fillId="227" borderId="109" xfId="40" applyNumberFormat="1" applyFont="1" applyFill="1" applyBorder="1" applyAlignment="1">
      <alignment horizontal="center" vertical="center" wrapText="1"/>
    </xf>
    <xf numFmtId="0" fontId="176" fillId="227" borderId="110" xfId="40" applyNumberFormat="1" applyFont="1" applyFill="1" applyBorder="1" applyAlignment="1">
      <alignment horizontal="center" vertical="center" wrapText="1"/>
    </xf>
    <xf numFmtId="0" fontId="176" fillId="227" borderId="111" xfId="40" applyNumberFormat="1" applyFont="1" applyFill="1" applyBorder="1" applyAlignment="1">
      <alignment horizontal="center" vertical="center" wrapText="1"/>
    </xf>
    <xf numFmtId="0" fontId="241" fillId="223" borderId="106" xfId="40" applyNumberFormat="1" applyFont="1" applyFill="1" applyBorder="1" applyAlignment="1">
      <alignment horizontal="left" vertical="center" wrapText="1"/>
    </xf>
    <xf numFmtId="0" fontId="136" fillId="223" borderId="149" xfId="40" applyNumberFormat="1" applyFont="1" applyFill="1" applyBorder="1" applyAlignment="1">
      <alignment horizontal="left" vertical="center" wrapText="1"/>
    </xf>
    <xf numFmtId="0" fontId="245" fillId="223" borderId="106" xfId="40" applyNumberFormat="1" applyFont="1" applyFill="1" applyBorder="1" applyAlignment="1">
      <alignment horizontal="left" vertical="center" wrapText="1"/>
    </xf>
    <xf numFmtId="0" fontId="245" fillId="223" borderId="149" xfId="40" applyNumberFormat="1" applyFont="1" applyFill="1" applyBorder="1" applyAlignment="1">
      <alignment horizontal="left" vertical="center" wrapText="1"/>
    </xf>
    <xf numFmtId="0" fontId="242" fillId="109" borderId="158" xfId="40" applyNumberFormat="1" applyFont="1" applyFill="1" applyBorder="1" applyAlignment="1">
      <alignment vertical="top" wrapText="1"/>
    </xf>
    <xf numFmtId="0" fontId="242" fillId="150" borderId="115" xfId="40" applyNumberFormat="1" applyFont="1" applyFill="1" applyBorder="1" applyAlignment="1">
      <alignment horizontal="center" vertical="top" wrapText="1"/>
    </xf>
    <xf numFmtId="0" fontId="241" fillId="109" borderId="158" xfId="40" applyNumberFormat="1" applyFont="1" applyFill="1" applyBorder="1" applyAlignment="1">
      <alignment vertical="top" wrapText="1"/>
    </xf>
    <xf numFmtId="0" fontId="241" fillId="224" borderId="158" xfId="40" applyNumberFormat="1" applyFont="1" applyFill="1" applyBorder="1" applyAlignment="1">
      <alignment vertical="top" wrapText="1"/>
    </xf>
    <xf numFmtId="0" fontId="241" fillId="114" borderId="111" xfId="40" applyNumberFormat="1" applyFont="1" applyFill="1" applyBorder="1" applyAlignment="1">
      <alignment horizontal="center" vertical="center" wrapText="1"/>
    </xf>
    <xf numFmtId="0" fontId="241" fillId="154" borderId="110" xfId="40" applyNumberFormat="1" applyFont="1" applyFill="1" applyBorder="1" applyAlignment="1">
      <alignment horizontal="center" vertical="center" wrapText="1"/>
    </xf>
    <xf numFmtId="0" fontId="241" fillId="154" borderId="111" xfId="40" applyNumberFormat="1" applyFont="1" applyFill="1" applyBorder="1" applyAlignment="1">
      <alignment horizontal="center" vertical="center" wrapText="1"/>
    </xf>
    <xf numFmtId="0" fontId="241" fillId="126" borderId="110" xfId="40" applyNumberFormat="1" applyFont="1" applyFill="1" applyBorder="1" applyAlignment="1">
      <alignment horizontal="center" vertical="center" wrapText="1"/>
    </xf>
    <xf numFmtId="0" fontId="241" fillId="126" borderId="111" xfId="40" applyNumberFormat="1" applyFont="1" applyFill="1" applyBorder="1" applyAlignment="1">
      <alignment horizontal="center" vertical="center" wrapText="1"/>
    </xf>
    <xf numFmtId="0" fontId="241" fillId="114" borderId="136" xfId="40" applyNumberFormat="1" applyFont="1" applyFill="1" applyBorder="1" applyAlignment="1">
      <alignment horizontal="left" vertical="center" wrapText="1"/>
    </xf>
    <xf numFmtId="0" fontId="241" fillId="114" borderId="137" xfId="40" applyNumberFormat="1" applyFont="1" applyFill="1" applyBorder="1" applyAlignment="1">
      <alignment horizontal="left" vertical="center" wrapText="1"/>
    </xf>
    <xf numFmtId="0" fontId="240" fillId="228" borderId="108" xfId="40" applyNumberFormat="1" applyFont="1" applyFill="1" applyBorder="1" applyAlignment="1">
      <alignment horizontal="right" vertical="center" wrapText="1"/>
    </xf>
    <xf numFmtId="0" fontId="240" fillId="228" borderId="109" xfId="40" applyNumberFormat="1" applyFont="1" applyFill="1" applyBorder="1" applyAlignment="1">
      <alignment horizontal="right" vertical="center" wrapText="1"/>
    </xf>
    <xf numFmtId="0" fontId="240" fillId="228" borderId="110" xfId="40" applyNumberFormat="1" applyFont="1" applyFill="1" applyBorder="1" applyAlignment="1">
      <alignment horizontal="right" vertical="center" wrapText="1"/>
    </xf>
    <xf numFmtId="0" fontId="240"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right" vertical="center" wrapText="1"/>
    </xf>
    <xf numFmtId="0" fontId="176" fillId="228" borderId="109" xfId="40" applyNumberFormat="1" applyFont="1" applyFill="1" applyBorder="1" applyAlignment="1">
      <alignment horizontal="right" vertical="center" wrapText="1"/>
    </xf>
    <xf numFmtId="0" fontId="176" fillId="228" borderId="110" xfId="40" applyNumberFormat="1" applyFont="1" applyFill="1" applyBorder="1" applyAlignment="1">
      <alignment horizontal="right" vertical="center" wrapText="1"/>
    </xf>
    <xf numFmtId="0" fontId="176"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center" vertical="center" wrapText="1"/>
    </xf>
    <xf numFmtId="0" fontId="176" fillId="228" borderId="109" xfId="40" applyNumberFormat="1" applyFont="1" applyFill="1" applyBorder="1" applyAlignment="1">
      <alignment horizontal="center" vertical="center" wrapText="1"/>
    </xf>
    <xf numFmtId="0" fontId="176" fillId="228" borderId="110" xfId="40" applyNumberFormat="1" applyFont="1" applyFill="1" applyBorder="1" applyAlignment="1">
      <alignment horizontal="center" vertical="center" wrapText="1"/>
    </xf>
    <xf numFmtId="0" fontId="176" fillId="228" borderId="111" xfId="40" applyNumberFormat="1" applyFont="1" applyFill="1" applyBorder="1" applyAlignment="1">
      <alignment horizontal="center" vertical="center" wrapText="1"/>
    </xf>
    <xf numFmtId="0" fontId="241" fillId="218" borderId="111" xfId="40" applyNumberFormat="1" applyFont="1" applyFill="1" applyBorder="1" applyAlignment="1">
      <alignment horizontal="center" vertical="center" wrapText="1"/>
    </xf>
    <xf numFmtId="0" fontId="241" fillId="220" borderId="110" xfId="40" applyNumberFormat="1" applyFont="1" applyFill="1" applyBorder="1" applyAlignment="1">
      <alignment horizontal="center" vertical="center" wrapText="1"/>
    </xf>
    <xf numFmtId="0" fontId="241" fillId="220" borderId="111" xfId="40" applyNumberFormat="1" applyFont="1" applyFill="1" applyBorder="1" applyAlignment="1">
      <alignment horizontal="center" vertical="center" wrapText="1"/>
    </xf>
    <xf numFmtId="0" fontId="241" fillId="221" borderId="110" xfId="40" applyNumberFormat="1" applyFont="1" applyFill="1" applyBorder="1" applyAlignment="1">
      <alignment horizontal="center" vertical="center" wrapText="1"/>
    </xf>
    <xf numFmtId="0" fontId="241" fillId="221" borderId="111" xfId="40" applyNumberFormat="1" applyFont="1" applyFill="1" applyBorder="1" applyAlignment="1">
      <alignment horizontal="center" vertical="center" wrapText="1"/>
    </xf>
    <xf numFmtId="0" fontId="136" fillId="218" borderId="111" xfId="40" applyNumberFormat="1" applyFont="1" applyFill="1" applyBorder="1" applyAlignment="1">
      <alignment horizontal="center" vertical="center" wrapText="1"/>
    </xf>
    <xf numFmtId="0" fontId="241" fillId="223" borderId="136" xfId="40" applyNumberFormat="1" applyFont="1" applyFill="1" applyBorder="1" applyAlignment="1">
      <alignment horizontal="left" vertical="center" wrapText="1"/>
    </xf>
    <xf numFmtId="0" fontId="241" fillId="223" borderId="137" xfId="40" applyNumberFormat="1" applyFont="1" applyFill="1" applyBorder="1" applyAlignment="1">
      <alignment horizontal="left" vertical="center" wrapText="1"/>
    </xf>
    <xf numFmtId="0" fontId="136" fillId="223" borderId="142" xfId="40" applyNumberFormat="1" applyFont="1" applyFill="1" applyBorder="1" applyAlignment="1">
      <alignment horizontal="left" vertical="center" wrapText="1"/>
    </xf>
    <xf numFmtId="0" fontId="245" fillId="223" borderId="136" xfId="40" applyNumberFormat="1" applyFont="1" applyFill="1" applyBorder="1" applyAlignment="1">
      <alignment horizontal="left" vertical="center" wrapText="1"/>
    </xf>
    <xf numFmtId="0" fontId="245" fillId="223" borderId="137" xfId="40" applyNumberFormat="1" applyFont="1" applyFill="1" applyBorder="1" applyAlignment="1">
      <alignment horizontal="left" vertical="center" wrapText="1"/>
    </xf>
    <xf numFmtId="0" fontId="245" fillId="223" borderId="142" xfId="40" applyNumberFormat="1" applyFont="1" applyFill="1" applyBorder="1" applyAlignment="1">
      <alignment horizontal="left" vertical="center" wrapText="1"/>
    </xf>
    <xf numFmtId="0" fontId="240" fillId="123" borderId="115" xfId="40" applyNumberFormat="1" applyFont="1" applyFill="1" applyBorder="1" applyAlignment="1">
      <alignment vertical="center" wrapText="1"/>
    </xf>
    <xf numFmtId="0" fontId="241" fillId="126" borderId="110" xfId="40" applyNumberFormat="1" applyFont="1" applyFill="1" applyBorder="1" applyAlignment="1">
      <alignment horizontal="center" vertical="center"/>
    </xf>
    <xf numFmtId="0" fontId="242" fillId="123" borderId="115" xfId="40" applyNumberFormat="1" applyFont="1" applyFill="1" applyBorder="1" applyAlignment="1">
      <alignment vertical="center" wrapText="1"/>
    </xf>
    <xf numFmtId="0" fontId="242" fillId="126" borderId="110" xfId="40" applyNumberFormat="1" applyFont="1" applyFill="1" applyBorder="1" applyAlignment="1">
      <alignment horizontal="center" vertical="center"/>
    </xf>
    <xf numFmtId="0" fontId="240" fillId="229" borderId="108" xfId="40" applyNumberFormat="1" applyFont="1" applyFill="1" applyBorder="1" applyAlignment="1">
      <alignment horizontal="right" vertical="center" wrapText="1"/>
    </xf>
    <xf numFmtId="0" fontId="240" fillId="229" borderId="109" xfId="40" applyNumberFormat="1" applyFont="1" applyFill="1" applyBorder="1" applyAlignment="1">
      <alignment horizontal="right" vertical="center" wrapText="1"/>
    </xf>
    <xf numFmtId="0" fontId="240" fillId="229" borderId="110" xfId="40" applyNumberFormat="1" applyFont="1" applyFill="1" applyBorder="1" applyAlignment="1">
      <alignment horizontal="right" vertical="center" wrapText="1"/>
    </xf>
    <xf numFmtId="0" fontId="240"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right" vertical="center" wrapText="1"/>
    </xf>
    <xf numFmtId="0" fontId="244" fillId="229" borderId="109" xfId="40" applyNumberFormat="1" applyFont="1" applyFill="1" applyBorder="1" applyAlignment="1">
      <alignment horizontal="right" vertical="center" wrapText="1"/>
    </xf>
    <xf numFmtId="0" fontId="244" fillId="229" borderId="110" xfId="40" applyNumberFormat="1" applyFont="1" applyFill="1" applyBorder="1" applyAlignment="1">
      <alignment horizontal="right" vertical="center" wrapText="1"/>
    </xf>
    <xf numFmtId="0" fontId="244"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center" vertical="center" wrapText="1"/>
    </xf>
    <xf numFmtId="0" fontId="244" fillId="229" borderId="109" xfId="40" applyNumberFormat="1" applyFont="1" applyFill="1" applyBorder="1" applyAlignment="1">
      <alignment horizontal="center" vertical="center" wrapText="1"/>
    </xf>
    <xf numFmtId="0" fontId="244" fillId="229" borderId="110" xfId="40" applyNumberFormat="1" applyFont="1" applyFill="1" applyBorder="1" applyAlignment="1">
      <alignment horizontal="center" vertical="center" wrapText="1"/>
    </xf>
    <xf numFmtId="0" fontId="244" fillId="229" borderId="111" xfId="40" applyNumberFormat="1" applyFont="1" applyFill="1" applyBorder="1" applyAlignment="1">
      <alignment horizontal="center" vertical="center" wrapText="1"/>
    </xf>
    <xf numFmtId="0" fontId="242" fillId="123" borderId="115" xfId="40" applyNumberFormat="1" applyFont="1" applyFill="1" applyBorder="1" applyAlignment="1">
      <alignment vertical="top" wrapText="1"/>
    </xf>
    <xf numFmtId="0" fontId="242" fillId="126" borderId="110" xfId="40" applyNumberFormat="1" applyFont="1" applyFill="1" applyBorder="1" applyAlignment="1">
      <alignment horizontal="center" vertical="top"/>
    </xf>
    <xf numFmtId="0" fontId="242" fillId="126" borderId="110" xfId="40" applyNumberFormat="1" applyFont="1" applyFill="1" applyBorder="1" applyAlignment="1">
      <alignment horizontal="center" vertical="top" wrapText="1"/>
    </xf>
    <xf numFmtId="0" fontId="242" fillId="225" borderId="110" xfId="40" applyNumberFormat="1" applyFont="1" applyFill="1" applyBorder="1" applyAlignment="1">
      <alignment horizontal="center" vertical="top" wrapText="1"/>
    </xf>
    <xf numFmtId="0" fontId="241" fillId="225" borderId="110" xfId="40" applyNumberFormat="1" applyFont="1" applyFill="1" applyBorder="1" applyAlignment="1">
      <alignment horizontal="center" vertical="top" wrapText="1"/>
    </xf>
    <xf numFmtId="166" fontId="241" fillId="225" borderId="110" xfId="40" applyNumberFormat="1" applyFont="1" applyFill="1" applyBorder="1" applyAlignment="1">
      <alignment horizontal="center" vertical="top" wrapText="1"/>
    </xf>
    <xf numFmtId="0" fontId="240" fillId="109" borderId="106" xfId="40" applyNumberFormat="1" applyFont="1" applyFill="1" applyBorder="1"/>
    <xf numFmtId="0" fontId="240" fillId="109" borderId="106" xfId="40" applyNumberFormat="1" applyFont="1" applyFill="1" applyBorder="1" applyAlignment="1">
      <alignment vertical="center"/>
    </xf>
    <xf numFmtId="0" fontId="240" fillId="109" borderId="106" xfId="40" applyNumberFormat="1" applyFont="1" applyFill="1" applyBorder="1" applyAlignment="1">
      <alignment vertical="center" wrapText="1"/>
    </xf>
    <xf numFmtId="0" fontId="240" fillId="218" borderId="106" xfId="40" applyNumberFormat="1" applyFont="1" applyFill="1" applyBorder="1" applyAlignment="1">
      <alignment vertical="center" wrapText="1"/>
    </xf>
    <xf numFmtId="0" fontId="241" fillId="218" borderId="106" xfId="40" applyNumberFormat="1" applyFont="1" applyFill="1" applyBorder="1" applyAlignment="1">
      <alignment vertical="center" wrapText="1"/>
    </xf>
    <xf numFmtId="0" fontId="246" fillId="218" borderId="106" xfId="40" applyNumberFormat="1" applyFont="1" applyFill="1" applyBorder="1" applyAlignment="1">
      <alignment vertical="center" wrapText="1"/>
    </xf>
    <xf numFmtId="0" fontId="246" fillId="218" borderId="212" xfId="40" applyNumberFormat="1" applyFont="1" applyFill="1" applyBorder="1" applyAlignment="1">
      <alignment vertical="center" wrapText="1"/>
    </xf>
    <xf numFmtId="0" fontId="246" fillId="218" borderId="213" xfId="40" applyNumberFormat="1" applyFont="1" applyFill="1" applyBorder="1" applyAlignment="1">
      <alignment vertical="center" wrapText="1"/>
    </xf>
    <xf numFmtId="0" fontId="246" fillId="218" borderId="214" xfId="40" applyNumberFormat="1" applyFont="1" applyFill="1" applyBorder="1" applyAlignment="1">
      <alignment vertical="center" wrapText="1"/>
    </xf>
    <xf numFmtId="0" fontId="242" fillId="109" borderId="106" xfId="40" applyNumberFormat="1" applyFont="1" applyFill="1" applyBorder="1" applyAlignment="1">
      <alignment vertical="center" wrapText="1"/>
    </xf>
    <xf numFmtId="0" fontId="241" fillId="218" borderId="106" xfId="40" applyNumberFormat="1" applyFont="1" applyFill="1" applyBorder="1" applyAlignment="1">
      <alignment horizontal="center" vertical="center" wrapText="1"/>
    </xf>
    <xf numFmtId="0" fontId="246" fillId="218" borderId="106" xfId="40" applyNumberFormat="1" applyFont="1" applyFill="1" applyBorder="1" applyAlignment="1">
      <alignment horizontal="center" vertical="center" wrapText="1"/>
    </xf>
    <xf numFmtId="165" fontId="246" fillId="218" borderId="106" xfId="40" applyNumberFormat="1" applyFont="1" applyFill="1" applyBorder="1" applyAlignment="1">
      <alignment horizontal="center" vertical="center" wrapText="1"/>
    </xf>
    <xf numFmtId="0" fontId="240" fillId="222" borderId="106" xfId="40" applyNumberFormat="1" applyFont="1" applyFill="1" applyBorder="1" applyAlignment="1">
      <alignment vertical="center" wrapText="1"/>
    </xf>
    <xf numFmtId="0" fontId="241" fillId="222" borderId="106" xfId="40" applyNumberFormat="1" applyFont="1" applyFill="1" applyBorder="1" applyAlignment="1">
      <alignment vertical="center" wrapText="1"/>
    </xf>
    <xf numFmtId="0" fontId="241" fillId="222" borderId="106" xfId="40" applyNumberFormat="1" applyFont="1" applyFill="1" applyBorder="1" applyAlignment="1">
      <alignment horizontal="center" vertical="center" wrapText="1"/>
    </xf>
    <xf numFmtId="0" fontId="246" fillId="222" borderId="106" xfId="40" applyNumberFormat="1" applyFont="1" applyFill="1" applyBorder="1" applyAlignment="1">
      <alignment horizontal="center" vertical="center" wrapText="1"/>
    </xf>
    <xf numFmtId="0" fontId="240" fillId="220" borderId="106" xfId="40" applyNumberFormat="1" applyFont="1" applyFill="1" applyBorder="1" applyAlignment="1">
      <alignment vertical="center" wrapText="1"/>
    </xf>
    <xf numFmtId="0" fontId="241" fillId="220" borderId="106" xfId="40" applyNumberFormat="1" applyFont="1" applyFill="1" applyBorder="1" applyAlignment="1">
      <alignment vertical="center" wrapText="1"/>
    </xf>
    <xf numFmtId="0" fontId="241" fillId="220" borderId="106" xfId="40" applyNumberFormat="1" applyFont="1" applyFill="1" applyBorder="1" applyAlignment="1">
      <alignment horizontal="center" vertical="center" wrapText="1"/>
    </xf>
    <xf numFmtId="0" fontId="246" fillId="220" borderId="106" xfId="40" applyNumberFormat="1" applyFont="1" applyFill="1" applyBorder="1" applyAlignment="1">
      <alignment horizontal="center" vertical="center" wrapText="1"/>
    </xf>
    <xf numFmtId="165" fontId="246" fillId="220" borderId="106" xfId="40" applyNumberFormat="1" applyFont="1" applyFill="1" applyBorder="1" applyAlignment="1">
      <alignment horizontal="center" vertical="center" wrapText="1"/>
    </xf>
    <xf numFmtId="0" fontId="240" fillId="221" borderId="106" xfId="40" applyNumberFormat="1" applyFont="1" applyFill="1" applyBorder="1" applyAlignment="1">
      <alignment vertical="center" wrapText="1"/>
    </xf>
    <xf numFmtId="0" fontId="241" fillId="221" borderId="106" xfId="40" applyNumberFormat="1" applyFont="1" applyFill="1" applyBorder="1" applyAlignment="1">
      <alignment vertical="center" wrapText="1"/>
    </xf>
    <xf numFmtId="0" fontId="241" fillId="221" borderId="106" xfId="40" applyNumberFormat="1" applyFont="1" applyFill="1" applyBorder="1" applyAlignment="1">
      <alignment horizontal="center" vertical="center" wrapText="1"/>
    </xf>
    <xf numFmtId="0" fontId="246" fillId="221" borderId="106" xfId="40" applyNumberFormat="1" applyFont="1" applyFill="1" applyBorder="1" applyAlignment="1">
      <alignment horizontal="center" vertical="center" wrapText="1"/>
    </xf>
    <xf numFmtId="165" fontId="246" fillId="221" borderId="106" xfId="40" applyNumberFormat="1" applyFont="1" applyFill="1" applyBorder="1" applyAlignment="1">
      <alignment horizontal="center" vertical="center" wrapText="1"/>
    </xf>
    <xf numFmtId="0" fontId="247" fillId="109" borderId="106" xfId="40" applyNumberFormat="1" applyFont="1" applyFill="1" applyBorder="1" applyAlignment="1">
      <alignment vertical="center" wrapText="1"/>
    </xf>
    <xf numFmtId="0" fontId="241" fillId="218" borderId="212" xfId="40" applyNumberFormat="1" applyFont="1" applyFill="1" applyBorder="1" applyAlignment="1">
      <alignment vertical="center" wrapText="1"/>
    </xf>
    <xf numFmtId="0" fontId="241" fillId="218" borderId="213" xfId="40" applyNumberFormat="1" applyFont="1" applyFill="1" applyBorder="1" applyAlignment="1">
      <alignment vertical="center" wrapText="1"/>
    </xf>
    <xf numFmtId="0" fontId="241" fillId="218" borderId="214" xfId="40" applyNumberFormat="1" applyFont="1" applyFill="1" applyBorder="1" applyAlignment="1">
      <alignment vertical="center" wrapText="1"/>
    </xf>
    <xf numFmtId="0" fontId="240" fillId="218" borderId="106" xfId="40" applyNumberFormat="1" applyFont="1" applyFill="1" applyBorder="1" applyAlignment="1">
      <alignment vertical="center"/>
    </xf>
    <xf numFmtId="0" fontId="241" fillId="218" borderId="106" xfId="40" applyNumberFormat="1" applyFont="1" applyFill="1" applyBorder="1" applyAlignment="1">
      <alignment vertical="center"/>
    </xf>
    <xf numFmtId="0" fontId="241" fillId="218" borderId="215" xfId="40" applyNumberFormat="1" applyFont="1" applyFill="1" applyBorder="1" applyAlignment="1">
      <alignment vertical="center"/>
    </xf>
    <xf numFmtId="0" fontId="241" fillId="218" borderId="215" xfId="40" applyNumberFormat="1" applyFont="1" applyFill="1" applyBorder="1" applyAlignment="1">
      <alignment vertical="center" wrapText="1"/>
    </xf>
    <xf numFmtId="0" fontId="241" fillId="218" borderId="215" xfId="40" applyNumberFormat="1" applyFont="1" applyFill="1" applyBorder="1" applyAlignment="1">
      <alignment horizontal="center" vertical="center" wrapText="1"/>
    </xf>
    <xf numFmtId="0" fontId="241" fillId="220" borderId="215" xfId="40" applyNumberFormat="1" applyFont="1" applyFill="1" applyBorder="1" applyAlignment="1">
      <alignment horizontal="center" vertical="center" wrapText="1"/>
    </xf>
    <xf numFmtId="0" fontId="241" fillId="222" borderId="215" xfId="40" applyNumberFormat="1" applyFont="1" applyFill="1" applyBorder="1" applyAlignment="1">
      <alignment horizontal="center" vertical="center" wrapText="1"/>
    </xf>
    <xf numFmtId="0" fontId="241" fillId="221" borderId="215" xfId="40" applyNumberFormat="1" applyFont="1" applyFill="1" applyBorder="1" applyAlignment="1">
      <alignment horizontal="center" vertical="center" wrapText="1"/>
    </xf>
    <xf numFmtId="0" fontId="240" fillId="219" borderId="106" xfId="40" applyNumberFormat="1" applyFont="1" applyFill="1" applyBorder="1" applyAlignment="1">
      <alignment vertical="center"/>
    </xf>
    <xf numFmtId="0" fontId="237" fillId="219" borderId="106" xfId="40" applyNumberFormat="1" applyFont="1" applyFill="1" applyBorder="1" applyAlignment="1">
      <alignment vertical="center"/>
    </xf>
    <xf numFmtId="0" fontId="240" fillId="226" borderId="106" xfId="40" applyNumberFormat="1" applyFont="1" applyFill="1" applyBorder="1" applyAlignment="1">
      <alignment vertical="center"/>
    </xf>
    <xf numFmtId="0" fontId="241" fillId="226" borderId="106" xfId="40" applyNumberFormat="1" applyFont="1" applyFill="1" applyBorder="1" applyAlignment="1">
      <alignment vertical="center"/>
    </xf>
    <xf numFmtId="0" fontId="240" fillId="227" borderId="106" xfId="40" applyNumberFormat="1" applyFont="1" applyFill="1" applyBorder="1" applyAlignment="1">
      <alignment vertical="center"/>
    </xf>
    <xf numFmtId="0" fontId="241" fillId="227" borderId="106" xfId="40" applyNumberFormat="1" applyFont="1" applyFill="1" applyBorder="1" applyAlignment="1">
      <alignment vertical="center"/>
    </xf>
    <xf numFmtId="0" fontId="240" fillId="228" borderId="106" xfId="40" applyNumberFormat="1" applyFont="1" applyFill="1" applyBorder="1" applyAlignment="1">
      <alignment vertical="center"/>
    </xf>
    <xf numFmtId="0" fontId="241" fillId="228" borderId="106" xfId="40" applyNumberFormat="1" applyFont="1" applyFill="1" applyBorder="1" applyAlignment="1">
      <alignment vertical="center"/>
    </xf>
    <xf numFmtId="0" fontId="240" fillId="229" borderId="106" xfId="40" applyNumberFormat="1" applyFont="1" applyFill="1" applyBorder="1" applyAlignment="1">
      <alignment vertical="center"/>
    </xf>
    <xf numFmtId="0" fontId="237" fillId="229" borderId="106" xfId="40" applyNumberFormat="1" applyFont="1" applyFill="1" applyBorder="1" applyAlignment="1">
      <alignment vertical="center"/>
    </xf>
    <xf numFmtId="0" fontId="240" fillId="109" borderId="106" xfId="40" applyNumberFormat="1" applyFont="1" applyFill="1" applyBorder="1" applyAlignment="1">
      <alignment horizontal="center" vertical="center"/>
    </xf>
    <xf numFmtId="0" fontId="237" fillId="219" borderId="216" xfId="40" applyNumberFormat="1" applyFont="1" applyFill="1" applyBorder="1" applyAlignment="1">
      <alignment vertical="center"/>
    </xf>
    <xf numFmtId="0" fontId="240" fillId="109" borderId="216" xfId="40" applyNumberFormat="1" applyFont="1" applyFill="1" applyBorder="1" applyAlignment="1">
      <alignment horizontal="center" vertical="center"/>
    </xf>
    <xf numFmtId="0" fontId="241" fillId="226" borderId="216" xfId="40" applyNumberFormat="1" applyFont="1" applyFill="1" applyBorder="1" applyAlignment="1">
      <alignment vertical="center"/>
    </xf>
    <xf numFmtId="0" fontId="241" fillId="227" borderId="216" xfId="40" applyNumberFormat="1" applyFont="1" applyFill="1" applyBorder="1" applyAlignment="1">
      <alignment vertical="center"/>
    </xf>
    <xf numFmtId="0" fontId="241" fillId="228" borderId="216" xfId="40" applyNumberFormat="1" applyFont="1" applyFill="1" applyBorder="1" applyAlignment="1">
      <alignment vertical="center"/>
    </xf>
    <xf numFmtId="0" fontId="237" fillId="229" borderId="216" xfId="40" applyNumberFormat="1" applyFont="1" applyFill="1" applyBorder="1" applyAlignment="1">
      <alignment vertical="center"/>
    </xf>
    <xf numFmtId="0" fontId="240" fillId="109" borderId="216" xfId="40" applyNumberFormat="1" applyFont="1" applyFill="1" applyBorder="1" applyAlignment="1">
      <alignment vertical="center"/>
    </xf>
    <xf numFmtId="0" fontId="240" fillId="218" borderId="216" xfId="40" applyNumberFormat="1" applyFont="1" applyFill="1" applyBorder="1" applyAlignment="1">
      <alignment vertical="center"/>
    </xf>
    <xf numFmtId="0" fontId="240" fillId="218" borderId="216" xfId="40" applyNumberFormat="1" applyFont="1" applyFill="1" applyBorder="1" applyAlignment="1">
      <alignment horizontal="center" vertical="center"/>
    </xf>
    <xf numFmtId="0" fontId="241" fillId="218" borderId="216" xfId="40" applyNumberFormat="1" applyFont="1" applyFill="1" applyBorder="1" applyAlignment="1">
      <alignment vertical="center"/>
    </xf>
    <xf numFmtId="0" fontId="241" fillId="218" borderId="216" xfId="40" applyNumberFormat="1" applyFont="1" applyFill="1" applyBorder="1" applyAlignment="1">
      <alignment horizontal="center" vertical="center"/>
    </xf>
    <xf numFmtId="165" fontId="240" fillId="109" borderId="216" xfId="40" applyNumberFormat="1" applyFont="1" applyFill="1" applyBorder="1" applyAlignment="1">
      <alignment horizontal="center" vertical="center"/>
    </xf>
    <xf numFmtId="165" fontId="241" fillId="218" borderId="216" xfId="40" applyNumberFormat="1" applyFont="1" applyFill="1" applyBorder="1" applyAlignment="1">
      <alignment horizontal="center" vertical="center"/>
    </xf>
    <xf numFmtId="0" fontId="240" fillId="230" borderId="106" xfId="40" applyNumberFormat="1" applyFont="1" applyFill="1" applyBorder="1" applyAlignment="1">
      <alignment vertical="center"/>
    </xf>
    <xf numFmtId="0" fontId="240" fillId="231" borderId="106" xfId="40" applyNumberFormat="1" applyFont="1" applyFill="1" applyBorder="1" applyAlignment="1">
      <alignment vertical="center"/>
    </xf>
    <xf numFmtId="0" fontId="240" fillId="232" borderId="106" xfId="40" applyNumberFormat="1" applyFont="1" applyFill="1" applyBorder="1" applyAlignment="1">
      <alignment vertical="center"/>
    </xf>
    <xf numFmtId="0" fontId="240" fillId="233" borderId="106" xfId="40" applyNumberFormat="1" applyFont="1" applyFill="1" applyBorder="1" applyAlignment="1">
      <alignment vertical="center"/>
    </xf>
    <xf numFmtId="0" fontId="240" fillId="234" borderId="106" xfId="40" applyNumberFormat="1" applyFont="1" applyFill="1" applyBorder="1" applyAlignment="1">
      <alignment vertical="center"/>
    </xf>
    <xf numFmtId="0" fontId="240" fillId="235" borderId="106" xfId="40" applyNumberFormat="1" applyFont="1" applyFill="1" applyBorder="1" applyAlignment="1">
      <alignment vertical="center"/>
    </xf>
    <xf numFmtId="0" fontId="240" fillId="218" borderId="215" xfId="40" applyNumberFormat="1" applyFont="1" applyFill="1" applyBorder="1" applyAlignment="1">
      <alignment vertical="center" wrapText="1"/>
    </xf>
    <xf numFmtId="0" fontId="240" fillId="109" borderId="215" xfId="40" applyNumberFormat="1" applyFont="1" applyFill="1" applyBorder="1" applyAlignment="1">
      <alignment vertical="center"/>
    </xf>
    <xf numFmtId="0" fontId="240" fillId="230" borderId="215" xfId="40" applyNumberFormat="1" applyFont="1" applyFill="1" applyBorder="1" applyAlignment="1">
      <alignment vertical="center"/>
    </xf>
    <xf numFmtId="0" fontId="240" fillId="231" borderId="215" xfId="40" applyNumberFormat="1" applyFont="1" applyFill="1" applyBorder="1" applyAlignment="1">
      <alignment vertical="center"/>
    </xf>
    <xf numFmtId="0" fontId="240" fillId="232" borderId="215" xfId="40" applyNumberFormat="1" applyFont="1" applyFill="1" applyBorder="1" applyAlignment="1">
      <alignment vertical="center"/>
    </xf>
    <xf numFmtId="0" fontId="240" fillId="233" borderId="215" xfId="40" applyNumberFormat="1" applyFont="1" applyFill="1" applyBorder="1" applyAlignment="1">
      <alignment vertical="center"/>
    </xf>
    <xf numFmtId="0" fontId="240" fillId="234" borderId="215" xfId="40" applyNumberFormat="1" applyFont="1" applyFill="1" applyBorder="1" applyAlignment="1">
      <alignment vertical="center"/>
    </xf>
    <xf numFmtId="0" fontId="240" fillId="235" borderId="215" xfId="40" applyNumberFormat="1" applyFont="1" applyFill="1" applyBorder="1" applyAlignment="1">
      <alignment vertical="center"/>
    </xf>
    <xf numFmtId="0" fontId="240" fillId="230" borderId="215" xfId="40" applyNumberFormat="1" applyFont="1" applyFill="1" applyBorder="1" applyAlignment="1">
      <alignment horizontal="center" vertical="center"/>
    </xf>
    <xf numFmtId="0" fontId="240" fillId="231" borderId="215" xfId="40" applyNumberFormat="1" applyFont="1" applyFill="1" applyBorder="1" applyAlignment="1">
      <alignment horizontal="center" vertical="center"/>
    </xf>
    <xf numFmtId="0" fontId="240" fillId="232" borderId="215" xfId="40" applyNumberFormat="1" applyFont="1" applyFill="1" applyBorder="1" applyAlignment="1">
      <alignment horizontal="center" vertical="center"/>
    </xf>
    <xf numFmtId="0" fontId="240" fillId="233" borderId="215" xfId="40" applyNumberFormat="1" applyFont="1" applyFill="1" applyBorder="1" applyAlignment="1">
      <alignment horizontal="center" vertical="center"/>
    </xf>
    <xf numFmtId="0" fontId="240" fillId="109" borderId="215" xfId="40" applyNumberFormat="1" applyFont="1" applyFill="1" applyBorder="1" applyAlignment="1">
      <alignment horizontal="center" vertical="center"/>
    </xf>
    <xf numFmtId="0" fontId="240" fillId="234" borderId="215" xfId="40" applyNumberFormat="1" applyFont="1" applyFill="1" applyBorder="1" applyAlignment="1">
      <alignment horizontal="center" vertical="center"/>
    </xf>
    <xf numFmtId="0" fontId="240" fillId="235" borderId="215" xfId="40" applyNumberFormat="1" applyFont="1" applyFill="1" applyBorder="1" applyAlignment="1">
      <alignment horizontal="center" vertical="center"/>
    </xf>
    <xf numFmtId="0" fontId="241" fillId="218" borderId="215" xfId="40" applyNumberFormat="1" applyFont="1" applyFill="1" applyBorder="1" applyAlignment="1">
      <alignment horizontal="center" vertical="center"/>
    </xf>
    <xf numFmtId="0" fontId="240" fillId="236" borderId="106" xfId="40" applyNumberFormat="1" applyFont="1" applyFill="1" applyBorder="1" applyAlignment="1">
      <alignment vertical="center" wrapText="1"/>
    </xf>
    <xf numFmtId="0" fontId="242" fillId="236" borderId="106" xfId="40" applyNumberFormat="1" applyFont="1" applyFill="1" applyBorder="1" applyAlignment="1">
      <alignment vertical="center" wrapText="1"/>
    </xf>
    <xf numFmtId="0" fontId="241" fillId="218" borderId="217" xfId="40" applyNumberFormat="1" applyFont="1" applyFill="1" applyBorder="1" applyAlignment="1">
      <alignment vertical="center" wrapText="1"/>
    </xf>
    <xf numFmtId="0" fontId="241" fillId="218" borderId="218" xfId="40" applyNumberFormat="1" applyFont="1" applyFill="1" applyBorder="1" applyAlignment="1">
      <alignment vertical="center" wrapText="1"/>
    </xf>
    <xf numFmtId="0" fontId="240" fillId="218" borderId="219" xfId="40" applyNumberFormat="1" applyFont="1" applyFill="1" applyBorder="1" applyAlignment="1">
      <alignment vertical="center"/>
    </xf>
    <xf numFmtId="0" fontId="242" fillId="236" borderId="220" xfId="40" applyNumberFormat="1" applyFont="1" applyFill="1" applyBorder="1" applyAlignment="1">
      <alignment vertical="center" wrapText="1"/>
    </xf>
    <xf numFmtId="0" fontId="240" fillId="109" borderId="221" xfId="40" applyNumberFormat="1" applyFont="1" applyFill="1" applyBorder="1" applyAlignment="1">
      <alignment vertical="center"/>
    </xf>
    <xf numFmtId="0" fontId="242" fillId="109" borderId="220" xfId="40" applyNumberFormat="1" applyFont="1" applyFill="1" applyBorder="1" applyAlignment="1">
      <alignment vertical="center" wrapText="1"/>
    </xf>
    <xf numFmtId="0" fontId="242" fillId="236" borderId="222" xfId="40" applyNumberFormat="1" applyFont="1" applyFill="1" applyBorder="1" applyAlignment="1">
      <alignment vertical="center" wrapText="1"/>
    </xf>
    <xf numFmtId="0" fontId="242" fillId="236" borderId="223" xfId="40" applyNumberFormat="1" applyFont="1" applyFill="1" applyBorder="1" applyAlignment="1">
      <alignment vertical="center" wrapText="1"/>
    </xf>
    <xf numFmtId="0" fontId="240" fillId="109" borderId="224" xfId="40" applyNumberFormat="1" applyFont="1" applyFill="1" applyBorder="1" applyAlignment="1">
      <alignment vertical="center"/>
    </xf>
    <xf numFmtId="0" fontId="240" fillId="109" borderId="221" xfId="40" applyNumberFormat="1" applyFont="1" applyFill="1" applyBorder="1" applyAlignment="1">
      <alignment horizontal="center" vertical="center"/>
    </xf>
    <xf numFmtId="0" fontId="240" fillId="109" borderId="224" xfId="40" applyNumberFormat="1" applyFont="1" applyFill="1" applyBorder="1" applyAlignment="1">
      <alignment horizontal="center" vertical="center"/>
    </xf>
    <xf numFmtId="0" fontId="248" fillId="109" borderId="106" xfId="40" applyNumberFormat="1" applyFont="1" applyFill="1" applyBorder="1" applyAlignment="1">
      <alignment vertical="center"/>
    </xf>
    <xf numFmtId="0" fontId="242" fillId="223" borderId="106" xfId="40" applyNumberFormat="1" applyFont="1" applyFill="1" applyBorder="1" applyAlignment="1">
      <alignment vertical="center" wrapText="1"/>
    </xf>
    <xf numFmtId="0" fontId="240" fillId="223" borderId="106" xfId="40" applyNumberFormat="1" applyFont="1" applyFill="1" applyBorder="1" applyAlignment="1">
      <alignment vertical="center"/>
    </xf>
    <xf numFmtId="0" fontId="240" fillId="223" borderId="106" xfId="40" applyNumberFormat="1" applyFont="1" applyFill="1" applyBorder="1" applyAlignment="1">
      <alignment horizontal="center" vertical="center"/>
    </xf>
    <xf numFmtId="0" fontId="241" fillId="222" borderId="212" xfId="40" applyNumberFormat="1" applyFont="1" applyFill="1" applyBorder="1" applyAlignment="1">
      <alignment vertical="center" wrapText="1"/>
    </xf>
    <xf numFmtId="0" fontId="241" fillId="222" borderId="213" xfId="40" applyNumberFormat="1" applyFont="1" applyFill="1" applyBorder="1" applyAlignment="1">
      <alignment vertical="center" wrapText="1"/>
    </xf>
    <xf numFmtId="0" fontId="241" fillId="222" borderId="214" xfId="40" applyNumberFormat="1" applyFont="1" applyFill="1" applyBorder="1" applyAlignment="1">
      <alignment vertical="center" wrapText="1"/>
    </xf>
    <xf numFmtId="0" fontId="242" fillId="218" borderId="106" xfId="40" applyNumberFormat="1" applyFont="1" applyFill="1" applyBorder="1" applyAlignment="1">
      <alignment vertical="center" wrapText="1"/>
    </xf>
    <xf numFmtId="0" fontId="240" fillId="109" borderId="106" xfId="40" applyNumberFormat="1" applyFont="1" applyFill="1" applyBorder="1" applyAlignment="1">
      <alignment vertical="top" wrapText="1"/>
    </xf>
    <xf numFmtId="0" fontId="242" fillId="109" borderId="106" xfId="40" applyNumberFormat="1" applyFont="1" applyFill="1" applyBorder="1" applyAlignment="1">
      <alignment vertical="top" wrapText="1"/>
    </xf>
    <xf numFmtId="0" fontId="240" fillId="109" borderId="225" xfId="40" applyNumberFormat="1" applyFont="1" applyFill="1" applyBorder="1" applyAlignment="1">
      <alignment vertical="top" wrapText="1"/>
    </xf>
    <xf numFmtId="0" fontId="242" fillId="109" borderId="226" xfId="40" applyNumberFormat="1" applyFont="1" applyFill="1" applyBorder="1" applyAlignment="1">
      <alignment vertical="top" wrapText="1"/>
    </xf>
    <xf numFmtId="0" fontId="240" fillId="109" borderId="226" xfId="40" applyNumberFormat="1" applyFont="1" applyFill="1" applyBorder="1" applyAlignment="1">
      <alignment vertical="top" wrapText="1"/>
    </xf>
    <xf numFmtId="0" fontId="242" fillId="109" borderId="227" xfId="40" applyNumberFormat="1" applyFont="1" applyFill="1" applyBorder="1" applyAlignment="1">
      <alignment vertical="top" wrapText="1"/>
    </xf>
    <xf numFmtId="0" fontId="240" fillId="223" borderId="225" xfId="40" applyNumberFormat="1" applyFont="1" applyFill="1" applyBorder="1" applyAlignment="1">
      <alignment vertical="top" wrapText="1"/>
    </xf>
    <xf numFmtId="0" fontId="242" fillId="223" borderId="226" xfId="40" applyNumberFormat="1" applyFont="1" applyFill="1" applyBorder="1" applyAlignment="1">
      <alignment vertical="top" wrapText="1"/>
    </xf>
    <xf numFmtId="0" fontId="240" fillId="223" borderId="226" xfId="40" applyNumberFormat="1" applyFont="1" applyFill="1" applyBorder="1" applyAlignment="1">
      <alignment vertical="top" wrapText="1"/>
    </xf>
    <xf numFmtId="0" fontId="242" fillId="223" borderId="227" xfId="40" applyNumberFormat="1" applyFont="1" applyFill="1" applyBorder="1" applyAlignment="1">
      <alignment vertical="top" wrapText="1"/>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1665">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patternType="solid">
          <bgColor rgb="FFFBE7D3"/>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bgColor rgb="FFFBE7D3"/>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font>
      <fill>
        <patternFill patternType="solid">
          <bgColor rgb="FFE6B9B8"/>
        </patternFill>
      </fill>
    </dxf>
    <dxf>
      <font>
        <b/>
      </font>
      <fill>
        <patternFill patternType="solid">
          <bgColor rgb="FFE6B9B8"/>
        </patternFill>
      </fill>
    </dxf>
    <dxf>
      <font>
        <b/>
        <color rgb="FF000000"/>
      </font>
      <fill>
        <patternFill patternType="solid">
          <bgColor rgb="FFFF0000"/>
        </patternFill>
      </fill>
    </dxf>
    <dxf>
      <font>
        <b/>
      </font>
      <fill>
        <patternFill patternType="solid">
          <bgColor rgb="FF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CiblesMetier" Type="http://schemas.openxmlformats.org/officeDocument/2006/relationships/worksheet" Target="/xl/worksheets/sheet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32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officialLogoINR20261007" Type="http://schemas.openxmlformats.org/officeDocument/2006/relationships/image" Target="/xl/media/inr20261007_image.png"/><Relationship Id="bandeauCoedition" Type="http://schemas.openxmlformats.org/officeDocument/2006/relationships/image" Target="/xl/media/bandeau-coedition.png"/></Relationships>
</file>

<file path=xl/drawings/_rels/drawing2.xml.rels><?xml version='1.0' encoding='UTF-8' standalone='yes'?>
<Relationships xmlns="http://schemas.openxmlformats.org/package/2006/relationships"><Relationship Id="officialLogoINR20261007" Type="http://schemas.openxmlformats.org/officeDocument/2006/relationships/image" Target="/xl/media/inr20261007_image.png"/><Relationship Id="bandeauCoedition" Type="http://schemas.openxmlformats.org/officeDocument/2006/relationships/image" Target="/xl/media/bandeau-coedition.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_rels/inr20261007_drawing1.xml.rels><?xml version="1.0" encoding="UTF-8" standalone="yes"?><Relationships xmlns="http://schemas.openxmlformats.org/package/2006/relationships"><Relationship Id="R34c26571c7014388" Type="http://schemas.openxmlformats.org/officeDocument/2006/relationships/image" Target="/xl/media/inr20261007_image.png"/><Relationship Id="bandeauCoedition" Type="http://schemas.openxmlformats.org/officeDocument/2006/relationships/image" Target="/xl/media/bandeau-coedition.png"/></Relationships>
</file>

<file path=xl/drawings/_rels/inr20261007_drawing3.xml.rels><?xml version='1.0' encoding='UTF-8' standalone='yes'?>
<Relationships xmlns="http://schemas.openxmlformats.org/package/2006/relationships"><Relationship Type="http://schemas.openxmlformats.org/officeDocument/2006/relationships/image" Target="/xl/media/inr20261007_image.png" Id="R1641b25ecc3940ba"/><Relationship Id="bandeauCoedition" Type="http://schemas.openxmlformats.org/officeDocument/2006/relationships/image" Target="/xl/media/bandeau-coedition.png"/></Relationships>
</file>

<file path=xl/drawings/_rels/inr20261007_drawing4.xml.rels><?xml version='1.0' encoding='UTF-8' standalone='yes'?>
<Relationships xmlns="http://schemas.openxmlformats.org/package/2006/relationships"><Relationship Type="http://schemas.openxmlformats.org/officeDocument/2006/relationships/image" Target="/xl/media/inr20261007_image.png" Id="R34c26571c7014388"/><Relationship Id="bandeauCoedition" Type="http://schemas.openxmlformats.org/officeDocument/2006/relationships/image" Target="/xl/media/bandeau-coedition.png"/></Relationships>
</file>

<file path=xl/drawings/_rels/inr20261007_drawing5.xml.rels><?xml version='1.0' encoding='UTF-8' standalone='yes'?>
<Relationships xmlns="http://schemas.openxmlformats.org/package/2006/relationships"><Relationship Type="http://schemas.openxmlformats.org/officeDocument/2006/relationships/image" Target="/xl/media/inr20261007_image.png" Id="Rd0f8b23f0a7a4abc"/><Relationship Id="bandeauCoedition" Type="http://schemas.openxmlformats.org/officeDocument/2006/relationships/image" Target="/xl/media/bandeau-coedition.png"/></Relationships>
</file>

<file path=xl/drawings/_rels/inr20261007_drawing6.xml.rels><?xml version='1.0' encoding='UTF-8' standalone='yes'?>
<Relationships xmlns="http://schemas.openxmlformats.org/package/2006/relationships"><Relationship Type="http://schemas.openxmlformats.org/officeDocument/2006/relationships/image" Target="/xl/media/inr20261007_image.png" Id="Rf6467eda94464bb5"/><Relationship Id="bandeauCoedition" Type="http://schemas.openxmlformats.org/officeDocument/2006/relationships/image" Target="/xl/media/bandeau-coedition.png"/></Relationships>
</file>

<file path=xl/drawings/_rels/inr20261007_drawing7.xml.rels><?xml version='1.0' encoding='UTF-8' standalone='yes'?>
<Relationships xmlns="http://schemas.openxmlformats.org/package/2006/relationships"><Relationship Type="http://schemas.openxmlformats.org/officeDocument/2006/relationships/image" Target="/xl/media/inr20261007_image.png" Id="R5e03a6a319674c4e"/><Relationship Id="bandeauCoedition" Type="http://schemas.openxmlformats.org/officeDocument/2006/relationships/image" Target="/xl/media/bandeau-coedition.png"/></Relationships>
</file>

<file path=xl/drawings/_rels/inr20261007_drawing8.xml.rels><?xml version='1.0' encoding='UTF-8' standalone='yes'?>
<Relationships xmlns="http://schemas.openxmlformats.org/package/2006/relationships"><Relationship Type="http://schemas.openxmlformats.org/officeDocument/2006/relationships/image" Target="/xl/media/inr20261007_image.png" Id="R009525bc9d6e404c"/><Relationship Id="bandeauCoedition" Type="http://schemas.openxmlformats.org/officeDocument/2006/relationships/image" Target="/xl/media/bandeau-coedition.png"/></Relationships>
</file>

<file path=xl/drawings/_rels/inr20261007_drawing9.xml.rels><?xml version='1.0' encoding='UTF-8' standalone='yes'?>
<Relationships xmlns="http://schemas.openxmlformats.org/package/2006/relationships"><Relationship Type="http://schemas.openxmlformats.org/officeDocument/2006/relationships/image" Target="/xl/media/inr20261007_image.png" Id="R8c85558606f24767"/><Relationship Id="bandeauCoedition" Type="http://schemas.openxmlformats.org/officeDocument/2006/relationships/image" Target="/xl/media/bandeau-coedition.png"/></Relationships>
</file>

<file path=xl/drawings/_rels/inr20261007_drawing10.xml.rels><?xml version='1.0' encoding='UTF-8' standalone='yes'?>
<Relationships xmlns="http://schemas.openxmlformats.org/package/2006/relationships"><Relationship Type="http://schemas.openxmlformats.org/officeDocument/2006/relationships/image" Target="/xl/media/inr20261007_image.png" Id="R4133cfea2974438b"/><Relationship Type="http://schemas.openxmlformats.org/officeDocument/2006/relationships/chart" Target="/xl/drawings/charts/inr20261007_chart1.xml" Id="R1e9ea38c3cdb4831"/><Relationship Type="http://schemas.openxmlformats.org/officeDocument/2006/relationships/chart" Target="/xl/drawings/charts/inr20261007_chart2.xml" Id="Rf6fef42f66cd425f"/><Relationship Id="bandeauCoedition" Type="http://schemas.openxmlformats.org/officeDocument/2006/relationships/image" Target="/xl/media/bandeau-coedition.png"/></Relationships>
</file>

<file path=xl/drawings/_rels/inr20261007_drawing11.xml.rels><?xml version='1.0' encoding='UTF-8' standalone='yes'?>
<Relationships xmlns="http://schemas.openxmlformats.org/package/2006/relationships"><Relationship Type="http://schemas.openxmlformats.org/officeDocument/2006/relationships/image" Target="/xl/media/inr20261007_image.png" Id="R88a94acdc061494d"/><Relationship Id="bandeauCoedition" Type="http://schemas.openxmlformats.org/officeDocument/2006/relationships/image" Target="/xl/media/bandeau-coedition.png"/></Relationships>
</file>

<file path=xl/drawings/_rels/summary20261007_drawing3.xml.rels><?xml version='1.0' encoding='UTF-8' standalone='yes'?>
<Relationships xmlns="http://schemas.openxmlformats.org/package/2006/relationships"><Relationship Type="http://schemas.openxmlformats.org/officeDocument/2006/relationships/chart" Target="/xl/drawings/charts/summary20261007_chart1.xml" Id="R38dbbba435e943c3"/></Relationships>
</file>

<file path=xl/drawings/charts/inr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Part des cibles évaluées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Part évaluée</c:v>
          </c:tx>
          <c:spPr>
            <a:solidFill xmlns:a="http://schemas.openxmlformats.org/drawingml/2006/main">
              <a:srgbClr val="4BACC6"/>
            </a:solidFill>
          </c:spPr>
          <c:cat>
            <c:strRef>
              <c:f>'Résultats synthèse'!$B$11:$B$15</c:f>
              <c:strCache>
                <c:ptCount val="0"/>
              </c:strCache>
            </c:strRef>
          </c:cat>
          <c:val>
            <c:numRef>
              <c:f>'Résultats synthèse'!$F$11:$F$15</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ax val="1"/>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inr20261007_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Cibles urgentes et prioritaires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Urgentes</c:v>
          </c:tx>
          <c:spPr>
            <a:solidFill xmlns:a="http://schemas.openxmlformats.org/drawingml/2006/main">
              <a:srgbClr val="FF0000"/>
            </a:solidFill>
          </c:spPr>
          <c:cat>
            <c:strRef>
              <c:f>'Résultats synthèse'!$B$11:$B$15</c:f>
              <c:strCache>
                <c:ptCount val="0"/>
              </c:strCache>
            </c:strRef>
          </c:cat>
          <c:val>
            <c:numRef>
              <c:f>'Résultats synthèse'!$H$11:$H$15</c:f>
              <c:numCache>
                <c:formatCode>0</c:formatCode>
                <c:ptCount val="0"/>
              </c:numCache>
            </c:numRef>
          </c:val>
        </c:ser>
        <c:ser>
          <c:idx val="1"/>
          <c:order val="1"/>
          <c:tx>
            <c:v>Prioritaires</c:v>
          </c:tx>
          <c:spPr>
            <a:solidFill xmlns:a="http://schemas.openxmlformats.org/drawingml/2006/main">
              <a:srgbClr val="FFC000"/>
            </a:solidFill>
          </c:spPr>
          <c:cat>
            <c:strRef>
              <c:f>'Résultats synthèse'!$B$11:$B$15</c:f>
              <c:strCache>
                <c:ptCount val="0"/>
              </c:strCache>
            </c:strRef>
          </c:cat>
          <c:val>
            <c:numRef>
              <c:f>'Résultats synthèse'!$I$11:$I$15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majorUnit val="1"/>
      </c:valAx>
    </c:plotArea>
    <c:legend>
      <c:legendPos val="b"/>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summary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Répartition des 32 cibles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Cibles</c:v>
          </c:tx>
          <c:spPr>
            <a:solidFill xmlns:a="http://schemas.openxmlformats.org/drawingml/2006/main">
              <a:srgbClr val="5B8C76"/>
            </a:solidFill>
          </c:spPr>
          <c:cat>
            <c:strRef>
              <c:f>'Résultats synthèse'!$B$28:$B$35</c:f>
              <c:strCache>
                <c:ptCount val="0"/>
              </c:strCache>
            </c:strRef>
          </c:cat>
          <c:val>
            <c:numRef>
              <c:f>'Résultats synthèse'!$C$28:$C$35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mlns:a="http://schemas.openxmlformats.org/drawingml/2006/main">
  <xdr:twoCellAnchor>
    <xdr:from>
      <xdr:col>0</xdr:col>
      <xdr:colOff>19050</xdr:colOff>
      <xdr:row>4</xdr:row>
      <xdr:rowOff>0</xdr:rowOff>
    </xdr:from>
    <xdr:to>
      <xdr:col>12</xdr:col>
      <xdr:colOff>390525</xdr:colOff>
      <xdr:row>65</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VERSION COLLECTIVITÉS TERRITORIALES</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r>
            <a:rPr lang="fr-CA" sz="1100">
              <a:solidFill>
                <a:schemeClr val="dk1"/>
              </a:solidFill>
              <a:effectLst/>
              <a:latin typeface="+mn-lt"/>
              <a:ea typeface="+mn-ea"/>
              <a:cs typeface="+mn-cs"/>
            </a:rPr>
            <a:t>Version « Collectivités territoriales » : LaNum Pays Basque l'a conçue pour les publics qu'elle accompagne dans le projet européen NÉONUM, à partir de la GPC-ONR ; l'INR la co-édite. Les feuilles de résultats ne reprennent pas les cibles de la feuille « Cibles métier ».</a:t>
          </a:r>
        </a:p>
        <a:p>
          <a:endParaRPr lang="fr-CA" sz="1100" b="1">
            <a:solidFill>
              <a:schemeClr val="dk1"/>
            </a:solidFill>
            <a:effectLst/>
            <a:latin typeface="+mn-lt"/>
            <a:ea typeface="+mn-ea"/>
            <a:cs typeface="+mn-cs"/>
          </a:endParaRPr>
        </a:p>
      </xdr:txBody>
    </xdr:sp>
    <xdr:clientData/>
  </xdr:twoCellAnchor>
  <xdr:oneCellAnchor>
    <xdr:from>
      <xdr:col>4</xdr:col>
      <xdr:colOff>24037</xdr:colOff>
      <xdr:row>4</xdr:row>
      <xdr:rowOff>54000</xdr:rowOff>
    </xdr:from>
    <xdr:ext cx="3600000" cy="540000"/>
    <xdr:pic>
      <xdr:nvPicPr>
        <xdr:cNvPr id="3" name="Logos INR, LaNum Pays Basque et NÉONUM"/>
        <xdr:cNvPicPr>
          <a:picLocks noChangeAspect="1"/>
        </xdr:cNvPicPr>
      </xdr:nvPicPr>
      <xdr:blipFill>
        <a:blip xmlns:r="http://schemas.openxmlformats.org/officeDocument/2006/relationships" r:embed="bandeauCoedition"/>
        <a:stretch>
          <a:fillRect/>
        </a:stretch>
      </xdr:blipFill>
      <xdr:spPr>
        <a:prstGeom prst="rect"/>
      </xdr:spPr>
    </xdr:pic>
    <xdr:clientData/>
  </xdr:oneCellAnchor>
</xdr:wsDr>
</file>

<file path=xl/drawings/drawing2.xml><?xml version="1.0" encoding="utf-8"?>
<xdr:wsDr xmlns:xdr="http://schemas.openxmlformats.org/drawingml/2006/spreadsheetDrawing" xmlns:a="http://schemas.openxmlformats.org/drawingml/2006/main">
  <xdr:twoCellAnchor>
    <xdr:from>
      <xdr:col>0</xdr:col>
      <xdr:colOff>28574</xdr:colOff>
      <xdr:row>4</xdr:row>
      <xdr:rowOff>28572</xdr:rowOff>
    </xdr:from>
    <xdr:to>
      <xdr:col>11</xdr:col>
      <xdr:colOff>761999</xdr:colOff>
      <xdr:row>163</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Identifier les compétences internes et externes à mobiliser pour agir sur chaque cible.</a:t>
          </a:r>
          <a:r>
            <a:rPr lang="fr-CA" sz="1200" b="0" i="0" baseline="0">
              <a:solidFill>
                <a:schemeClr val="dk1"/>
              </a:solidFill>
              <a:effectLst/>
              <a:latin typeface="+mn-lt"/>
              <a:ea typeface="+mn-ea"/>
              <a:cs typeface="+mn-cs"/>
            </a:rPr>
            <a:t/>
          </a:r>
          <a:r>
            <a:rPr lang="fr-CA" sz="1200" b="0" i="0">
              <a:solidFill>
                <a:schemeClr val="dk1"/>
              </a:solidFill>
              <a:effectLst/>
              <a:latin typeface="+mn-lt"/>
              <a:ea typeface="+mn-ea"/>
              <a:cs typeface="+mn-cs"/>
            </a:rPr>
            <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Réaliser cette analyse avec les équipes concernées, en tenant compte des ressources et des partenaires disponibles. Ce choix ne modifie pas le niveau de priorité.</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valeurs de 1 à 4 identifient les compétences à mobiliser.</a:t>
          </a:r>
          <a:r>
            <a:rPr lang="fr-CA" sz="1200" b="0" i="0">
              <a:solidFill>
                <a:sysClr val="windowText" lastClr="000000"/>
              </a:solidFill>
              <a:effectLst/>
              <a:latin typeface="+mn-lt"/>
              <a:ea typeface="+mn-ea"/>
              <a:cs typeface="+mn-cs"/>
            </a:rPr>
            <a:t/>
          </a:r>
        </a:p>
        <a:p>
          <a:r>
            <a:rPr lang="fr-CA" sz="1200" b="0" i="0">
              <a:solidFill>
                <a:sysClr val="windowText" lastClr="000000"/>
              </a:solidFill>
              <a:effectLst/>
              <a:latin typeface="+mn-lt"/>
              <a:ea typeface="+mn-ea"/>
              <a:cs typeface="+mn-cs"/>
            </a:rPr>
            <a:t>1 - Équipe NR / RSE</a:t>
          </a:r>
        </a:p>
        <a:p>
          <a:r>
            <a:rPr lang="fr-CA" sz="1200" b="0" i="0">
              <a:solidFill>
                <a:sysClr val="windowText" lastClr="000000"/>
              </a:solidFill>
              <a:effectLst/>
              <a:latin typeface="+mn-lt"/>
              <a:ea typeface="+mn-ea"/>
              <a:cs typeface="+mn-cs"/>
            </a:rPr>
            <a:t>2 - NR / RSE et DSI</a:t>
          </a:r>
        </a:p>
        <a:p>
          <a:r>
            <a:rPr lang="fr-CA" sz="1200" b="0" i="0">
              <a:solidFill>
                <a:sysClr val="windowText" lastClr="000000"/>
              </a:solidFill>
              <a:effectLst/>
              <a:latin typeface="+mn-lt"/>
              <a:ea typeface="+mn-ea"/>
              <a:cs typeface="+mn-cs"/>
            </a:rPr>
            <a:t>3 - NR / RSE et équipe hors DSI ; 4 - Intervention extérieure</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oneCellAnchor>
    <xdr:from>
      <xdr:col>0</xdr:col>
      <xdr:colOff>120014</xdr:colOff>
      <xdr:row>0</xdr:row>
      <xdr:rowOff>54000</xdr:rowOff>
    </xdr:from>
    <xdr:ext cx="3873146" cy="580972"/>
    <xdr:pic>
      <xdr:nvPicPr>
        <xdr:cNvPr id="3" name="Logos INR, LaNum Pays Basque et NÉONUM"/>
        <xdr:cNvPicPr>
          <a:picLocks noChangeAspect="1"/>
        </xdr:cNvPicPr>
      </xdr:nvPicPr>
      <xdr:blipFill>
        <a:blip xmlns:r="http://schemas.openxmlformats.org/officeDocument/2006/relationships" r:embed="bandeauCoedition"/>
        <a:stretch>
          <a:fillRect/>
        </a:stretch>
      </xdr:blipFill>
      <xdr:spPr>
        <a:prstGeom prst="rect"/>
      </xdr:spPr>
    </xdr:pic>
    <xdr:clientData/>
  </xdr:one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inr20261007_drawing1.xml><?xml version="1.0" encoding="utf-8"?>
<xdr:wsDr xmlns:xdr="http://schemas.openxmlformats.org/drawingml/2006/spreadsheetDrawing">
  <xdr:oneCellAnchor>
    <xdr:from>
      <xdr:col>21</xdr:col>
      <xdr:colOff>54002</xdr:colOff>
      <xdr:row>1</xdr:row>
      <xdr:rowOff>117399</xdr:rowOff>
    </xdr:from>
    <xdr:ext cx="3006673" cy="451001"/>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3.xml><?xml version="1.0" encoding="utf-8"?>
<xdr:wsDr xmlns:xdr="http://schemas.openxmlformats.org/drawingml/2006/spreadsheetDrawing">
  <xdr:oneCellAnchor>
    <xdr:from>
      <xdr:col>2</xdr:col>
      <xdr:colOff>4235425</xdr:colOff>
      <xdr:row>0</xdr:row>
      <xdr:rowOff>55562</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4.xml><?xml version="1.0" encoding="utf-8"?>
<xdr:wsDr xmlns:xdr="http://schemas.openxmlformats.org/drawingml/2006/spreadsheetDrawing">
  <xdr:oneCellAnchor>
    <xdr:from>
      <xdr:col>21</xdr:col>
      <xdr:colOff>54002</xdr:colOff>
      <xdr:row>1</xdr:row>
      <xdr:rowOff>117399</xdr:rowOff>
    </xdr:from>
    <xdr:ext cx="3006673" cy="451001"/>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5.xml><?xml version="1.0" encoding="utf-8"?>
<xdr:wsDr xmlns:xdr="http://schemas.openxmlformats.org/drawingml/2006/spreadsheetDrawing">
  <xdr:oneCellAnchor>
    <xdr:from>
      <xdr:col>21</xdr:col>
      <xdr:colOff>54002</xdr:colOff>
      <xdr:row>1</xdr:row>
      <xdr:rowOff>117399</xdr:rowOff>
    </xdr:from>
    <xdr:ext cx="3006673" cy="451001"/>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6.xml><?xml version="1.0" encoding="utf-8"?>
<xdr:wsDr xmlns:xdr="http://schemas.openxmlformats.org/drawingml/2006/spreadsheetDrawing">
  <xdr:oneCellAnchor>
    <xdr:from>
      <xdr:col>21</xdr:col>
      <xdr:colOff>54002</xdr:colOff>
      <xdr:row>1</xdr:row>
      <xdr:rowOff>117399</xdr:rowOff>
    </xdr:from>
    <xdr:ext cx="3006673" cy="451001"/>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7.xml><?xml version="1.0" encoding="utf-8"?>
<xdr:wsDr xmlns:xdr="http://schemas.openxmlformats.org/drawingml/2006/spreadsheetDrawing">
  <xdr:oneCellAnchor>
    <xdr:from>
      <xdr:col>21</xdr:col>
      <xdr:colOff>54002</xdr:colOff>
      <xdr:row>1</xdr:row>
      <xdr:rowOff>117399</xdr:rowOff>
    </xdr:from>
    <xdr:ext cx="3006673" cy="451001"/>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8.xml><?xml version="1.0" encoding="utf-8"?>
<xdr:wsDr xmlns:xdr="http://schemas.openxmlformats.org/drawingml/2006/spreadsheetDrawing">
  <xdr:oneCellAnchor>
    <xdr:from>
      <xdr:col>21</xdr:col>
      <xdr:colOff>54002</xdr:colOff>
      <xdr:row>1</xdr:row>
      <xdr:rowOff>117399</xdr:rowOff>
    </xdr:from>
    <xdr:ext cx="3006673" cy="451001"/>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9.xml><?xml version="1.0" encoding="utf-8"?>
<xdr:wsDr xmlns:xdr="http://schemas.openxmlformats.org/drawingml/2006/spreadsheetDrawing">
  <xdr:oneCellAnchor>
    <xdr:from>
      <xdr:col>2</xdr:col>
      <xdr:colOff>1273150</xdr:colOff>
      <xdr:row>2</xdr:row>
      <xdr:rowOff>2076425</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10.xml><?xml version="1.0" encoding="utf-8"?>
<xdr:wsDr xmlns:xdr="http://schemas.openxmlformats.org/drawingml/2006/spreadsheetDrawing">
  <xdr:twoCellAnchor>
    <xdr:from>
      <xdr:col>1</xdr:col>
      <xdr:colOff>0</xdr:colOff>
      <xdr:row>21</xdr:row>
      <xdr:rowOff>0</xdr:rowOff>
    </xdr:from>
    <xdr:to>
      <xdr:col>7</xdr:col>
      <xdr:colOff>0</xdr:colOff>
      <xdr:row>34</xdr:row>
      <xdr:rowOff>0</xdr:rowOff>
    </xdr:to>
    <xdr:graphicFrame macro="">
      <xdr:nvGraphicFramePr>
        <xdr:cNvPr id="1" name="Couverture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e9ea38c3cdb4831"/>
        </a:graphicData>
      </a:graphic>
    </xdr:graphicFrame>
    <xdr:clientData/>
  </xdr:twoCellAnchor>
  <xdr:twoCellAnchor>
    <xdr:from>
      <xdr:col>7</xdr:col>
      <xdr:colOff>0</xdr:colOff>
      <xdr:row>21</xdr:row>
      <xdr:rowOff>0</xdr:rowOff>
    </xdr:from>
    <xdr:to>
      <xdr:col>13</xdr:col>
      <xdr:colOff>0</xdr:colOff>
      <xdr:row>34</xdr:row>
      <xdr:rowOff>0</xdr:rowOff>
    </xdr:to>
    <xdr:graphicFrame macro="">
      <xdr:nvGraphicFramePr>
        <xdr:cNvPr id="2" name="Priorités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fef42f66cd425f"/>
        </a:graphicData>
      </a:graphic>
    </xdr:graphicFrame>
    <xdr:clientData/>
  </xdr:twoCellAnchor>
  <xdr:oneCellAnchor>
    <xdr:from>
      <xdr:col>6</xdr:col>
      <xdr:colOff>483967</xdr:colOff>
      <xdr:row>1</xdr:row>
      <xdr:rowOff>54000</xdr:rowOff>
    </xdr:from>
    <xdr:ext cx="3005333" cy="450800"/>
    <xdr:pic>
      <xdr:nvPicPr>
        <xdr:cNvPr id="3"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11.xml><?xml version="1.0" encoding="utf-8"?>
<xdr:wsDr xmlns:xdr="http://schemas.openxmlformats.org/drawingml/2006/spreadsheetDrawing">
  <xdr:oneCellAnchor>
    <xdr:from>
      <xdr:col>0</xdr:col>
      <xdr:colOff>66674</xdr:colOff>
      <xdr:row>32</xdr:row>
      <xdr:rowOff>142874</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summary20261007_drawing3.xml><?xml version="1.0" encoding="utf-8"?>
<xdr:wsDr xmlns:xdr="http://schemas.openxmlformats.org/drawingml/2006/spreadsheetDrawing">
  <xdr:twoCellAnchor>
    <xdr:from>
      <xdr:col>4</xdr:col>
      <xdr:colOff>0</xdr:colOff>
      <xdr:row>26</xdr:row>
      <xdr:rowOff>0</xdr:rowOff>
    </xdr:from>
    <xdr:to>
      <xdr:col>13</xdr:col>
      <xdr:colOff>0</xdr:colOff>
      <xdr:row>43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8dbbba435e943c3"/>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logoINR20261007" Type="http://schemas.openxmlformats.org/officeDocument/2006/relationships/drawing" Target="/xl/drawings/inr20261007_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logoINR20261007" Type="http://schemas.openxmlformats.org/officeDocument/2006/relationships/drawing" Target="/xl/drawings/inr20261007_drawing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logoINR20261007" Type="http://schemas.openxmlformats.org/officeDocument/2006/relationships/drawing" Target="/xl/drawings/inr20261007_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 Id="logoINR20261007" Type="http://schemas.openxmlformats.org/officeDocument/2006/relationships/drawing" Target="/xl/drawings/inr20261007_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 Id="logoINR20261007" Type="http://schemas.openxmlformats.org/officeDocument/2006/relationships/drawing" Target="/xl/drawings/inr20261007_drawing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 Id="logoINR20261007" Type="http://schemas.openxmlformats.org/officeDocument/2006/relationships/drawing" Target="/xl/drawings/inr20261007_drawing8.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 Id="logoINR20261007" Type="http://schemas.openxmlformats.org/officeDocument/2006/relationships/drawing" Target="/xl/drawings/inr20261007_drawing9.xml"/></Relationships>
</file>

<file path=xl/worksheets/_rels/sheet11.xml.rels><?xml version='1.0' encoding='UTF-8' standalone='yes'?>
<Relationships xmlns="http://schemas.openxmlformats.org/package/2006/relationships"><Relationship Id="logoINR20261007" Type="http://schemas.openxmlformats.org/officeDocument/2006/relationships/drawing" Target="/xl/drawings/inr20261007_drawing10.xml"/></Relationships>
</file>

<file path=xl/worksheets/_rels/sheet12.xml.rels><?xml version='1.0' encoding='UTF-8' standalone='yes'?>
<Relationships xmlns="http://schemas.openxmlformats.org/package/2006/relationships"><Relationship Id="logoINR20261007" Type="http://schemas.openxmlformats.org/officeDocument/2006/relationships/drawing" Target="/xl/drawings/inr20261007_drawing11.xml"/></Relationships>
</file>

<file path=xl/worksheets/_rels/sheet13.xml.rels><?xml version="1.0" encoding="UTF-8" standalone="yes"?><Relationships xmlns="http://schemas.openxmlformats.org/package/2006/relationships"><Relationship Id="rId3" Type="http://schemas.openxmlformats.org/officeDocument/2006/relationships/comments" Target="/xl/comments7.xml"/><Relationship Id="rId2" Type="http://schemas.openxmlformats.org/officeDocument/2006/relationships/vmlDrawing" Target="/xl/drawings/vmlDrawing7.vml"/><Relationship Id="rId1" Type="http://schemas.openxmlformats.org/officeDocument/2006/relationships/printerSettings" Target="/xl/printerSettings/printerSettings10.bin"/><Relationship Id="logoINR20261007" Type="http://schemas.openxmlformats.org/officeDocument/2006/relationships/drawing" Target="/xl/drawings/inr20261007_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59"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drawing r:id="logoINR20261007"/>
</worksheet>
</file>

<file path=xl/worksheets/sheet4.xml><?xml version="1.0" encoding="utf-8"?>
<x:worksheet xmlns:x="http://schemas.openxmlformats.org/spreadsheetml/2006/main">
  <x:sheetPr>
    <x:tabColor theme="4"/>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16.6640625" style="866" hidden="1" customWidth="1"/>
    <x:col min="13" max="13" width="17.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8.6640625" style="871" hidden="1" customWidth="1"/>
    <x:col min="24" max="24" width="78.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1 : Sobriété · Utiliser les outils numériques pour consommer moins de ressources et réduire leurs effets sur l’environnement</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731" t="str">
        <x:v>Cibles à évaluer</x:v>
      </x:c>
      <x:c r="C4" s="1732"/>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733"/>
      <x:c r="C5" s="1734"/>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752"/>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766"/>
      <x:c r="W6" s="1765"/>
      <x:c r="X6" s="1107"/>
    </x:row>
    <x:row r="7" s="952" customFormat="1" ht="76" customHeight="1">
      <x:c r="A7" s="951"/>
      <x:c r="B7" s="1803" t="inlineStr">
        <x:is>
          <x:t xml:space="preserve">1.1</x:t>
        </x:is>
      </x:c>
      <x:c r="C7" s="1795" t="inlineStr">
        <x:is>
          <x:t xml:space="preserve">Prendre en compte toute la vie des équipements et des logiciels de la collectivité, de l'achat à la fin de vie, y compris ceux des écoles et des services aux habitants.</x:t>
        </x:is>
      </x:c>
      <x:c r="D7" s="1798"/>
      <x:c r="E7" s="1802"/>
      <x:c r="F7" s="1802"/>
      <x:c r="G7" s="1798"/>
      <x:c r="H7" s="1802"/>
      <x:c r="I7" s="1799"/>
      <x:c r="J7" s="1806" t="str">
        <x:f>S7</x:f>
      </x:c>
      <x:c r="K7" s="1777" t="str">
        <x:f>IF(IF(ISNUMBER(E7),AND(E7&gt;=0,E7&lt;=3,MOD(E7,1)=0),FALSE),IF(E7=0,0,IF(IF(ISNUMBER(F7),AND(F7&gt;=1,F7&lt;=4,MOD(F7,1)=0),FALSE),E7*10+F7,"")),"")</x:f>
      </x:c>
      <x:c r="L7" s="1777" t="b">
        <x:f>IF(ISNUMBER(K7),K7=31,FALSE)</x:f>
        <x:v>0</x:v>
      </x:c>
      <x:c r="M7" s="1777" t="b">
        <x:f>IF(ISNUMBER(K7),OR(K7=21,K7=32),FALSE)</x:f>
        <x:v>0</x:v>
      </x:c>
      <x:c r="N7" s="1777" t="b">
        <x:f>IF(ISNUMBER(K7),OR(K7=22,K7=33),FALSE)</x:f>
        <x:v>0</x:v>
      </x:c>
      <x:c r="O7" s="1777" t="b">
        <x:f>IF(ISNUMBER(K7),OR(K7=11,K7=12),FALSE)</x:f>
        <x:v>0</x:v>
      </x:c>
      <x:c r="P7" s="1777" t="b">
        <x:f>IF(ISNUMBER(K7),OR(K7=23,K7=34),FALSE)</x:f>
        <x:v>0</x:v>
      </x:c>
      <x:c r="Q7" s="1777" t="b">
        <x:f>IF(ISNUMBER(K7),OR(K7=13,K7=14,K7=24),FALSE)</x:f>
        <x:v>0</x:v>
      </x:c>
      <x:c r="R7" s="1777" t="b">
        <x:f>IF(ISNUMBER(K7),K7=0,FALSE)</x:f>
        <x:v>0</x:v>
      </x:c>
      <x:c r="S7" s="1777" t="str">
        <x:f t="shared" ref="S7:S12" si="0">IF(ISNUMBER(T7),INDEX($L$5:$R$5,1,7-T7),"")</x:f>
      </x:c>
      <x:c r="T7" s="1777" t="str">
        <x:f t="shared" ref="T7:T12" si="1">IF(ISNUMBER(K7),IF(L7,6,IF(M7,5,IF(N7,4,IF(O7,3,IF(P7,2,IF(Q7,1,0)))))),"")</x:f>
      </x:c>
      <x:c r="U7" s="1790" t="str">
        <x:f>IF(AND(ISNUMBER(T7),ISNUMBER(H7)),IF(AND(H7&gt;=1,H7&lt;=4,MOD(H7,1)=0),T7*10+H7,""),"")</x:f>
      </x:c>
      <x:c r="V7" s="1799"/>
      <x:c r="W7" s="1103"/>
      <x:c r="X7" s="903"/>
    </x:row>
    <x:row r="8" s="952" customFormat="1" ht="76" customHeight="1">
      <x:c r="A8" s="951"/>
      <x:c r="B8" s="1804" t="inlineStr">
        <x:is>
          <x:t xml:space="preserve">1.2</x:t>
        </x:is>
      </x:c>
      <x:c r="C8" s="1796" t="inlineStr">
        <x:is>
          <x:t xml:space="preserve">Utiliser plus longtemps les équipements des agents, des élus et des écoles, même après leur amortissement, en organisant leur réparation et leur réaffectation entre services.</x:t>
        </x:is>
      </x:c>
      <x:c r="D8" s="1798"/>
      <x:c r="E8" s="1802"/>
      <x:c r="F8" s="1802"/>
      <x:c r="G8" s="1798"/>
      <x:c r="H8" s="1802"/>
      <x:c r="I8" s="1799"/>
      <x:c r="J8" s="1806" t="str">
        <x:f t="shared" ref="J8:J12" si="2">S8</x:f>
      </x:c>
      <x:c r="K8" s="1777" t="str">
        <x:f t="shared" ref="K8:K12" si="3">IF(IF(ISNUMBER(E8),AND(E8&gt;=0,E8&lt;=3,MOD(E8,1)=0),FALSE),IF(E8=0,0,IF(IF(ISNUMBER(F8),AND(F8&gt;=1,F8&lt;=4,MOD(F8,1)=0),FALSE),E8*10+F8,"")),"")</x:f>
      </x:c>
      <x:c r="L8" s="1777" t="b">
        <x:f t="shared" ref="L8:L12" si="4">IF(ISNUMBER(K8),K8=31,FALSE)</x:f>
        <x:v>0</x:v>
      </x:c>
      <x:c r="M8" s="1777" t="b">
        <x:f t="shared" ref="M8:M12" si="5">IF(ISNUMBER(K8),OR(K8=21,K8=32),FALSE)</x:f>
        <x:v>0</x:v>
      </x:c>
      <x:c r="N8" s="1777" t="b">
        <x:f t="shared" ref="N8:N12" si="6">IF(ISNUMBER(K8),OR(K8=22,K8=33),FALSE)</x:f>
        <x:v>0</x:v>
      </x:c>
      <x:c r="O8" s="1777" t="b">
        <x:f t="shared" ref="O8:O12" si="7">IF(ISNUMBER(K8),OR(K8=11,K8=12),FALSE)</x:f>
        <x:v>0</x:v>
      </x:c>
      <x:c r="P8" s="1777" t="b">
        <x:f t="shared" ref="P8:P12" si="8">IF(ISNUMBER(K8),OR(K8=23,K8=34),FALSE)</x:f>
        <x:v>0</x:v>
      </x:c>
      <x:c r="Q8" s="1777" t="b">
        <x:f t="shared" ref="Q8:Q12" si="9">IF(ISNUMBER(K8),OR(K8=13,K8=14,K8=24),FALSE)</x:f>
        <x:v>0</x:v>
      </x:c>
      <x:c r="R8" s="1777" t="b">
        <x:f t="shared" ref="R8:R12" si="10">IF(ISNUMBER(K8),K8=0,FALSE)</x:f>
        <x:v>0</x:v>
      </x:c>
      <x:c r="S8" s="1777" t="str">
        <x:f t="shared" si="0">IF(ISNUMBER(T8),INDEX($L$5:$R$5,1,7-T8),"")</x:f>
      </x:c>
      <x:c r="T8" s="1777" t="str">
        <x:f t="shared" si="1">IF(ISNUMBER(K8),IF(L8,6,IF(M8,5,IF(N8,4,IF(O8,3,IF(P8,2,IF(Q8,1,0)))))),"")</x:f>
      </x:c>
      <x:c r="U8" s="1790" t="str">
        <x:f t="shared" ref="U8:U12" si="11">IF(AND(ISNUMBER(T8),ISNUMBER(H8)),IF(AND(H8&gt;=1,H8&lt;=4,MOD(H8,1)=0),T8*10+H8,""),"")</x:f>
      </x:c>
      <x:c r="V8" s="1799"/>
      <x:c r="W8" s="1118"/>
      <x:c r="X8" s="1117"/>
    </x:row>
    <x:row r="9" s="952" customFormat="1" ht="76" customHeight="1">
      <x:c r="A9" s="951"/>
      <x:c r="B9" s="1804" t="inlineStr">
        <x:is>
          <x:t xml:space="preserve">1.3</x:t>
        </x:is>
      </x:c>
      <x:c r="C9" s="1796" t="inlineStr">
        <x:is>
          <x:t xml:space="preserve">Concevoir des sites, des téléservices et des applications de la collectivité qui limitent leurs effets sur l'environnement, en suivant le RGESN, et choisir des technologies qui contribuent aux ODD.</x:t>
        </x:is>
      </x:c>
      <x:c r="D9" s="1798"/>
      <x:c r="E9" s="1802"/>
      <x:c r="F9" s="1802"/>
      <x:c r="G9" s="1798"/>
      <x:c r="H9" s="1802"/>
      <x:c r="I9" s="1799"/>
      <x:c r="J9" s="1806" t="str">
        <x:f t="shared" si="2">S9</x:f>
      </x:c>
      <x:c r="K9" s="1783" t="str">
        <x:f t="shared" si="3">IF(IF(ISNUMBER(E9),AND(E9&gt;=0,E9&lt;=3,MOD(E9,1)=0),FALSE),IF(E9=0,0,IF(IF(ISNUMBER(F9),AND(F9&gt;=1,F9&lt;=4,MOD(F9,1)=0),FALSE),E9*10+F9,"")),"")</x:f>
      </x:c>
      <x:c r="L9" s="1783" t="b">
        <x:f t="shared" si="4">IF(ISNUMBER(K9),K9=31,FALSE)</x:f>
        <x:v>0</x:v>
      </x:c>
      <x:c r="M9" s="1783" t="b">
        <x:f t="shared" si="5">IF(ISNUMBER(K9),OR(K9=21,K9=32),FALSE)</x:f>
        <x:v>0</x:v>
      </x:c>
      <x:c r="N9" s="1783" t="b">
        <x:f t="shared" si="6">IF(ISNUMBER(K9),OR(K9=22,K9=33),FALSE)</x:f>
        <x:v>0</x:v>
      </x:c>
      <x:c r="O9" s="1783" t="b">
        <x:f t="shared" si="7">IF(ISNUMBER(K9),OR(K9=11,K9=12),FALSE)</x:f>
        <x:v>0</x:v>
      </x:c>
      <x:c r="P9" s="1783" t="b">
        <x:f t="shared" si="8">IF(ISNUMBER(K9),OR(K9=23,K9=34),FALSE)</x:f>
        <x:v>0</x:v>
      </x:c>
      <x:c r="Q9" s="1783" t="b">
        <x:f t="shared" si="9">IF(ISNUMBER(K9),OR(K9=13,K9=14,K9=24),FALSE)</x:f>
        <x:v>0</x:v>
      </x:c>
      <x:c r="R9" s="1783" t="b">
        <x:f t="shared" si="10">IF(ISNUMBER(K9),K9=0,FALSE)</x:f>
        <x:v>0</x:v>
      </x:c>
      <x:c r="S9" s="1783" t="str">
        <x:f t="shared" si="0">IF(ISNUMBER(T9),INDEX($L$5:$R$5,1,7-T9),"")</x:f>
      </x:c>
      <x:c r="T9" s="1783" t="str">
        <x:f t="shared" si="1">IF(ISNUMBER(K9),IF(L9,6,IF(M9,5,IF(N9,4,IF(O9,3,IF(P9,2,IF(Q9,1,0)))))),"")</x:f>
      </x:c>
      <x:c r="U9" s="1783" t="str">
        <x:f t="shared" si="11">IF(AND(ISNUMBER(T9),ISNUMBER(H9)),IF(AND(H9&gt;=1,H9&lt;=4,MOD(H9,1)=0),T9*10+H9,""),"")</x:f>
      </x:c>
      <x:c r="V9" s="1799"/>
      <x:c r="W9" s="1104"/>
      <x:c r="X9" s="1116"/>
    </x:row>
    <x:row r="10" s="952" customFormat="1" ht="70" customHeight="1">
      <x:c r="A10" s="951"/>
      <x:c r="B10" s="1804" t="inlineStr">
        <x:is>
          <x:t xml:space="preserve">1.4</x:t>
        </x:is>
      </x:c>
      <x:c r="C10" s="1796" t="inlineStr">
        <x:is>
          <x:t xml:space="preserve">Adopter, dans les services et les assemblées, des pratiques qui consomment moins de matériel, d'énergie, de papier et d'impressions.</x:t>
        </x:is>
      </x:c>
      <x:c r="D10" s="1798"/>
      <x:c r="E10" s="1802"/>
      <x:c r="F10" s="1802"/>
      <x:c r="G10" s="1798"/>
      <x:c r="H10" s="1802"/>
      <x:c r="I10" s="1799"/>
      <x:c r="J10" s="1806" t="str">
        <x:f t="shared" si="2">S10</x:f>
      </x:c>
      <x:c r="K10" s="1786" t="str">
        <x:f t="shared" si="3">IF(IF(ISNUMBER(E10),AND(E10&gt;=0,E10&lt;=3,MOD(E10,1)=0),FALSE),IF(E10=0,0,IF(IF(ISNUMBER(F10),AND(F10&gt;=1,F10&lt;=4,MOD(F10,1)=0),FALSE),E10*10+F10,"")),"")</x:f>
      </x:c>
      <x:c r="L10" s="1786" t="b">
        <x:f t="shared" si="4">IF(ISNUMBER(K10),K10=31,FALSE)</x:f>
        <x:v>0</x:v>
      </x:c>
      <x:c r="M10" s="1786" t="b">
        <x:f t="shared" si="5">IF(ISNUMBER(K10),OR(K10=21,K10=32),FALSE)</x:f>
        <x:v>0</x:v>
      </x:c>
      <x:c r="N10" s="1786" t="b">
        <x:f t="shared" si="6">IF(ISNUMBER(K10),OR(K10=22,K10=33),FALSE)</x:f>
        <x:v>0</x:v>
      </x:c>
      <x:c r="O10" s="1786" t="b">
        <x:f t="shared" si="7">IF(ISNUMBER(K10),OR(K10=11,K10=12),FALSE)</x:f>
        <x:v>0</x:v>
      </x:c>
      <x:c r="P10" s="1786" t="b">
        <x:f t="shared" si="8">IF(ISNUMBER(K10),OR(K10=23,K10=34),FALSE)</x:f>
        <x:v>0</x:v>
      </x:c>
      <x:c r="Q10" s="1786" t="b">
        <x:f t="shared" si="9">IF(ISNUMBER(K10),OR(K10=13,K10=14,K10=24),FALSE)</x:f>
        <x:v>0</x:v>
      </x:c>
      <x:c r="R10" s="1786" t="b">
        <x:f t="shared" si="10">IF(ISNUMBER(K10),K10=0,FALSE)</x:f>
        <x:v>0</x:v>
      </x:c>
      <x:c r="S10" s="1786" t="str">
        <x:f t="shared" si="0">IF(ISNUMBER(T10),INDEX($L$5:$R$5,1,7-T10),"")</x:f>
      </x:c>
      <x:c r="T10" s="1786" t="str">
        <x:f t="shared" si="1">IF(ISNUMBER(K10),IF(L10,6,IF(M10,5,IF(N10,4,IF(O10,3,IF(P10,2,IF(Q10,1,0)))))),"")</x:f>
      </x:c>
      <x:c r="U10" s="1790" t="str">
        <x:f t="shared" si="11">IF(AND(ISNUMBER(T10),ISNUMBER(H10)),IF(AND(H10&gt;=1,H10&lt;=4,MOD(H10,1)=0),T10*10+H10,""),"")</x:f>
      </x:c>
      <x:c r="V10" s="1798"/>
      <x:c r="W10" s="1105"/>
      <x:c r="X10" s="903"/>
    </x:row>
    <x:row r="11" s="952" customFormat="1" ht="76" customHeight="1">
      <x:c r="A11" s="951"/>
      <x:c r="B11" s="1805" t="inlineStr">
        <x:is>
          <x:t xml:space="preserve">1.5</x:t>
        </x:is>
      </x:c>
      <x:c r="C11" s="1797" t="inlineStr">
        <x:is>
          <x:t xml:space="preserve">Confier les équipements en fin d'usage à des structures locales de réemploi et de l'économie sociale et solidaire, et suivre ce qu'ils deviennent.</x:t>
        </x:is>
      </x:c>
      <x:c r="D11" s="1798"/>
      <x:c r="E11" s="1802"/>
      <x:c r="F11" s="1802"/>
      <x:c r="G11" s="1798"/>
      <x:c r="H11" s="1802"/>
      <x:c r="I11" s="1799"/>
      <x:c r="J11" s="1806" t="str">
        <x:f t="shared" si="2">S11</x:f>
      </x:c>
      <x:c r="K11" s="1786" t="str">
        <x:f t="shared" si="3">IF(IF(ISNUMBER(E11),AND(E11&gt;=0,E11&lt;=3,MOD(E11,1)=0),FALSE),IF(E11=0,0,IF(IF(ISNUMBER(F11),AND(F11&gt;=1,F11&lt;=4,MOD(F11,1)=0),FALSE),E11*10+F11,"")),"")</x:f>
      </x:c>
      <x:c r="L11" s="1786" t="b">
        <x:f t="shared" si="4">IF(ISNUMBER(K11),K11=31,FALSE)</x:f>
        <x:v>0</x:v>
      </x:c>
      <x:c r="M11" s="1786" t="b">
        <x:f t="shared" si="5">IF(ISNUMBER(K11),OR(K11=21,K11=32),FALSE)</x:f>
        <x:v>0</x:v>
      </x:c>
      <x:c r="N11" s="1786" t="b">
        <x:f t="shared" si="6">IF(ISNUMBER(K11),OR(K11=22,K11=33),FALSE)</x:f>
        <x:v>0</x:v>
      </x:c>
      <x:c r="O11" s="1786" t="b">
        <x:f t="shared" si="7">IF(ISNUMBER(K11),OR(K11=11,K11=12),FALSE)</x:f>
        <x:v>0</x:v>
      </x:c>
      <x:c r="P11" s="1786" t="b">
        <x:f t="shared" si="8">IF(ISNUMBER(K11),OR(K11=23,K11=34),FALSE)</x:f>
        <x:v>0</x:v>
      </x:c>
      <x:c r="Q11" s="1786" t="b">
        <x:f t="shared" si="9">IF(ISNUMBER(K11),OR(K11=13,K11=14,K11=24),FALSE)</x:f>
        <x:v>0</x:v>
      </x:c>
      <x:c r="R11" s="1786" t="b">
        <x:f t="shared" si="10">IF(ISNUMBER(K11),K11=0,FALSE)</x:f>
        <x:v>0</x:v>
      </x:c>
      <x:c r="S11" s="1786" t="str">
        <x:f t="shared" si="0">IF(ISNUMBER(T11),INDEX($L$5:$R$5,1,7-T11),"")</x:f>
      </x:c>
      <x:c r="T11" s="1786" t="str">
        <x:f t="shared" si="1">IF(ISNUMBER(K11),IF(L11,6,IF(M11,5,IF(N11,4,IF(O11,3,IF(P11,2,IF(Q11,1,0)))))),"")</x:f>
      </x:c>
      <x:c r="U11" s="1790" t="str">
        <x:f t="shared" si="11">IF(AND(ISNUMBER(T11),ISNUMBER(H11)),IF(AND(H11&gt;=1,H11&lt;=4,MOD(H11,1)=0),T11*10+H11,""),"")</x:f>
      </x:c>
      <x:c r="V11" s="1798"/>
      <x:c r="W11" s="1119"/>
      <x:c r="X11" s="1114"/>
    </x:row>
    <x:row r="12" s="953" customFormat="1" ht="70" customHeight="1">
      <x:c r="A12" s="951"/>
      <x:c r="B12" s="1804" t="inlineStr">
        <x:is>
          <x:t xml:space="preserve">1.6</x:t>
        </x:is>
      </x:c>
      <x:c r="C12" s="1797" t="inlineStr">
        <x:is>
          <x:t xml:space="preserve">Alimenter les bâtiments, les salles serveurs et les services hébergés avec des énergies renouvelables, et favoriser leur production sur le territoire.</x:t>
        </x:is>
      </x:c>
      <x:c r="D12" s="1798"/>
      <x:c r="E12" s="1802"/>
      <x:c r="F12" s="1802"/>
      <x:c r="G12" s="1798"/>
      <x:c r="H12" s="1802"/>
      <x:c r="I12" s="1799"/>
      <x:c r="J12" s="1806" t="str">
        <x:f t="shared" si="2">S12</x:f>
      </x:c>
      <x:c r="K12" s="1786" t="str">
        <x:f t="shared" si="3">IF(IF(ISNUMBER(E12),AND(E12&gt;=0,E12&lt;=3,MOD(E12,1)=0),FALSE),IF(E12=0,0,IF(IF(ISNUMBER(F12),AND(F12&gt;=1,F12&lt;=4,MOD(F12,1)=0),FALSE),E12*10+F12,"")),"")</x:f>
      </x:c>
      <x:c r="L12" s="1786" t="b">
        <x:f t="shared" si="4">IF(ISNUMBER(K12),K12=31,FALSE)</x:f>
        <x:v>0</x:v>
      </x:c>
      <x:c r="M12" s="1786" t="b">
        <x:f t="shared" si="5">IF(ISNUMBER(K12),OR(K12=21,K12=32),FALSE)</x:f>
        <x:v>0</x:v>
      </x:c>
      <x:c r="N12" s="1786" t="b">
        <x:f t="shared" si="6">IF(ISNUMBER(K12),OR(K12=22,K12=33),FALSE)</x:f>
        <x:v>0</x:v>
      </x:c>
      <x:c r="O12" s="1786" t="b">
        <x:f t="shared" si="7">IF(ISNUMBER(K12),OR(K12=11,K12=12),FALSE)</x:f>
        <x:v>0</x:v>
      </x:c>
      <x:c r="P12" s="1786" t="b">
        <x:f t="shared" si="8">IF(ISNUMBER(K12),OR(K12=23,K12=34),FALSE)</x:f>
        <x:v>0</x:v>
      </x:c>
      <x:c r="Q12" s="1786" t="b">
        <x:f t="shared" si="9">IF(ISNUMBER(K12),OR(K12=13,K12=14,K12=24),FALSE)</x:f>
        <x:v>0</x:v>
      </x:c>
      <x:c r="R12" s="1786" t="b">
        <x:f t="shared" si="10">IF(ISNUMBER(K12),K12=0,FALSE)</x:f>
        <x:v>0</x:v>
      </x:c>
      <x:c r="S12" s="1786" t="str">
        <x:f t="shared" si="0">IF(ISNUMBER(T12),INDEX($L$5:$R$5,1,7-T12),"")</x:f>
      </x:c>
      <x:c r="T12" s="1786" t="str">
        <x:f t="shared" si="1">IF(ISNUMBER(K12),IF(L12,6,IF(M12,5,IF(N12,4,IF(O12,3,IF(P12,2,IF(Q12,1,0)))))),"")</x:f>
      </x:c>
      <x:c r="U12" s="1790" t="str">
        <x:f t="shared" si="11">IF(AND(ISNUMBER(T12),ISNUMBER(H12)),IF(AND(H12&gt;=1,H12&lt;=4,MOD(H12,1)=0),T12*10+H12,""),"")</x:f>
      </x:c>
      <x:c r="V12" s="1798"/>
      <x:c r="W12" s="1120"/>
      <x:c r="X12" s="1114"/>
    </x:row>
    <x:row r="13" ht="70" customHeight="1">
      <x:c r="B13" s="1804" t="inlineStr">
        <x:is>
          <x:t xml:space="preserve">1.7</x:t>
        </x:is>
      </x:c>
      <x:c r="C13" s="1797" t="inlineStr">
        <x:is>
          <x:t xml:space="preserve">Réserver l'intelligence artificielle aux besoins du service public qui la justifient, et choisir des solutions sobres.</x:t>
        </x:is>
      </x:c>
      <x:c r="D13" s="1798"/>
      <x:c r="E13" s="1802"/>
      <x:c r="F13" s="1802"/>
      <x:c r="G13" s="1798"/>
      <x:c r="H13" s="1802"/>
      <x:c r="I13" s="1799"/>
      <x:c r="J13" s="1806" t="str">
        <x:f t="shared" ref="J13" si="12">S13</x:f>
      </x:c>
      <x:c r="K13" s="1786" t="str">
        <x:f t="shared" ref="K13" si="13">IF(IF(ISNUMBER(E13),AND(E13&gt;=0,E13&lt;=3,MOD(E13,1)=0),FALSE),IF(E13=0,0,IF(IF(ISNUMBER(F13),AND(F13&gt;=1,F13&lt;=4,MOD(F13,1)=0),FALSE),E13*10+F13,"")),"")</x:f>
      </x:c>
      <x:c r="L13" s="1786" t="b">
        <x:f t="shared" ref="L13" si="14">IF(ISNUMBER(K13),K13=31,FALSE)</x:f>
        <x:v>0</x:v>
      </x:c>
      <x:c r="M13" s="1786" t="b">
        <x:f t="shared" ref="M13" si="15">IF(ISNUMBER(K13),OR(K13=21,K13=32),FALSE)</x:f>
        <x:v>0</x:v>
      </x:c>
      <x:c r="N13" s="1786" t="b">
        <x:f t="shared" ref="N13" si="16">IF(ISNUMBER(K13),OR(K13=22,K13=33),FALSE)</x:f>
        <x:v>0</x:v>
      </x:c>
      <x:c r="O13" s="1786" t="b">
        <x:f t="shared" ref="O13" si="17">IF(ISNUMBER(K13),OR(K13=11,K13=12),FALSE)</x:f>
        <x:v>0</x:v>
      </x:c>
      <x:c r="P13" s="1786" t="b">
        <x:f t="shared" ref="P13" si="18">IF(ISNUMBER(K13),OR(K13=23,K13=34),FALSE)</x:f>
        <x:v>0</x:v>
      </x:c>
      <x:c r="Q13" s="1786" t="b">
        <x:f t="shared" ref="Q13" si="19">IF(ISNUMBER(K13),OR(K13=13,K13=14,K13=24),FALSE)</x:f>
        <x:v>0</x:v>
      </x:c>
      <x:c r="R13" s="1786" t="b">
        <x:f t="shared" ref="R13" si="20">IF(ISNUMBER(K13),K13=0,FALSE)</x:f>
        <x:v>0</x:v>
      </x:c>
      <x:c r="S13" s="1786" t="str">
        <x:f t="shared" ref="S13" si="21">IF(ISNUMBER(T13),INDEX($L$5:$R$5,1,7-T13),"")</x:f>
      </x:c>
      <x:c r="T13" s="1786" t="str">
        <x:f t="shared" ref="T13" si="22">IF(ISNUMBER(K13),IF(L13,6,IF(M13,5,IF(N13,4,IF(O13,3,IF(P13,2,IF(Q13,1,0)))))),"")</x:f>
      </x:c>
      <x:c r="U13" s="1790" t="str">
        <x:f t="shared" ref="U13" si="23">IF(AND(ISNUMBER(T13),ISNUMBER(H13)),IF(AND(H13&gt;=1,H13&lt;=4,MOD(H13,1)=0),T13*10+H13,""),"")</x:f>
      </x:c>
      <x:c r="V13" s="1798"/>
      <x:c r="W13" s="1121"/>
      <x:c r="X13" s="1114"/>
    </x:row>
    <x:row r="14" ht="70" customHeight="1">
      <x:c r="B14" s="1804" t="inlineStr">
        <x:is>
          <x:t xml:space="preserve">1.8</x:t>
        </x:is>
      </x:c>
      <x:c r="C14" s="1797" t="inlineStr">
        <x:is>
          <x:t xml:space="preserve">Mesurer et réduire ce que consomment les outils d'intelligence artificielle utilisés par la collectivité et ses prestataires.</x:t>
        </x:is>
      </x:c>
      <x:c r="D14" s="1798"/>
      <x:c r="E14" s="1802"/>
      <x:c r="F14" s="1802"/>
      <x:c r="G14" s="1798"/>
      <x:c r="H14" s="1802"/>
      <x:c r="I14" s="1799"/>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21"/>
      <x:c r="X14" s="1114"/>
    </x:row>
  </x:sheetData>
  <x:mergeCells>
    <x:mergeCell ref="B6:W6"/>
    <x:mergeCell ref="B4:C5"/>
    <x:mergeCell ref="D4:E4"/>
    <x:mergeCell ref="F4:G4"/>
    <x:mergeCell ref="H4:I4"/>
    <x:mergeCell ref="V4:X4"/>
    <x:mergeCell ref="B2:J3"/>
  </x:mergeCells>
  <x:conditionalFormatting sqref="J7:J14">
    <x:cfRule type="expression" dxfId="1626" priority="271">
      <x:formula>AND(ISNUMBER($T7),$T7=6)</x:formula>
    </x:cfRule>
    <x:cfRule type="expression" dxfId="1627" priority="272">
      <x:formula>AND(ISNUMBER($T7),$T7=5)</x:formula>
    </x:cfRule>
    <x:cfRule type="expression" dxfId="1628" priority="273">
      <x:formula>AND(ISNUMBER($T7),$T7=4)</x:formula>
    </x:cfRule>
    <x:cfRule type="expression" dxfId="1629" priority="274">
      <x:formula>AND(ISNUMBER($T7),$T7=3)</x:formula>
    </x:cfRule>
    <x:cfRule type="expression" dxfId="1630" priority="275">
      <x:formula>AND(ISNUMBER($T7),$T7=2)</x:formula>
    </x:cfRule>
    <x:cfRule type="expression" dxfId="1631" priority="276">
      <x:formula>AND(ISNUMBER($T7),$T7=1)</x:formula>
    </x:cfRule>
    <x:cfRule type="expression" dxfId="1632" priority="277">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5.xml><?xml version="1.0" encoding="utf-8"?>
<x:worksheet xmlns:x="http://schemas.openxmlformats.org/spreadsheetml/2006/main">
  <x:sheetPr>
    <x:tabColor theme="9"/>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42.6640625" style="871" hidden="1" customWidth="1"/>
    <x:col min="24" max="24" width="4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2 : Inclusion · Développer des services numériques durables que toutes et tous peuvent utiliser</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822" t="str">
        <x:v>Cibles à évaluer</x:v>
      </x:c>
      <x:c r="C4" s="182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24"/>
      <x:c r="C5" s="1825"/>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t="inlineStr">
        <x:is>
          <x:t xml:space="preserve">Adhérence</x:t>
        </x:is>
      </x:c>
      <x:c r="X5" s="1753"/>
    </x:row>
    <x:row r="6" s="875" customFormat="1" ht="34" customHeight="1">
      <x:c r="A6" s="874"/>
      <x:c r="B6" s="1832" t="str">
        <x:v>Renseigner les cellules jaunes pour les notes, puis les textes utiles. La priorité se calcule automatiquement. Faire défiler vers la droite pour proposer des actions.</x:v>
      </x:c>
      <x:c r="C6" s="1833"/>
      <x:c r="D6" s="1834"/>
      <x:c r="E6" s="1834"/>
      <x:c r="F6" s="1834"/>
      <x:c r="G6" s="1834"/>
      <x:c r="H6" s="1834"/>
      <x:c r="I6" s="1834"/>
      <x:c r="J6" s="1834"/>
      <x:c r="K6" s="1834"/>
      <x:c r="L6" s="1834"/>
      <x:c r="M6" s="1834"/>
      <x:c r="N6" s="1834"/>
      <x:c r="O6" s="1834"/>
      <x:c r="P6" s="1834"/>
      <x:c r="Q6" s="1834"/>
      <x:c r="R6" s="1834"/>
      <x:c r="S6" s="1834"/>
      <x:c r="T6" s="1834"/>
      <x:c r="U6" s="1834"/>
      <x:c r="V6" s="1835"/>
      <x:c r="W6" s="1836"/>
      <x:c r="X6" s="1129"/>
    </x:row>
    <x:row r="7" s="952" customFormat="1" ht="70" customHeight="1">
      <x:c r="A7" s="951"/>
      <x:c r="B7" s="1804" t="inlineStr">
        <x:is>
          <x:t xml:space="preserve">2.1</x:t>
        </x:is>
      </x:c>
      <x:c r="C7" s="1796" t="inlineStr">
        <x:is>
          <x:t xml:space="preserve">Intégrer dans les marchés publics du numérique des clauses sociales et environnementales, et des critères de durabilité, de réparabilité et de réemploi.</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IF(ISNUMBER(T7),INDEX($L$5:$R$5,1,7-T7),"")</x:f>
      </x:c>
      <x:c r="T7" s="1783" t="str">
        <x:f>IF(ISNUMBER(K7),IF(L7,6,IF(M7,5,IF(N7,4,IF(O7,3,IF(P7,2,IF(Q7,1,0)))))),"")</x:f>
      </x:c>
      <x:c r="U7" s="1783" t="str">
        <x:f>IF(AND(ISNUMBER(T7),ISNUMBER(H7)),IF(AND(H7&gt;=1,H7&lt;=4,MOD(H7,1)=0),T7*10+H7,""),"")</x:f>
      </x:c>
      <x:c r="V7" s="1798"/>
      <x:c r="W7" s="1123"/>
      <x:c r="X7" s="1113"/>
    </x:row>
    <x:row r="8" s="952" customFormat="1" ht="76" customHeight="1">
      <x:c r="A8" s="951"/>
      <x:c r="B8" s="1804" t="inlineStr">
        <x:is>
          <x:t xml:space="preserve">2.2</x:t>
        </x:is>
      </x:c>
      <x:c r="C8" s="1796" t="inlineStr">
        <x:is>
          <x:t xml:space="preserve">Rendre accessibles à toutes et tous les sites, les téléservices et les documents de la collectivité. Publier la déclaration d'accessibilité et le schéma pluriannuel prévus par le RGAA.</x:t>
        </x:is>
      </x:c>
      <x:c r="D8" s="1798"/>
      <x:c r="E8" s="1802"/>
      <x:c r="F8" s="1802"/>
      <x:c r="G8" s="1798"/>
      <x:c r="H8" s="1802"/>
      <x:c r="I8" s="1798"/>
      <x:c r="J8" s="1806" t="str">
        <x:f t="shared" si="0">S8</x:f>
      </x:c>
      <x:c r="K8" s="1783" t="str">
        <x:f>IF(IF(ISNUMBER(E8),AND(E8&gt;=0,E8&lt;=3,MOD(E8,1)=0),FALSE),IF(E8=0,0,IF(IF(ISNUMBER(F8),AND(F8&gt;=1,F8&lt;=4,MOD(F8,1)=0),FALSE),E8*10+F8,"")),"")</x:f>
      </x:c>
      <x:c r="L8" s="1783" t="b">
        <x:f>IF(ISNUMBER(K8),K8=31,FALSE)</x:f>
        <x:v>0</x:v>
      </x:c>
      <x:c r="M8" s="1783" t="b">
        <x:f>IF(ISNUMBER(K8),OR(K8=21,K8=32),FALSE)</x:f>
        <x:v>0</x:v>
      </x:c>
      <x:c r="N8" s="1783" t="b">
        <x:f>IF(ISNUMBER(K8),OR(K8=22,K8=33),FALSE)</x:f>
        <x:v>0</x:v>
      </x:c>
      <x:c r="O8" s="1783" t="b">
        <x:f>IF(ISNUMBER(K8),OR(K8=11,K8=12),FALSE)</x:f>
        <x:v>0</x:v>
      </x:c>
      <x:c r="P8" s="1783" t="b">
        <x:f>IF(ISNUMBER(K8),OR(K8=23,K8=34),FALSE)</x:f>
        <x:v>0</x:v>
      </x:c>
      <x:c r="Q8" s="1783" t="b">
        <x:f>IF(ISNUMBER(K8),OR(K8=13,K8=14,K8=24),FALSE)</x:f>
        <x:v>0</x:v>
      </x:c>
      <x:c r="R8" s="1783" t="b">
        <x:f>IF(ISNUMBER(K8),K8=0,FALSE)</x:f>
        <x:v>0</x:v>
      </x:c>
      <x:c r="S8" s="1783" t="str">
        <x:f>IF(ISNUMBER(T8),INDEX($L$5:$R$5,1,7-T8),"")</x:f>
      </x:c>
      <x:c r="T8" s="1783" t="str">
        <x:f>IF(ISNUMBER(K8),IF(L8,6,IF(M8,5,IF(N8,4,IF(O8,3,IF(P8,2,IF(Q8,1,0)))))),"")</x:f>
      </x:c>
      <x:c r="U8" s="1783" t="str">
        <x:f>IF(AND(ISNUMBER(T8),ISNUMBER(H8)),IF(AND(H8&gt;=1,H8&lt;=4,MOD(H8,1)=0),T8*10+H8,""),"")</x:f>
      </x:c>
      <x:c r="V8" s="1798"/>
      <x:c r="W8" s="1109"/>
      <x:c r="X8" s="1108"/>
    </x:row>
    <x:row r="9" s="952" customFormat="1" ht="76" customHeight="1">
      <x:c r="A9" s="951"/>
      <x:c r="B9" s="1804" t="inlineStr">
        <x:is>
          <x:t xml:space="preserve">2.3</x:t>
        </x:is>
      </x:c>
      <x:c r="C9" s="1796" t="inlineStr">
        <x:is>
          <x:t xml:space="preserve">Proposer des téléservices utiles, faciles à utiliser et réellement utilisés par les habitants, avec une démarche simple de bout en bout.</x:t>
        </x:is>
      </x:c>
      <x:c r="D9" s="1798"/>
      <x:c r="E9" s="1802"/>
      <x:c r="F9" s="1802"/>
      <x:c r="G9" s="1798"/>
      <x:c r="H9" s="1802"/>
      <x:c r="I9" s="1798"/>
      <x:c r="J9" s="1806" t="str">
        <x:f t="shared" si="0">S9</x:f>
      </x:c>
      <x:c r="K9" s="1783" t="str">
        <x:f>IF(IF(ISNUMBER(E9),AND(E9&gt;=0,E9&lt;=3,MOD(E9,1)=0),FALSE),IF(E9=0,0,IF(IF(ISNUMBER(F9),AND(F9&gt;=1,F9&lt;=4,MOD(F9,1)=0),FALSE),E9*10+F9,"")),"")</x:f>
      </x:c>
      <x:c r="L9" s="1783" t="b">
        <x:f>IF(ISNUMBER(K9),K9=31,FALSE)</x:f>
        <x:v>0</x:v>
      </x:c>
      <x:c r="M9" s="1783" t="b">
        <x:f>IF(ISNUMBER(K9),OR(K9=21,K9=32),FALSE)</x:f>
        <x:v>0</x:v>
      </x:c>
      <x:c r="N9" s="1783" t="b">
        <x:f>IF(ISNUMBER(K9),OR(K9=22,K9=33),FALSE)</x:f>
        <x:v>0</x:v>
      </x:c>
      <x:c r="O9" s="1783" t="b">
        <x:f>IF(ISNUMBER(K9),OR(K9=11,K9=12),FALSE)</x:f>
        <x:v>0</x:v>
      </x:c>
      <x:c r="P9" s="1783" t="b">
        <x:f>IF(ISNUMBER(K9),OR(K9=23,K9=34),FALSE)</x:f>
        <x:v>0</x:v>
      </x:c>
      <x:c r="Q9" s="1783" t="b">
        <x:f>IF(ISNUMBER(K9),OR(K9=13,K9=14,K9=24),FALSE)</x:f>
        <x:v>0</x:v>
      </x:c>
      <x:c r="R9" s="1783" t="b">
        <x:f>IF(ISNUMBER(K9),K9=0,FALSE)</x:f>
        <x:v>0</x:v>
      </x:c>
      <x:c r="S9" s="1783" t="str">
        <x:f>IF(ISNUMBER(T9),INDEX($L$5:$R$5,1,7-T9),"")</x:f>
      </x:c>
      <x:c r="T9" s="1783" t="str">
        <x:f>IF(ISNUMBER(K9),IF(L9,6,IF(M9,5,IF(N9,4,IF(O9,3,IF(P9,2,IF(Q9,1,0)))))),"")</x:f>
      </x:c>
      <x:c r="U9" s="1783" t="str">
        <x:f>IF(AND(ISNUMBER(T9),ISNUMBER(H9)),IF(AND(H9&gt;=1,H9&lt;=4,MOD(H9,1)=0),T9*10+H9,""),"")</x:f>
      </x:c>
      <x:c r="V9" s="1798"/>
      <x:c r="W9" s="1122"/>
      <x:c r="X9" s="1114"/>
    </x:row>
    <x:row r="10" s="952" customFormat="1" ht="70" customHeight="1">
      <x:c r="A10" s="951"/>
      <x:c r="B10" s="1804" t="inlineStr">
        <x:is>
          <x:t xml:space="preserve">2.4</x:t>
        </x:is>
      </x:c>
      <x:c r="C10" s="1796" t="inlineStr">
        <x:is>
          <x:t xml:space="preserve">Concevoir les services numériques avec les habitants, les agents d'accueil et les associations, en partant de leurs besoins réels.</x:t>
        </x:is>
      </x:c>
      <x:c r="D10" s="1798"/>
      <x:c r="E10" s="1802"/>
      <x:c r="F10" s="1802"/>
      <x:c r="G10" s="1798"/>
      <x:c r="H10" s="1802"/>
      <x:c r="I10" s="1798"/>
      <x:c r="J10" s="1806" t="str">
        <x:f>S10</x:f>
      </x:c>
      <x:c r="K10" s="1777" t="str">
        <x:f>IF(IF(ISNUMBER(E10),AND(E10&gt;=0,E10&lt;=3,MOD(E10,1)=0),FALSE),IF(E10=0,0,IF(IF(ISNUMBER(F10),AND(F10&gt;=1,F10&lt;=4,MOD(F10,1)=0),FALSE),E10*10+F10,"")),"")</x:f>
      </x:c>
      <x:c r="L10" s="1777" t="b">
        <x:f>IF(ISNUMBER(K10),K10=31,FALSE)</x:f>
        <x:v>0</x:v>
      </x:c>
      <x:c r="M10" s="1777" t="b">
        <x:f>IF(ISNUMBER(K10),OR(K10=21,K10=32),FALSE)</x:f>
        <x:v>0</x:v>
      </x:c>
      <x:c r="N10" s="1777" t="b">
        <x:f>IF(ISNUMBER(K10),OR(K10=22,K10=33),FALSE)</x:f>
        <x:v>0</x:v>
      </x:c>
      <x:c r="O10" s="1777" t="b">
        <x:f>IF(ISNUMBER(K10),OR(K10=11,K10=12),FALSE)</x:f>
        <x:v>0</x:v>
      </x:c>
      <x:c r="P10" s="1777" t="b">
        <x:f>IF(ISNUMBER(K10),OR(K10=23,K10=34),FALSE)</x:f>
        <x:v>0</x:v>
      </x:c>
      <x:c r="Q10" s="1777" t="b">
        <x:f>IF(ISNUMBER(K10),OR(K10=13,K10=14,K10=24),FALSE)</x:f>
        <x:v>0</x:v>
      </x:c>
      <x:c r="R10" s="1777" t="b">
        <x:f>IF(ISNUMBER(K10),K10=0,FALSE)</x:f>
        <x:v>0</x:v>
      </x:c>
      <x:c r="S10" s="1777" t="str">
        <x:f>IF(ISNUMBER(T10),INDEX($L$5:$R$5,1,7-T10),"")</x:f>
      </x:c>
      <x:c r="T10" s="1777" t="str">
        <x:f>IF(ISNUMBER(K10),IF(L10,6,IF(M10,5,IF(N10,4,IF(O10,3,IF(P10,2,IF(Q10,1,0)))))),"")</x:f>
      </x:c>
      <x:c r="U10" s="1790" t="str">
        <x:f>IF(AND(ISNUMBER(T10),ISNUMBER(H10)),IF(AND(H10&gt;=1,H10&lt;=4,MOD(H10,1)=0),T10*10+H10,""),"")</x:f>
      </x:c>
      <x:c r="V10" s="1798"/>
      <x:c r="W10" s="1109"/>
      <x:c r="X10" s="1108"/>
    </x:row>
    <x:row r="11" s="952" customFormat="1" ht="70" customHeight="1">
      <x:c r="A11" s="951"/>
      <x:c r="B11" s="1804" t="inlineStr">
        <x:is>
          <x:t xml:space="preserve">2.5</x:t>
        </x:is>
      </x:c>
      <x:c r="C11" s="1796" t="inlineStr">
        <x:is>
          <x:t xml:space="preserve">Vérifier que l'intelligence artificielle utilisée dans les services publics ne discrimine aucun habitant et reste utilisable par toutes et tous.</x:t>
        </x:is>
      </x:c>
      <x:c r="D11" s="1798"/>
      <x:c r="E11" s="1802"/>
      <x:c r="F11" s="1802"/>
      <x:c r="G11" s="1798"/>
      <x:c r="H11" s="1802"/>
      <x:c r="I11" s="1798"/>
      <x:c r="J11" s="1806" t="n">
        <x:f>S11</x:f>
        <x:v>0</x:v>
      </x:c>
      <x:c r="K11" s="1777" t="str">
        <x:f>IF(IF(ISNUMBER(E11),AND(E11&gt;=0,E11&lt;=3,MOD(E11,1)=0),FALSE),IF(E11=0,0,IF(IF(ISNUMBER(F11),AND(F11&gt;=1,F11&lt;=4,MOD(F11,1)=0),FALSE),E11*10+F11,"")),"")</x:f>
      </x:c>
      <x:c r="L11" s="1777" t="b">
        <x:f>IF(ISNUMBER(K11),K11=31,FALSE)</x:f>
        <x:v>0</x:v>
      </x:c>
      <x:c r="M11" s="1777" t="b">
        <x:f>IF(ISNUMBER(K11),OR(K11=21,K11=32),FALSE)</x:f>
        <x:v>0</x:v>
      </x:c>
      <x:c r="N11" s="1777" t="b">
        <x:f>IF(ISNUMBER(K11),OR(K11=22,K11=33),FALSE)</x:f>
        <x:v>0</x:v>
      </x:c>
      <x:c r="O11" s="1777" t="b">
        <x:f>IF(ISNUMBER(K11),OR(K11=11,K11=12),FALSE)</x:f>
        <x:v>0</x:v>
      </x:c>
      <x:c r="P11" s="1777" t="b">
        <x:f>IF(ISNUMBER(K11),OR(K11=23,K11=34),FALSE)</x:f>
        <x:v>0</x:v>
      </x:c>
      <x:c r="Q11" s="1777" t="b">
        <x:f>IF(ISNUMBER(K11),OR(K11=13,K11=14,K11=24),FALSE)</x:f>
        <x:v>0</x:v>
      </x:c>
      <x:c r="R11" s="1777" t="b">
        <x:f>IF(ISNUMBER(K11),K11=0,FALSE)</x:f>
        <x:v>0</x:v>
      </x:c>
      <x:c r="S11" s="1777" t="str">
        <x:f>IF(ISNUMBER(T11),INDEX($L$5:$R$5,1,7-T11),"")</x:f>
      </x:c>
      <x:c r="T11" s="1777" t="str">
        <x:f>IF(ISNUMBER(K11),IF(L11,6,IF(M11,5,IF(N11,4,IF(O11,3,IF(P11,2,IF(Q11,1,0)))))),"")</x:f>
      </x:c>
      <x:c r="U11" s="1790" t="str">
        <x:f>IF(AND(ISNUMBER(T11),ISNUMBER(H11)),IF(AND(H11&gt;=1,H11&lt;=4,MOD(H11,1)=0),T11*10+H11,""),"")</x:f>
      </x:c>
      <x:c r="V11" s="1798"/>
      <x:c r="W11" s="1109"/>
      <x:c r="X11" s="1108"/>
    </x:row>
    <x:row r="12">
      <x:c r="V12" s="893"/>
    </x:row>
  </x:sheetData>
  <x:mergeCells>
    <x:mergeCell ref="V4:X4"/>
    <x:mergeCell ref="B4:C5"/>
    <x:mergeCell ref="D4:E4"/>
    <x:mergeCell ref="F4:G4"/>
    <x:mergeCell ref="H4:I4"/>
    <x:mergeCell ref="B2:J3"/>
  </x:mergeCells>
  <x:conditionalFormatting sqref="J7:J11">
    <x:cfRule type="expression" dxfId="1633" priority="498">
      <x:formula>AND(ISNUMBER($T7),$T7=6)</x:formula>
    </x:cfRule>
    <x:cfRule type="expression" dxfId="1634" priority="499">
      <x:formula>AND(ISNUMBER($T7),$T7=5)</x:formula>
    </x:cfRule>
    <x:cfRule type="expression" dxfId="1635" priority="500">
      <x:formula>AND(ISNUMBER($T7),$T7=4)</x:formula>
    </x:cfRule>
    <x:cfRule type="expression" dxfId="1636" priority="501">
      <x:formula>AND(ISNUMBER($T7),$T7=3)</x:formula>
    </x:cfRule>
    <x:cfRule type="expression" dxfId="1637" priority="502">
      <x:formula>AND(ISNUMBER($T7),$T7=2)</x:formula>
    </x:cfRule>
    <x:cfRule type="expression" dxfId="1638" priority="503">
      <x:formula>AND(ISNUMBER($T7),$T7=1)</x:formula>
    </x:cfRule>
    <x:cfRule type="expression" dxfId="1639" priority="504">
      <x:formula>AND(ISNUMBER($T7),$T7=0)</x:formula>
    </x:cfRule>
  </x:conditionalFormatting>
  <x:dataValidations count="3">
    <x:dataValidation type="list" allowBlank="1" showInputMessage="1" showErrorMessage="1" errorStyle="stop" showDropDown="0" sqref="E7:E11"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1"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1"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6.xml><?xml version="1.0" encoding="utf-8"?>
<x:worksheet xmlns:x="http://schemas.openxmlformats.org/spreadsheetml/2006/main">
  <x:sheetPr>
    <x:tabColor rgb="FF92D05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7.5" style="871" hidden="1" customWidth="1"/>
    <x:col min="24" max="24" width="5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3 : RSE · Utiliser le numérique de façon éthique et responsable</x:v>
      </x:c>
      <x:c r="C2" s="1716"/>
      <x:c r="D2" s="1716" t="inlineStr">
        <x:is>
          <x:t xml:space="preserve"> </x:t>
        </x:is>
      </x:c>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7"/>
      <x:c r="W3" s="1168"/>
    </x:row>
    <x:row r="4" ht="27" customHeight="1">
      <x:c r="A4" s="861"/>
      <x:c r="B4" s="1857" t="str">
        <x:v>Cibles à évaluer</x:v>
      </x:c>
      <x:c r="C4" s="1858"/>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826" t="inlineStr">
        <x:is>
          <x:t xml:space="preserve">Mise en œuvre</x:t>
        </x:is>
      </x:c>
      <x:c r="W4" s="1753"/>
      <x:c r="X4" s="1753"/>
    </x:row>
    <x:row r="5" s="868" customFormat="1" ht="56" customHeight="1">
      <x:c r="A5" s="867"/>
      <x:c r="B5" s="1859"/>
      <x:c r="C5" s="1860"/>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863"/>
      <x:c r="W6" s="1864"/>
    </x:row>
    <x:row r="7" s="952" customFormat="1" ht="70" customHeight="1">
      <x:c r="A7" s="951"/>
      <x:c r="B7" s="1804" t="inlineStr">
        <x:is>
          <x:t xml:space="preserve">3.1</x:t>
        </x:is>
      </x:c>
      <x:c r="C7" s="1796" t="inlineStr">
        <x:is>
          <x:t xml:space="preserve">Utiliser les données du territoire et des habitants avec mesure, au service de l'intérêt général, en respectant les personnes et l'environnement.</x:t>
        </x:is>
      </x:c>
      <x:c r="D7" s="1798"/>
      <x:c r="E7" s="1802"/>
      <x:c r="F7" s="1802"/>
      <x:c r="G7" s="1798"/>
      <x:c r="H7" s="1802"/>
      <x:c r="I7" s="1798"/>
      <x:c r="J7" s="1806" t="str">
        <x:f t="shared" ref="J7:J13"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13" si="1">IF(ISNUMBER(T7),INDEX($L$5:$R$5,1,7-T7),"")</x:f>
      </x:c>
      <x:c r="T7" s="1783" t="str">
        <x:f t="shared" ref="T7:T13" si="2">IF(ISNUMBER(K7),IF(L7,6,IF(M7,5,IF(N7,4,IF(O7,3,IF(P7,2,IF(Q7,1,0)))))),"")</x:f>
      </x:c>
      <x:c r="U7" s="1783" t="str">
        <x:f t="shared" ref="U7:U13" si="3">IF(AND(ISNUMBER(T7),ISNUMBER(H7)),IF(AND(H7&gt;=1,H7&lt;=4,MOD(H7,1)=0),T7*10+H7,""),"")</x:f>
      </x:c>
      <x:c r="V7" s="1798"/>
      <x:c r="W7" s="1130"/>
      <x:c r="X7" s="1114"/>
      <x:c r="Y7" s="997"/>
      <x:c r="Z7" s="997"/>
    </x:row>
    <x:row r="8" s="952" customFormat="1" ht="76" customHeight="1">
      <x:c r="A8" s="951"/>
      <x:c r="B8" s="1804" t="inlineStr">
        <x:is>
          <x:t xml:space="preserve">3.2</x:t>
        </x:is>
      </x:c>
      <x:c r="C8" s="1796" t="inlineStr">
        <x:is>
          <x:t xml:space="preserve">Supprimer des sites et des téléservices de la collectivité les interfaces qui trompent ou poussent les usagers (« dark patterns »), et respecter la réglementation.</x:t>
        </x:is>
      </x:c>
      <x:c r="D8" s="1798"/>
      <x:c r="E8" s="1802"/>
      <x:c r="F8" s="1802"/>
      <x:c r="G8" s="1798"/>
      <x:c r="H8" s="1802"/>
      <x:c r="I8" s="1798"/>
      <x:c r="J8" s="1806" t="str">
        <x:f t="shared" si="0">S8</x:f>
      </x:c>
      <x:c r="K8" s="1783" t="str">
        <x:f t="shared" ref="K8:K13" si="4">IF(IF(ISNUMBER(E8),AND(E8&gt;=0,E8&lt;=3,MOD(E8,1)=0),FALSE),IF(E8=0,0,IF(IF(ISNUMBER(F8),AND(F8&gt;=1,F8&lt;=4,MOD(F8,1)=0),FALSE),E8*10+F8,"")),"")</x:f>
      </x:c>
      <x:c r="L8" s="1783" t="b">
        <x:f t="shared" ref="L8:L13" si="5">IF(ISNUMBER(K8),K8=31,FALSE)</x:f>
        <x:v>0</x:v>
      </x:c>
      <x:c r="M8" s="1783" t="b">
        <x:f t="shared" ref="M8:M13" si="6">IF(ISNUMBER(K8),OR(K8=21,K8=32),FALSE)</x:f>
        <x:v>0</x:v>
      </x:c>
      <x:c r="N8" s="1783" t="b">
        <x:f t="shared" ref="N8:N13" si="7">IF(ISNUMBER(K8),OR(K8=22,K8=33),FALSE)</x:f>
        <x:v>0</x:v>
      </x:c>
      <x:c r="O8" s="1783" t="b">
        <x:f t="shared" ref="O8:O13" si="8">IF(ISNUMBER(K8),OR(K8=11,K8=12),FALSE)</x:f>
        <x:v>0</x:v>
      </x:c>
      <x:c r="P8" s="1783" t="b">
        <x:f t="shared" ref="P8:P13" si="9">IF(ISNUMBER(K8),OR(K8=23,K8=34),FALSE)</x:f>
        <x:v>0</x:v>
      </x:c>
      <x:c r="Q8" s="1783" t="b">
        <x:f t="shared" ref="Q8:Q13" si="10">IF(ISNUMBER(K8),OR(K8=13,K8=14,K8=24),FALSE)</x:f>
        <x:v>0</x:v>
      </x:c>
      <x:c r="R8" s="1783" t="b">
        <x:f t="shared" ref="R8:R13" si="11">IF(ISNUMBER(K8),K8=0,FALSE)</x:f>
        <x:v>0</x:v>
      </x:c>
      <x:c r="S8" s="1783" t="str">
        <x:f t="shared" si="1">IF(ISNUMBER(T8),INDEX($L$5:$R$5,1,7-T8),"")</x:f>
      </x:c>
      <x:c r="T8" s="1783" t="str">
        <x:f t="shared" si="2">IF(ISNUMBER(K8),IF(L8,6,IF(M8,5,IF(N8,4,IF(O8,3,IF(P8,2,IF(Q8,1,0)))))),"")</x:f>
      </x:c>
      <x:c r="U8" s="1783" t="str">
        <x:f t="shared" si="3">IF(AND(ISNUMBER(T8),ISNUMBER(H8)),IF(AND(H8&gt;=1,H8&lt;=4,MOD(H8,1)=0),T8*10+H8,""),"")</x:f>
      </x:c>
      <x:c r="V8" s="1798"/>
      <x:c r="W8" s="1109"/>
      <x:c r="X8" s="1108"/>
    </x:row>
    <x:row r="9" s="952" customFormat="1" ht="91" customHeight="1">
      <x:c r="A9" s="951"/>
      <x:c r="B9" s="1804" t="inlineStr">
        <x:is>
          <x:t xml:space="preserve">3.3</x:t>
        </x:is>
      </x:c>
      <x:c r="C9" s="1796" t="inlineStr">
        <x:is>
          <x:t xml:space="preserve">Collecter seulement les données nécessaires à chaque démarche, tenir à jour le registre des traitements et respecter le RGPD avec l'appui du délégué à la protection des données.</x:t>
        </x:is>
      </x:c>
      <x:c r="D9" s="1798"/>
      <x:c r="E9" s="1802"/>
      <x:c r="F9" s="1802"/>
      <x:c r="G9" s="1798"/>
      <x:c r="H9" s="1802"/>
      <x:c r="I9" s="1798"/>
      <x:c r="J9" s="1806" t="str">
        <x:f t="shared" si="0">S9</x:f>
      </x:c>
      <x:c r="K9" s="1777" t="str">
        <x:f t="shared" si="4">IF(IF(ISNUMBER(E9),AND(E9&gt;=0,E9&lt;=3,MOD(E9,1)=0),FALSE),IF(E9=0,0,IF(IF(ISNUMBER(F9),AND(F9&gt;=1,F9&lt;=4,MOD(F9,1)=0),FALSE),E9*10+F9,"")),"")</x:f>
      </x:c>
      <x:c r="L9" s="1777" t="b">
        <x:f t="shared" si="5">IF(ISNUMBER(K9),K9=31,FALSE)</x:f>
        <x:v>0</x:v>
      </x:c>
      <x:c r="M9" s="1777" t="b">
        <x:f t="shared" si="6">IF(ISNUMBER(K9),OR(K9=21,K9=32),FALSE)</x:f>
        <x:v>0</x:v>
      </x:c>
      <x:c r="N9" s="1777" t="b">
        <x:f t="shared" si="7">IF(ISNUMBER(K9),OR(K9=22,K9=33),FALSE)</x:f>
        <x:v>0</x:v>
      </x:c>
      <x:c r="O9" s="1777" t="b">
        <x:f t="shared" si="8">IF(ISNUMBER(K9),OR(K9=11,K9=12),FALSE)</x:f>
        <x:v>0</x:v>
      </x:c>
      <x:c r="P9" s="1777" t="b">
        <x:f t="shared" si="9">IF(ISNUMBER(K9),OR(K9=23,K9=34),FALSE)</x:f>
        <x:v>0</x:v>
      </x:c>
      <x:c r="Q9" s="1777" t="b">
        <x:f t="shared" si="10">IF(ISNUMBER(K9),OR(K9=13,K9=14,K9=24),FALSE)</x:f>
        <x:v>0</x:v>
      </x:c>
      <x:c r="R9" s="1777" t="b">
        <x:f t="shared" si="11">IF(ISNUMBER(K9),K9=0,FALSE)</x:f>
        <x:v>0</x:v>
      </x:c>
      <x:c r="S9" s="1777" t="str">
        <x:f t="shared" si="1">IF(ISNUMBER(T9),INDEX($L$5:$R$5,1,7-T9),"")</x:f>
      </x:c>
      <x:c r="T9" s="1777" t="str">
        <x:f t="shared" si="2">IF(ISNUMBER(K9),IF(L9,6,IF(M9,5,IF(N9,4,IF(O9,3,IF(P9,2,IF(Q9,1,0)))))),"")</x:f>
      </x:c>
      <x:c r="U9" s="1790" t="str">
        <x:f t="shared" si="3">IF(AND(ISNUMBER(T9),ISNUMBER(H9)),IF(AND(H9&gt;=1,H9&lt;=4,MOD(H9,1)=0),T9*10+H9,""),"")</x:f>
      </x:c>
      <x:c r="V9" s="1798"/>
      <x:c r="W9" s="1122"/>
      <x:c r="X9" s="1114"/>
    </x:row>
    <x:row r="10" s="953" customFormat="1" ht="70" customHeight="1">
      <x:c r="A10" s="951"/>
      <x:c r="B10" s="1804" t="inlineStr">
        <x:is>
          <x:t xml:space="preserve">3.4</x:t>
        </x:is>
      </x:c>
      <x:c r="C10" s="1868" t="inlineStr">
        <x:is>
          <x:t xml:space="preserve">Diversifier les recrutements dans les métiers du numérique de la collectivité : femmes, reconversions, apprentissage, personnes en situation de handicap.</x:t>
        </x:is>
      </x:c>
      <x:c r="D10" s="1798"/>
      <x:c r="E10" s="1802"/>
      <x:c r="F10" s="1802"/>
      <x:c r="G10" s="1798"/>
      <x:c r="H10" s="1802"/>
      <x:c r="I10" s="1798"/>
      <x:c r="J10" s="1806" t="str">
        <x:f t="shared" si="0">S10</x:f>
      </x:c>
      <x:c r="K10" s="1866" t="str">
        <x:f t="shared" si="4">IF(IF(ISNUMBER(E10),AND(E10&gt;=0,E10&lt;=3,MOD(E10,1)=0),FALSE),IF(E10=0,0,IF(IF(ISNUMBER(F10),AND(F10&gt;=1,F10&lt;=4,MOD(F10,1)=0),FALSE),E10*10+F10,"")),"")</x:f>
      </x:c>
      <x:c r="L10" s="1866" t="b">
        <x:f t="shared" si="5">IF(ISNUMBER(K10),K10=31,FALSE)</x:f>
        <x:v>0</x:v>
      </x:c>
      <x:c r="M10" s="1866" t="b">
        <x:f t="shared" si="6">IF(ISNUMBER(K10),OR(K10=21,K10=32),FALSE)</x:f>
        <x:v>0</x:v>
      </x:c>
      <x:c r="N10" s="1866" t="b">
        <x:f t="shared" si="7">IF(ISNUMBER(K10),OR(K10=22,K10=33),FALSE)</x:f>
        <x:v>0</x:v>
      </x:c>
      <x:c r="O10" s="1866" t="b">
        <x:f t="shared" si="8">IF(ISNUMBER(K10),OR(K10=11,K10=12),FALSE)</x:f>
        <x:v>0</x:v>
      </x:c>
      <x:c r="P10" s="1866" t="b">
        <x:f t="shared" si="9">IF(ISNUMBER(K10),OR(K10=23,K10=34),FALSE)</x:f>
        <x:v>0</x:v>
      </x:c>
      <x:c r="Q10" s="1866" t="b">
        <x:f t="shared" si="10">IF(ISNUMBER(K10),OR(K10=13,K10=14,K10=24),FALSE)</x:f>
        <x:v>0</x:v>
      </x:c>
      <x:c r="R10" s="1866" t="b">
        <x:f t="shared" si="11">IF(ISNUMBER(K10),K10=0,FALSE)</x:f>
        <x:v>0</x:v>
      </x:c>
      <x:c r="S10" s="1866" t="str">
        <x:f t="shared" si="1">IF(ISNUMBER(T10),INDEX($L$5:$R$5,1,7-T10),"")</x:f>
      </x:c>
      <x:c r="T10" s="1866" t="str">
        <x:f t="shared" si="2">IF(ISNUMBER(K10),IF(L10,6,IF(M10,5,IF(N10,4,IF(O10,3,IF(P10,2,IF(Q10,1,0)))))),"")</x:f>
      </x:c>
      <x:c r="U10" s="1866" t="str">
        <x:f t="shared" si="3">IF(AND(ISNUMBER(T10),ISNUMBER(H10)),IF(AND(H10&gt;=1,H10&lt;=4,MOD(H10,1)=0),T10*10+H10,""),"")</x:f>
      </x:c>
      <x:c r="V10" s="1798"/>
      <x:c r="W10" s="1131"/>
      <x:c r="X10" s="1114"/>
      <x:c r="Y10" s="952"/>
      <x:c r="Z10" s="952"/>
      <x:c r="AA10" s="952"/>
      <x:c r="AB10" s="952"/>
      <x:c r="AC10" s="952"/>
      <x:c r="AD10" s="952"/>
      <x:c r="AE10" s="952"/>
      <x:c r="AF10" s="952"/>
      <x:c r="AG10" s="952"/>
      <x:c r="AH10" s="952"/>
      <x:c r="AI10" s="952"/>
      <x:c r="AJ10" s="952"/>
      <x:c r="AK10" s="952"/>
      <x:c r="AL10" s="952"/>
      <x:c r="AM10" s="952"/>
      <x:c r="AN10" s="952"/>
      <x:c r="AO10" s="952"/>
      <x:c r="AP10" s="952"/>
      <x:c r="AQ10" s="952"/>
      <x:c r="AR10" s="952"/>
      <x:c r="AS10" s="952"/>
      <x:c r="AT10" s="952"/>
      <x:c r="AU10" s="952"/>
      <x:c r="AV10" s="952"/>
      <x:c r="AW10" s="952"/>
      <x:c r="AX10" s="952"/>
      <x:c r="AY10" s="952"/>
      <x:c r="AZ10" s="952"/>
      <x:c r="BA10" s="952"/>
      <x:c r="BB10" s="952"/>
      <x:c r="BC10" s="952"/>
      <x:c r="BD10" s="952"/>
      <x:c r="BE10" s="952"/>
      <x:c r="BF10" s="952"/>
      <x:c r="BG10" s="952"/>
      <x:c r="BH10" s="952"/>
      <x:c r="BI10" s="952"/>
      <x:c r="BJ10" s="952"/>
      <x:c r="BK10" s="952"/>
      <x:c r="BL10" s="952"/>
      <x:c r="BM10" s="952"/>
      <x:c r="BN10" s="952"/>
      <x:c r="BO10" s="952"/>
      <x:c r="BP10" s="952"/>
      <x:c r="BQ10" s="952"/>
      <x:c r="BR10" s="952"/>
      <x:c r="BS10" s="952"/>
      <x:c r="BT10" s="952"/>
      <x:c r="BU10" s="952"/>
      <x:c r="BV10" s="952"/>
      <x:c r="BW10" s="952"/>
      <x:c r="BX10" s="952"/>
      <x:c r="BY10" s="952"/>
      <x:c r="BZ10" s="952"/>
      <x:c r="CA10" s="952"/>
      <x:c r="CB10" s="952"/>
      <x:c r="CC10" s="952"/>
      <x:c r="CD10" s="952"/>
      <x:c r="CE10" s="952"/>
      <x:c r="CF10" s="952"/>
      <x:c r="CG10" s="952"/>
      <x:c r="CH10" s="952"/>
      <x:c r="CI10" s="952"/>
      <x:c r="CJ10" s="952"/>
      <x:c r="CK10" s="952"/>
      <x:c r="CL10" s="952"/>
      <x:c r="CM10" s="952"/>
      <x:c r="CN10" s="952"/>
      <x:c r="CO10" s="952"/>
      <x:c r="CP10" s="952"/>
      <x:c r="CQ10" s="952"/>
      <x:c r="CR10" s="952"/>
      <x:c r="CS10" s="952"/>
      <x:c r="CT10" s="952"/>
      <x:c r="CU10" s="952"/>
      <x:c r="CV10" s="952"/>
      <x:c r="CW10" s="952"/>
      <x:c r="CX10" s="952"/>
      <x:c r="CY10" s="952"/>
      <x:c r="CZ10" s="952"/>
      <x:c r="DA10" s="952"/>
      <x:c r="DB10" s="952"/>
      <x:c r="DC10" s="952"/>
      <x:c r="DD10" s="952"/>
      <x:c r="DE10" s="952"/>
      <x:c r="DF10" s="952"/>
      <x:c r="DG10" s="952"/>
      <x:c r="DH10" s="952"/>
      <x:c r="DI10" s="952"/>
      <x:c r="DJ10" s="952"/>
      <x:c r="DK10" s="952"/>
      <x:c r="DL10" s="952"/>
      <x:c r="DM10" s="952"/>
      <x:c r="DN10" s="952"/>
      <x:c r="DO10" s="952"/>
      <x:c r="DP10" s="952"/>
      <x:c r="DQ10" s="952"/>
      <x:c r="DR10" s="952"/>
      <x:c r="DS10" s="952"/>
      <x:c r="DT10" s="952"/>
      <x:c r="DU10" s="952"/>
      <x:c r="DV10" s="952"/>
      <x:c r="DW10" s="952"/>
      <x:c r="DX10" s="952"/>
      <x:c r="DY10" s="952"/>
      <x:c r="DZ10" s="952"/>
      <x:c r="EA10" s="952"/>
      <x:c r="EB10" s="952"/>
      <x:c r="EC10" s="952"/>
      <x:c r="ED10" s="952"/>
      <x:c r="EE10" s="952"/>
      <x:c r="EF10" s="952"/>
      <x:c r="EG10" s="952"/>
      <x:c r="EH10" s="952"/>
      <x:c r="EI10" s="952"/>
      <x:c r="EJ10" s="952"/>
      <x:c r="EK10" s="952"/>
      <x:c r="EL10" s="952"/>
      <x:c r="EM10" s="952"/>
      <x:c r="EN10" s="952"/>
      <x:c r="EO10" s="952"/>
      <x:c r="EP10" s="952"/>
      <x:c r="EQ10" s="952"/>
      <x:c r="ER10" s="952"/>
      <x:c r="ES10" s="952"/>
      <x:c r="ET10" s="952"/>
      <x:c r="EU10" s="952"/>
      <x:c r="EV10" s="952"/>
      <x:c r="EW10" s="952"/>
      <x:c r="EX10" s="952"/>
      <x:c r="EY10" s="952"/>
      <x:c r="EZ10" s="952"/>
      <x:c r="FA10" s="952"/>
      <x:c r="FB10" s="952"/>
      <x:c r="FC10" s="952"/>
      <x:c r="FD10" s="952"/>
      <x:c r="FE10" s="952"/>
      <x:c r="FF10" s="952"/>
      <x:c r="FG10" s="952"/>
      <x:c r="FH10" s="952"/>
      <x:c r="FI10" s="952"/>
      <x:c r="FJ10" s="952"/>
      <x:c r="FK10" s="952"/>
      <x:c r="FL10" s="952"/>
      <x:c r="FM10" s="952"/>
      <x:c r="FN10" s="952"/>
      <x:c r="FO10" s="952"/>
      <x:c r="FP10" s="952"/>
      <x:c r="FQ10" s="952"/>
      <x:c r="FR10" s="952"/>
      <x:c r="FS10" s="952"/>
      <x:c r="FT10" s="952"/>
      <x:c r="FU10" s="952"/>
      <x:c r="FV10" s="952"/>
      <x:c r="FW10" s="952"/>
      <x:c r="FX10" s="952"/>
      <x:c r="FY10" s="952"/>
      <x:c r="FZ10" s="952"/>
      <x:c r="GA10" s="952"/>
      <x:c r="GB10" s="952"/>
      <x:c r="GC10" s="952"/>
      <x:c r="GD10" s="952"/>
      <x:c r="GE10" s="952"/>
      <x:c r="GF10" s="952"/>
      <x:c r="GG10" s="952"/>
      <x:c r="GH10" s="952"/>
      <x:c r="GI10" s="952"/>
      <x:c r="GJ10" s="952"/>
      <x:c r="GK10" s="952"/>
      <x:c r="GL10" s="952"/>
      <x:c r="GM10" s="952"/>
      <x:c r="GN10" s="952"/>
      <x:c r="GO10" s="952"/>
      <x:c r="GP10" s="952"/>
      <x:c r="GQ10" s="952"/>
      <x:c r="GR10" s="952"/>
      <x:c r="GS10" s="952"/>
      <x:c r="GT10" s="952"/>
      <x:c r="GU10" s="952"/>
      <x:c r="GV10" s="952"/>
      <x:c r="GW10" s="952"/>
      <x:c r="GX10" s="952"/>
      <x:c r="GY10" s="952"/>
      <x:c r="GZ10" s="952"/>
      <x:c r="HA10" s="952"/>
      <x:c r="HB10" s="952"/>
      <x:c r="HC10" s="952"/>
      <x:c r="HD10" s="952"/>
      <x:c r="HE10" s="952"/>
      <x:c r="HF10" s="952"/>
      <x:c r="HG10" s="952"/>
      <x:c r="HH10" s="952"/>
      <x:c r="HI10" s="952"/>
      <x:c r="HJ10" s="952"/>
      <x:c r="HK10" s="952"/>
      <x:c r="HL10" s="952"/>
      <x:c r="HM10" s="952"/>
      <x:c r="HN10" s="952"/>
      <x:c r="HO10" s="952"/>
      <x:c r="HP10" s="952"/>
      <x:c r="HQ10" s="952"/>
      <x:c r="HR10" s="952"/>
      <x:c r="HS10" s="952"/>
      <x:c r="HT10" s="952"/>
      <x:c r="HU10" s="952"/>
      <x:c r="HV10" s="952"/>
      <x:c r="HW10" s="952"/>
      <x:c r="HX10" s="952"/>
      <x:c r="HY10" s="952"/>
      <x:c r="HZ10" s="952"/>
      <x:c r="IA10" s="952"/>
      <x:c r="IB10" s="952"/>
      <x:c r="IC10" s="952"/>
      <x:c r="ID10" s="952"/>
      <x:c r="IE10" s="952"/>
      <x:c r="IF10" s="952"/>
      <x:c r="IG10" s="952"/>
      <x:c r="IH10" s="952"/>
      <x:c r="II10" s="952"/>
      <x:c r="IJ10" s="952"/>
      <x:c r="IK10" s="952"/>
      <x:c r="IL10" s="952"/>
      <x:c r="IM10" s="952"/>
      <x:c r="IN10" s="952"/>
      <x:c r="IO10" s="952"/>
      <x:c r="IP10" s="952"/>
      <x:c r="IQ10" s="952"/>
      <x:c r="IR10" s="952"/>
      <x:c r="IS10" s="952"/>
      <x:c r="IT10" s="952"/>
      <x:c r="IU10" s="952"/>
      <x:c r="IV10" s="952"/>
      <x:c r="IW10" s="952"/>
      <x:c r="IX10" s="952"/>
      <x:c r="IY10" s="952"/>
      <x:c r="IZ10" s="952"/>
      <x:c r="JA10" s="952"/>
      <x:c r="JB10" s="952"/>
      <x:c r="JC10" s="952"/>
      <x:c r="JD10" s="952"/>
      <x:c r="JE10" s="952"/>
      <x:c r="JF10" s="952"/>
      <x:c r="JG10" s="952"/>
      <x:c r="JH10" s="952"/>
      <x:c r="JI10" s="952"/>
      <x:c r="JJ10" s="952"/>
      <x:c r="JK10" s="952"/>
      <x:c r="JL10" s="952"/>
      <x:c r="JM10" s="952"/>
      <x:c r="JN10" s="952"/>
      <x:c r="JO10" s="952"/>
      <x:c r="JP10" s="952"/>
      <x:c r="JQ10" s="952"/>
      <x:c r="JR10" s="952"/>
      <x:c r="JS10" s="952"/>
      <x:c r="JT10" s="952"/>
      <x:c r="JU10" s="952"/>
      <x:c r="JV10" s="952"/>
      <x:c r="JW10" s="952"/>
      <x:c r="JX10" s="952"/>
      <x:c r="JY10" s="952"/>
      <x:c r="JZ10" s="952"/>
      <x:c r="KA10" s="952"/>
      <x:c r="KB10" s="952"/>
      <x:c r="KC10" s="952"/>
      <x:c r="KD10" s="952"/>
      <x:c r="KE10" s="952"/>
      <x:c r="KF10" s="952"/>
      <x:c r="KG10" s="952"/>
      <x:c r="KH10" s="952"/>
      <x:c r="KI10" s="952"/>
      <x:c r="KJ10" s="952"/>
      <x:c r="KK10" s="952"/>
      <x:c r="KL10" s="952"/>
      <x:c r="KM10" s="952"/>
      <x:c r="KN10" s="952"/>
      <x:c r="KO10" s="952"/>
      <x:c r="KP10" s="952"/>
      <x:c r="KQ10" s="952"/>
      <x:c r="KR10" s="952"/>
      <x:c r="KS10" s="952"/>
      <x:c r="KT10" s="952"/>
      <x:c r="KU10" s="952"/>
      <x:c r="KV10" s="952"/>
      <x:c r="KW10" s="952"/>
      <x:c r="KX10" s="952"/>
      <x:c r="KY10" s="952"/>
      <x:c r="KZ10" s="952"/>
      <x:c r="LA10" s="952"/>
      <x:c r="LB10" s="952"/>
      <x:c r="LC10" s="952"/>
      <x:c r="LD10" s="952"/>
      <x:c r="LE10" s="952"/>
      <x:c r="LF10" s="952"/>
      <x:c r="LG10" s="952"/>
      <x:c r="LH10" s="952"/>
      <x:c r="LI10" s="952"/>
      <x:c r="LJ10" s="952"/>
      <x:c r="LK10" s="952"/>
      <x:c r="LL10" s="952"/>
      <x:c r="LM10" s="952"/>
      <x:c r="LN10" s="952"/>
      <x:c r="LO10" s="952"/>
      <x:c r="LP10" s="952"/>
      <x:c r="LQ10" s="952"/>
      <x:c r="LR10" s="952"/>
      <x:c r="LS10" s="952"/>
      <x:c r="LT10" s="952"/>
      <x:c r="LU10" s="952"/>
      <x:c r="LV10" s="952"/>
      <x:c r="LW10" s="952"/>
      <x:c r="LX10" s="952"/>
      <x:c r="LY10" s="952"/>
      <x:c r="LZ10" s="952"/>
      <x:c r="MA10" s="952"/>
      <x:c r="MB10" s="952"/>
      <x:c r="MC10" s="952"/>
      <x:c r="MD10" s="952"/>
      <x:c r="ME10" s="952"/>
      <x:c r="MF10" s="952"/>
      <x:c r="MG10" s="952"/>
      <x:c r="MH10" s="952"/>
      <x:c r="MI10" s="952"/>
      <x:c r="MJ10" s="952"/>
      <x:c r="MK10" s="952"/>
      <x:c r="ML10" s="952"/>
      <x:c r="MM10" s="952"/>
      <x:c r="MN10" s="952"/>
      <x:c r="MO10" s="952"/>
      <x:c r="MP10" s="952"/>
      <x:c r="MQ10" s="952"/>
      <x:c r="MR10" s="952"/>
      <x:c r="MS10" s="952"/>
      <x:c r="MT10" s="952"/>
      <x:c r="MU10" s="952"/>
      <x:c r="MV10" s="952"/>
      <x:c r="MW10" s="952"/>
      <x:c r="MX10" s="952"/>
      <x:c r="MY10" s="952"/>
      <x:c r="MZ10" s="952"/>
      <x:c r="NA10" s="952"/>
      <x:c r="NB10" s="952"/>
      <x:c r="NC10" s="952"/>
      <x:c r="ND10" s="952"/>
      <x:c r="NE10" s="952"/>
      <x:c r="NF10" s="952"/>
      <x:c r="NG10" s="952"/>
      <x:c r="NH10" s="952"/>
      <x:c r="NI10" s="952"/>
      <x:c r="NJ10" s="952"/>
      <x:c r="NK10" s="952"/>
      <x:c r="NL10" s="952"/>
      <x:c r="NM10" s="952"/>
      <x:c r="NN10" s="952"/>
      <x:c r="NO10" s="952"/>
      <x:c r="NP10" s="952"/>
      <x:c r="NQ10" s="952"/>
      <x:c r="NR10" s="952"/>
      <x:c r="NS10" s="952"/>
      <x:c r="NT10" s="952"/>
      <x:c r="NU10" s="952"/>
      <x:c r="NV10" s="952"/>
      <x:c r="NW10" s="952"/>
      <x:c r="NX10" s="952"/>
      <x:c r="NY10" s="952"/>
      <x:c r="NZ10" s="952"/>
      <x:c r="OA10" s="952"/>
      <x:c r="OB10" s="952"/>
      <x:c r="OC10" s="952"/>
      <x:c r="OD10" s="952"/>
      <x:c r="OE10" s="952"/>
      <x:c r="OF10" s="952"/>
      <x:c r="OG10" s="952"/>
      <x:c r="OH10" s="952"/>
      <x:c r="OI10" s="952"/>
      <x:c r="OJ10" s="952"/>
      <x:c r="OK10" s="952"/>
      <x:c r="OL10" s="952"/>
      <x:c r="OM10" s="952"/>
      <x:c r="ON10" s="952"/>
      <x:c r="OO10" s="952"/>
      <x:c r="OP10" s="952"/>
      <x:c r="OQ10" s="952"/>
      <x:c r="OR10" s="952"/>
      <x:c r="OS10" s="952"/>
      <x:c r="OT10" s="952"/>
      <x:c r="OU10" s="952"/>
      <x:c r="OV10" s="952"/>
      <x:c r="OW10" s="952"/>
      <x:c r="OX10" s="952"/>
      <x:c r="OY10" s="952"/>
      <x:c r="OZ10" s="952"/>
      <x:c r="PA10" s="952"/>
      <x:c r="PB10" s="952"/>
      <x:c r="PC10" s="952"/>
      <x:c r="PD10" s="952"/>
      <x:c r="PE10" s="952"/>
      <x:c r="PF10" s="952"/>
      <x:c r="PG10" s="952"/>
      <x:c r="PH10" s="952"/>
      <x:c r="PI10" s="952"/>
      <x:c r="PJ10" s="952"/>
      <x:c r="PK10" s="952"/>
      <x:c r="PL10" s="952"/>
      <x:c r="PM10" s="952"/>
      <x:c r="PN10" s="952"/>
      <x:c r="PO10" s="952"/>
      <x:c r="PP10" s="952"/>
      <x:c r="PQ10" s="952"/>
      <x:c r="PR10" s="952"/>
      <x:c r="PS10" s="952"/>
      <x:c r="PT10" s="952"/>
      <x:c r="PU10" s="952"/>
      <x:c r="PV10" s="952"/>
      <x:c r="PW10" s="952"/>
      <x:c r="PX10" s="952"/>
      <x:c r="PY10" s="952"/>
      <x:c r="PZ10" s="952"/>
      <x:c r="QA10" s="952"/>
      <x:c r="QB10" s="952"/>
      <x:c r="QC10" s="952"/>
      <x:c r="QD10" s="952"/>
      <x:c r="QE10" s="952"/>
    </x:row>
    <x:row r="11" s="953" customFormat="1" ht="70" customHeight="1">
      <x:c r="A11" s="951"/>
      <x:c r="B11" s="1804" t="inlineStr">
        <x:is>
          <x:t xml:space="preserve">3.5</x:t>
        </x:is>
      </x:c>
      <x:c r="C11" s="1796" t="inlineStr">
        <x:is>
          <x:t xml:space="preserve">Améliorer les conditions de travail des agents du numérique et exiger de bonnes conditions de travail chez les prestataires.</x:t>
        </x:is>
      </x:c>
      <x:c r="D11" s="1798"/>
      <x:c r="E11" s="1802"/>
      <x:c r="F11" s="1802"/>
      <x:c r="G11" s="1798"/>
      <x:c r="H11" s="1802"/>
      <x:c r="I11" s="1798"/>
      <x:c r="J11" s="1806" t="str">
        <x:f t="shared" si="0">S11</x:f>
      </x:c>
      <x:c r="K11" s="1783" t="str">
        <x:f t="shared" si="4">IF(IF(ISNUMBER(E11),AND(E11&gt;=0,E11&lt;=3,MOD(E11,1)=0),FALSE),IF(E11=0,0,IF(IF(ISNUMBER(F11),AND(F11&gt;=1,F11&lt;=4,MOD(F11,1)=0),FALSE),E11*10+F11,"")),"")</x:f>
      </x:c>
      <x:c r="L11" s="1783" t="b">
        <x:f t="shared" si="5">IF(ISNUMBER(K11),K11=31,FALSE)</x:f>
        <x:v>0</x:v>
      </x:c>
      <x:c r="M11" s="1783" t="b">
        <x:f t="shared" si="6">IF(ISNUMBER(K11),OR(K11=21,K11=32),FALSE)</x:f>
        <x:v>0</x:v>
      </x:c>
      <x:c r="N11" s="1783" t="b">
        <x:f t="shared" si="7">IF(ISNUMBER(K11),OR(K11=22,K11=33),FALSE)</x:f>
        <x:v>0</x:v>
      </x:c>
      <x:c r="O11" s="1783" t="b">
        <x:f t="shared" si="8">IF(ISNUMBER(K11),OR(K11=11,K11=12),FALSE)</x:f>
        <x:v>0</x:v>
      </x:c>
      <x:c r="P11" s="1783" t="b">
        <x:f t="shared" si="9">IF(ISNUMBER(K11),OR(K11=23,K11=34),FALSE)</x:f>
        <x:v>0</x:v>
      </x:c>
      <x:c r="Q11" s="1783" t="b">
        <x:f t="shared" si="10">IF(ISNUMBER(K11),OR(K11=13,K11=14,K11=24),FALSE)</x:f>
        <x:v>0</x:v>
      </x:c>
      <x:c r="R11" s="1783" t="b">
        <x:f t="shared" si="11">IF(ISNUMBER(K11),K11=0,FALSE)</x:f>
        <x:v>0</x:v>
      </x:c>
      <x:c r="S11" s="1783" t="str">
        <x:f t="shared" si="1">IF(ISNUMBER(T11),INDEX($L$5:$R$5,1,7-T11),"")</x:f>
      </x:c>
      <x:c r="T11" s="1783" t="str">
        <x:f t="shared" si="2">IF(ISNUMBER(K11),IF(L11,6,IF(M11,5,IF(N11,4,IF(O11,3,IF(P11,2,IF(Q11,1,0)))))),"")</x:f>
      </x:c>
      <x:c r="U11" s="1783" t="str">
        <x:f t="shared" si="3">IF(AND(ISNUMBER(T11),ISNUMBER(H11)),IF(AND(H11&gt;=1,H11&lt;=4,MOD(H11,1)=0),T11*10+H11,""),"")</x:f>
      </x:c>
      <x:c r="V11" s="1798"/>
      <x:c r="W11" s="1112"/>
      <x:c r="X11" s="1108"/>
      <x:c r="Y11" s="952"/>
      <x:c r="Z11" s="952"/>
      <x:c r="AA11" s="952"/>
      <x:c r="AB11" s="952"/>
      <x:c r="AC11" s="952"/>
      <x:c r="AD11" s="952"/>
      <x:c r="AE11" s="952"/>
      <x:c r="AF11" s="952"/>
      <x:c r="AG11" s="952"/>
      <x:c r="AH11" s="952"/>
      <x:c r="AI11" s="952"/>
      <x:c r="AJ11" s="952"/>
      <x:c r="AK11" s="952"/>
      <x:c r="AL11" s="952"/>
      <x:c r="AM11" s="952"/>
      <x:c r="AN11" s="952"/>
      <x:c r="AO11" s="952"/>
      <x:c r="AP11" s="952"/>
      <x:c r="AQ11" s="952"/>
      <x:c r="AR11" s="952"/>
      <x:c r="AS11" s="952"/>
      <x:c r="AT11" s="952"/>
      <x:c r="AU11" s="952"/>
      <x:c r="AV11" s="952"/>
      <x:c r="AW11" s="952"/>
      <x:c r="AX11" s="952"/>
      <x:c r="AY11" s="952"/>
      <x:c r="AZ11" s="952"/>
      <x:c r="BA11" s="952"/>
      <x:c r="BB11" s="952"/>
      <x:c r="BC11" s="952"/>
      <x:c r="BD11" s="952"/>
      <x:c r="BE11" s="952"/>
      <x:c r="BF11" s="952"/>
      <x:c r="BG11" s="952"/>
      <x:c r="BH11" s="952"/>
      <x:c r="BI11" s="952"/>
      <x:c r="BJ11" s="952"/>
      <x:c r="BK11" s="952"/>
      <x:c r="BL11" s="952"/>
      <x:c r="BM11" s="952"/>
      <x:c r="BN11" s="952"/>
      <x:c r="BO11" s="952"/>
      <x:c r="BP11" s="952"/>
      <x:c r="BQ11" s="952"/>
      <x:c r="BR11" s="952"/>
      <x:c r="BS11" s="952"/>
      <x:c r="BT11" s="952"/>
      <x:c r="BU11" s="952"/>
      <x:c r="BV11" s="952"/>
      <x:c r="BW11" s="952"/>
      <x:c r="BX11" s="952"/>
      <x:c r="BY11" s="952"/>
      <x:c r="BZ11" s="952"/>
      <x:c r="CA11" s="952"/>
      <x:c r="CB11" s="952"/>
      <x:c r="CC11" s="952"/>
      <x:c r="CD11" s="952"/>
      <x:c r="CE11" s="952"/>
      <x:c r="CF11" s="952"/>
      <x:c r="CG11" s="952"/>
      <x:c r="CH11" s="952"/>
      <x:c r="CI11" s="952"/>
      <x:c r="CJ11" s="952"/>
      <x:c r="CK11" s="952"/>
      <x:c r="CL11" s="952"/>
      <x:c r="CM11" s="952"/>
      <x:c r="CN11" s="952"/>
      <x:c r="CO11" s="952"/>
      <x:c r="CP11" s="952"/>
      <x:c r="CQ11" s="952"/>
      <x:c r="CR11" s="952"/>
      <x:c r="CS11" s="952"/>
      <x:c r="CT11" s="952"/>
      <x:c r="CU11" s="952"/>
      <x:c r="CV11" s="952"/>
      <x:c r="CW11" s="952"/>
      <x:c r="CX11" s="952"/>
      <x:c r="CY11" s="952"/>
      <x:c r="CZ11" s="952"/>
      <x:c r="DA11" s="952"/>
      <x:c r="DB11" s="952"/>
      <x:c r="DC11" s="952"/>
      <x:c r="DD11" s="952"/>
      <x:c r="DE11" s="952"/>
      <x:c r="DF11" s="952"/>
      <x:c r="DG11" s="952"/>
      <x:c r="DH11" s="952"/>
      <x:c r="DI11" s="952"/>
      <x:c r="DJ11" s="952"/>
      <x:c r="DK11" s="952"/>
      <x:c r="DL11" s="952"/>
      <x:c r="DM11" s="952"/>
      <x:c r="DN11" s="952"/>
      <x:c r="DO11" s="952"/>
      <x:c r="DP11" s="952"/>
      <x:c r="DQ11" s="952"/>
      <x:c r="DR11" s="952"/>
      <x:c r="DS11" s="952"/>
      <x:c r="DT11" s="952"/>
      <x:c r="DU11" s="952"/>
      <x:c r="DV11" s="952"/>
      <x:c r="DW11" s="952"/>
      <x:c r="DX11" s="952"/>
      <x:c r="DY11" s="952"/>
      <x:c r="DZ11" s="952"/>
      <x:c r="EA11" s="952"/>
      <x:c r="EB11" s="952"/>
      <x:c r="EC11" s="952"/>
      <x:c r="ED11" s="952"/>
      <x:c r="EE11" s="952"/>
      <x:c r="EF11" s="952"/>
      <x:c r="EG11" s="952"/>
      <x:c r="EH11" s="952"/>
      <x:c r="EI11" s="952"/>
      <x:c r="EJ11" s="952"/>
      <x:c r="EK11" s="952"/>
      <x:c r="EL11" s="952"/>
      <x:c r="EM11" s="952"/>
      <x:c r="EN11" s="952"/>
      <x:c r="EO11" s="952"/>
      <x:c r="EP11" s="952"/>
      <x:c r="EQ11" s="952"/>
      <x:c r="ER11" s="952"/>
      <x:c r="ES11" s="952"/>
      <x:c r="ET11" s="952"/>
      <x:c r="EU11" s="952"/>
      <x:c r="EV11" s="952"/>
      <x:c r="EW11" s="952"/>
      <x:c r="EX11" s="952"/>
      <x:c r="EY11" s="952"/>
      <x:c r="EZ11" s="952"/>
      <x:c r="FA11" s="952"/>
      <x:c r="FB11" s="952"/>
      <x:c r="FC11" s="952"/>
      <x:c r="FD11" s="952"/>
      <x:c r="FE11" s="952"/>
      <x:c r="FF11" s="952"/>
      <x:c r="FG11" s="952"/>
      <x:c r="FH11" s="952"/>
      <x:c r="FI11" s="952"/>
      <x:c r="FJ11" s="952"/>
      <x:c r="FK11" s="952"/>
      <x:c r="FL11" s="952"/>
      <x:c r="FM11" s="952"/>
      <x:c r="FN11" s="952"/>
      <x:c r="FO11" s="952"/>
      <x:c r="FP11" s="952"/>
      <x:c r="FQ11" s="952"/>
      <x:c r="FR11" s="952"/>
      <x:c r="FS11" s="952"/>
      <x:c r="FT11" s="952"/>
      <x:c r="FU11" s="952"/>
      <x:c r="FV11" s="952"/>
      <x:c r="FW11" s="952"/>
      <x:c r="FX11" s="952"/>
      <x:c r="FY11" s="952"/>
      <x:c r="FZ11" s="952"/>
      <x:c r="GA11" s="952"/>
      <x:c r="GB11" s="952"/>
      <x:c r="GC11" s="952"/>
      <x:c r="GD11" s="952"/>
      <x:c r="GE11" s="952"/>
      <x:c r="GF11" s="952"/>
      <x:c r="GG11" s="952"/>
      <x:c r="GH11" s="952"/>
      <x:c r="GI11" s="952"/>
      <x:c r="GJ11" s="952"/>
      <x:c r="GK11" s="952"/>
      <x:c r="GL11" s="952"/>
      <x:c r="GM11" s="952"/>
      <x:c r="GN11" s="952"/>
      <x:c r="GO11" s="952"/>
      <x:c r="GP11" s="952"/>
      <x:c r="GQ11" s="952"/>
      <x:c r="GR11" s="952"/>
      <x:c r="GS11" s="952"/>
      <x:c r="GT11" s="952"/>
      <x:c r="GU11" s="952"/>
      <x:c r="GV11" s="952"/>
      <x:c r="GW11" s="952"/>
      <x:c r="GX11" s="952"/>
      <x:c r="GY11" s="952"/>
      <x:c r="GZ11" s="952"/>
      <x:c r="HA11" s="952"/>
      <x:c r="HB11" s="952"/>
      <x:c r="HC11" s="952"/>
      <x:c r="HD11" s="952"/>
      <x:c r="HE11" s="952"/>
      <x:c r="HF11" s="952"/>
      <x:c r="HG11" s="952"/>
      <x:c r="HH11" s="952"/>
      <x:c r="HI11" s="952"/>
      <x:c r="HJ11" s="952"/>
      <x:c r="HK11" s="952"/>
      <x:c r="HL11" s="952"/>
      <x:c r="HM11" s="952"/>
      <x:c r="HN11" s="952"/>
      <x:c r="HO11" s="952"/>
      <x:c r="HP11" s="952"/>
      <x:c r="HQ11" s="952"/>
      <x:c r="HR11" s="952"/>
      <x:c r="HS11" s="952"/>
      <x:c r="HT11" s="952"/>
      <x:c r="HU11" s="952"/>
      <x:c r="HV11" s="952"/>
      <x:c r="HW11" s="952"/>
      <x:c r="HX11" s="952"/>
      <x:c r="HY11" s="952"/>
      <x:c r="HZ11" s="952"/>
      <x:c r="IA11" s="952"/>
      <x:c r="IB11" s="952"/>
      <x:c r="IC11" s="952"/>
      <x:c r="ID11" s="952"/>
      <x:c r="IE11" s="952"/>
      <x:c r="IF11" s="952"/>
      <x:c r="IG11" s="952"/>
      <x:c r="IH11" s="952"/>
      <x:c r="II11" s="952"/>
      <x:c r="IJ11" s="952"/>
      <x:c r="IK11" s="952"/>
      <x:c r="IL11" s="952"/>
      <x:c r="IM11" s="952"/>
      <x:c r="IN11" s="952"/>
      <x:c r="IO11" s="952"/>
      <x:c r="IP11" s="952"/>
      <x:c r="IQ11" s="952"/>
      <x:c r="IR11" s="952"/>
      <x:c r="IS11" s="952"/>
      <x:c r="IT11" s="952"/>
      <x:c r="IU11" s="952"/>
      <x:c r="IV11" s="952"/>
      <x:c r="IW11" s="952"/>
      <x:c r="IX11" s="952"/>
      <x:c r="IY11" s="952"/>
      <x:c r="IZ11" s="952"/>
      <x:c r="JA11" s="952"/>
      <x:c r="JB11" s="952"/>
      <x:c r="JC11" s="952"/>
      <x:c r="JD11" s="952"/>
      <x:c r="JE11" s="952"/>
      <x:c r="JF11" s="952"/>
      <x:c r="JG11" s="952"/>
      <x:c r="JH11" s="952"/>
      <x:c r="JI11" s="952"/>
      <x:c r="JJ11" s="952"/>
      <x:c r="JK11" s="952"/>
      <x:c r="JL11" s="952"/>
      <x:c r="JM11" s="952"/>
      <x:c r="JN11" s="952"/>
      <x:c r="JO11" s="952"/>
      <x:c r="JP11" s="952"/>
      <x:c r="JQ11" s="952"/>
      <x:c r="JR11" s="952"/>
      <x:c r="JS11" s="952"/>
      <x:c r="JT11" s="952"/>
      <x:c r="JU11" s="952"/>
      <x:c r="JV11" s="952"/>
      <x:c r="JW11" s="952"/>
      <x:c r="JX11" s="952"/>
      <x:c r="JY11" s="952"/>
      <x:c r="JZ11" s="952"/>
      <x:c r="KA11" s="952"/>
      <x:c r="KB11" s="952"/>
      <x:c r="KC11" s="952"/>
      <x:c r="KD11" s="952"/>
      <x:c r="KE11" s="952"/>
      <x:c r="KF11" s="952"/>
      <x:c r="KG11" s="952"/>
      <x:c r="KH11" s="952"/>
      <x:c r="KI11" s="952"/>
      <x:c r="KJ11" s="952"/>
      <x:c r="KK11" s="952"/>
      <x:c r="KL11" s="952"/>
      <x:c r="KM11" s="952"/>
      <x:c r="KN11" s="952"/>
      <x:c r="KO11" s="952"/>
      <x:c r="KP11" s="952"/>
      <x:c r="KQ11" s="952"/>
      <x:c r="KR11" s="952"/>
      <x:c r="KS11" s="952"/>
      <x:c r="KT11" s="952"/>
      <x:c r="KU11" s="952"/>
      <x:c r="KV11" s="952"/>
      <x:c r="KW11" s="952"/>
      <x:c r="KX11" s="952"/>
      <x:c r="KY11" s="952"/>
      <x:c r="KZ11" s="952"/>
      <x:c r="LA11" s="952"/>
      <x:c r="LB11" s="952"/>
      <x:c r="LC11" s="952"/>
      <x:c r="LD11" s="952"/>
      <x:c r="LE11" s="952"/>
      <x:c r="LF11" s="952"/>
      <x:c r="LG11" s="952"/>
      <x:c r="LH11" s="952"/>
      <x:c r="LI11" s="952"/>
      <x:c r="LJ11" s="952"/>
      <x:c r="LK11" s="952"/>
      <x:c r="LL11" s="952"/>
      <x:c r="LM11" s="952"/>
      <x:c r="LN11" s="952"/>
      <x:c r="LO11" s="952"/>
      <x:c r="LP11" s="952"/>
      <x:c r="LQ11" s="952"/>
      <x:c r="LR11" s="952"/>
      <x:c r="LS11" s="952"/>
      <x:c r="LT11" s="952"/>
      <x:c r="LU11" s="952"/>
      <x:c r="LV11" s="952"/>
      <x:c r="LW11" s="952"/>
      <x:c r="LX11" s="952"/>
      <x:c r="LY11" s="952"/>
      <x:c r="LZ11" s="952"/>
      <x:c r="MA11" s="952"/>
      <x:c r="MB11" s="952"/>
      <x:c r="MC11" s="952"/>
      <x:c r="MD11" s="952"/>
      <x:c r="ME11" s="952"/>
      <x:c r="MF11" s="952"/>
      <x:c r="MG11" s="952"/>
      <x:c r="MH11" s="952"/>
      <x:c r="MI11" s="952"/>
      <x:c r="MJ11" s="952"/>
      <x:c r="MK11" s="952"/>
      <x:c r="ML11" s="952"/>
      <x:c r="MM11" s="952"/>
      <x:c r="MN11" s="952"/>
      <x:c r="MO11" s="952"/>
      <x:c r="MP11" s="952"/>
      <x:c r="MQ11" s="952"/>
      <x:c r="MR11" s="952"/>
      <x:c r="MS11" s="952"/>
      <x:c r="MT11" s="952"/>
      <x:c r="MU11" s="952"/>
      <x:c r="MV11" s="952"/>
      <x:c r="MW11" s="952"/>
      <x:c r="MX11" s="952"/>
      <x:c r="MY11" s="952"/>
      <x:c r="MZ11" s="952"/>
      <x:c r="NA11" s="952"/>
      <x:c r="NB11" s="952"/>
      <x:c r="NC11" s="952"/>
      <x:c r="ND11" s="952"/>
      <x:c r="NE11" s="952"/>
      <x:c r="NF11" s="952"/>
      <x:c r="NG11" s="952"/>
      <x:c r="NH11" s="952"/>
      <x:c r="NI11" s="952"/>
      <x:c r="NJ11" s="952"/>
      <x:c r="NK11" s="952"/>
      <x:c r="NL11" s="952"/>
      <x:c r="NM11" s="952"/>
      <x:c r="NN11" s="952"/>
      <x:c r="NO11" s="952"/>
      <x:c r="NP11" s="952"/>
      <x:c r="NQ11" s="952"/>
      <x:c r="NR11" s="952"/>
      <x:c r="NS11" s="952"/>
      <x:c r="NT11" s="952"/>
      <x:c r="NU11" s="952"/>
      <x:c r="NV11" s="952"/>
      <x:c r="NW11" s="952"/>
      <x:c r="NX11" s="952"/>
      <x:c r="NY11" s="952"/>
      <x:c r="NZ11" s="952"/>
      <x:c r="OA11" s="952"/>
      <x:c r="OB11" s="952"/>
      <x:c r="OC11" s="952"/>
      <x:c r="OD11" s="952"/>
      <x:c r="OE11" s="952"/>
      <x:c r="OF11" s="952"/>
      <x:c r="OG11" s="952"/>
      <x:c r="OH11" s="952"/>
      <x:c r="OI11" s="952"/>
      <x:c r="OJ11" s="952"/>
      <x:c r="OK11" s="952"/>
      <x:c r="OL11" s="952"/>
      <x:c r="OM11" s="952"/>
      <x:c r="ON11" s="952"/>
      <x:c r="OO11" s="952"/>
      <x:c r="OP11" s="952"/>
      <x:c r="OQ11" s="952"/>
      <x:c r="OR11" s="952"/>
      <x:c r="OS11" s="952"/>
      <x:c r="OT11" s="952"/>
      <x:c r="OU11" s="952"/>
      <x:c r="OV11" s="952"/>
      <x:c r="OW11" s="952"/>
      <x:c r="OX11" s="952"/>
      <x:c r="OY11" s="952"/>
      <x:c r="OZ11" s="952"/>
      <x:c r="PA11" s="952"/>
      <x:c r="PB11" s="952"/>
      <x:c r="PC11" s="952"/>
      <x:c r="PD11" s="952"/>
      <x:c r="PE11" s="952"/>
      <x:c r="PF11" s="952"/>
      <x:c r="PG11" s="952"/>
      <x:c r="PH11" s="952"/>
      <x:c r="PI11" s="952"/>
      <x:c r="PJ11" s="952"/>
      <x:c r="PK11" s="952"/>
      <x:c r="PL11" s="952"/>
      <x:c r="PM11" s="952"/>
      <x:c r="PN11" s="952"/>
      <x:c r="PO11" s="952"/>
      <x:c r="PP11" s="952"/>
      <x:c r="PQ11" s="952"/>
      <x:c r="PR11" s="952"/>
      <x:c r="PS11" s="952"/>
      <x:c r="PT11" s="952"/>
      <x:c r="PU11" s="952"/>
      <x:c r="PV11" s="952"/>
      <x:c r="PW11" s="952"/>
      <x:c r="PX11" s="952"/>
      <x:c r="PY11" s="952"/>
      <x:c r="PZ11" s="952"/>
      <x:c r="QA11" s="952"/>
      <x:c r="QB11" s="952"/>
      <x:c r="QC11" s="952"/>
      <x:c r="QD11" s="952"/>
      <x:c r="QE11" s="952"/>
    </x:row>
    <x:row r="12" s="952" customFormat="1" ht="76" customHeight="1">
      <x:c r="A12" s="951"/>
      <x:c r="B12" s="1804" t="inlineStr">
        <x:is>
          <x:t xml:space="preserve">3.6</x:t>
        </x:is>
      </x:c>
      <x:c r="C12" s="1796" t="inlineStr">
        <x:is>
          <x:t xml:space="preserve">Fixer des règles éthiques pour les algorithmes publics, en particulier l'intelligence artificielle. Publier les principales règles des algorithmes qui fondent des décisions individuelles.</x:t>
        </x:is>
      </x:c>
      <x:c r="D12" s="1798"/>
      <x:c r="E12" s="1802"/>
      <x:c r="F12" s="1802"/>
      <x:c r="G12" s="1798"/>
      <x:c r="H12" s="1802"/>
      <x:c r="I12" s="1798"/>
      <x:c r="J12" s="1806" t="str">
        <x:f t="shared" si="0">S12</x:f>
      </x:c>
      <x:c r="K12" s="1786" t="str">
        <x:f t="shared" si="4">IF(IF(ISNUMBER(E12),AND(E12&gt;=0,E12&lt;=3,MOD(E12,1)=0),FALSE),IF(E12=0,0,IF(IF(ISNUMBER(F12),AND(F12&gt;=1,F12&lt;=4,MOD(F12,1)=0),FALSE),E12*10+F12,"")),"")</x:f>
      </x:c>
      <x:c r="L12" s="1786" t="b">
        <x:f t="shared" si="5">IF(ISNUMBER(K12),K12=31,FALSE)</x:f>
        <x:v>0</x:v>
      </x:c>
      <x:c r="M12" s="1786" t="b">
        <x:f t="shared" si="6">IF(ISNUMBER(K12),OR(K12=21,K12=32),FALSE)</x:f>
        <x:v>0</x:v>
      </x:c>
      <x:c r="N12" s="1786" t="b">
        <x:f t="shared" si="7">IF(ISNUMBER(K12),OR(K12=22,K12=33),FALSE)</x:f>
        <x:v>0</x:v>
      </x:c>
      <x:c r="O12" s="1786" t="b">
        <x:f t="shared" si="8">IF(ISNUMBER(K12),OR(K12=11,K12=12),FALSE)</x:f>
        <x:v>0</x:v>
      </x:c>
      <x:c r="P12" s="1786" t="b">
        <x:f t="shared" si="9">IF(ISNUMBER(K12),OR(K12=23,K12=34),FALSE)</x:f>
        <x:v>0</x:v>
      </x:c>
      <x:c r="Q12" s="1786" t="b">
        <x:f t="shared" si="10">IF(ISNUMBER(K12),OR(K12=13,K12=14,K12=24),FALSE)</x:f>
        <x:v>0</x:v>
      </x:c>
      <x:c r="R12" s="1786" t="b">
        <x:f t="shared" si="11">IF(ISNUMBER(K12),K12=0,FALSE)</x:f>
        <x:v>0</x:v>
      </x:c>
      <x:c r="S12" s="1786" t="str">
        <x:f t="shared" si="1">IF(ISNUMBER(T12),INDEX($L$5:$R$5,1,7-T12),"")</x:f>
      </x:c>
      <x:c r="T12" s="1786" t="str">
        <x:f t="shared" si="2">IF(ISNUMBER(K12),IF(L12,6,IF(M12,5,IF(N12,4,IF(O12,3,IF(P12,2,IF(Q12,1,0)))))),"")</x:f>
      </x:c>
      <x:c r="U12" s="1790" t="str">
        <x:f t="shared" si="3">IF(AND(ISNUMBER(T12),ISNUMBER(H12)),IF(AND(H12&gt;=1,H12&lt;=4,MOD(H12,1)=0),T12*10+H12,""),"")</x:f>
      </x:c>
      <x:c r="V12" s="1798"/>
      <x:c r="W12" s="1132"/>
      <x:c r="X12" s="1114"/>
    </x:row>
    <x:row r="13" s="952" customFormat="1" ht="76" customHeight="1">
      <x:c r="A13" s="951"/>
      <x:c r="B13" s="1804" t="inlineStr">
        <x:is>
          <x:t xml:space="preserve">3.7</x:t>
        </x:is>
      </x:c>
      <x:c r="C13" s="1796" t="inlineStr">
        <x:is>
          <x:t xml:space="preserve">Intégrer le numérique responsable au rapport de développement durable de la collectivité, et le faire connaître aux habitants et aux partenaires.</x:t>
        </x:is>
      </x:c>
      <x:c r="D13" s="1798"/>
      <x:c r="E13" s="1802"/>
      <x:c r="F13" s="1802"/>
      <x:c r="G13" s="1798"/>
      <x:c r="H13" s="1802"/>
      <x:c r="I13" s="1798"/>
      <x:c r="J13" s="1806" t="str">
        <x:f t="shared" si="0">S13</x:f>
      </x:c>
      <x:c r="K13" s="1786" t="str">
        <x:f t="shared" si="4">IF(IF(ISNUMBER(E13),AND(E13&gt;=0,E13&lt;=3,MOD(E13,1)=0),FALSE),IF(E13=0,0,IF(IF(ISNUMBER(F13),AND(F13&gt;=1,F13&lt;=4,MOD(F13,1)=0),FALSE),E13*10+F13,"")),"")</x:f>
      </x:c>
      <x:c r="L13" s="1786" t="b">
        <x:f t="shared" si="5">IF(ISNUMBER(K13),K13=31,FALSE)</x:f>
        <x:v>0</x:v>
      </x:c>
      <x:c r="M13" s="1786" t="b">
        <x:f t="shared" si="6">IF(ISNUMBER(K13),OR(K13=21,K13=32),FALSE)</x:f>
        <x:v>0</x:v>
      </x:c>
      <x:c r="N13" s="1786" t="b">
        <x:f t="shared" si="7">IF(ISNUMBER(K13),OR(K13=22,K13=33),FALSE)</x:f>
        <x:v>0</x:v>
      </x:c>
      <x:c r="O13" s="1786" t="b">
        <x:f t="shared" si="8">IF(ISNUMBER(K13),OR(K13=11,K13=12),FALSE)</x:f>
        <x:v>0</x:v>
      </x:c>
      <x:c r="P13" s="1786" t="b">
        <x:f t="shared" si="9">IF(ISNUMBER(K13),OR(K13=23,K13=34),FALSE)</x:f>
        <x:v>0</x:v>
      </x:c>
      <x:c r="Q13" s="1786" t="b">
        <x:f t="shared" si="10">IF(ISNUMBER(K13),OR(K13=13,K13=14,K13=24),FALSE)</x:f>
        <x:v>0</x:v>
      </x:c>
      <x:c r="R13" s="1786" t="b">
        <x:f t="shared" si="11">IF(ISNUMBER(K13),K13=0,FALSE)</x:f>
        <x:v>0</x:v>
      </x:c>
      <x:c r="S13" s="1786" t="str">
        <x:f t="shared" si="1">IF(ISNUMBER(T13),INDEX($L$5:$R$5,1,7-T13),"")</x:f>
      </x:c>
      <x:c r="T13" s="1786" t="str">
        <x:f t="shared" si="2">IF(ISNUMBER(K13),IF(L13,6,IF(M13,5,IF(N13,4,IF(O13,3,IF(P13,2,IF(Q13,1,0)))))),"")</x:f>
      </x:c>
      <x:c r="U13" s="1790" t="str">
        <x:f t="shared" si="3">IF(AND(ISNUMBER(T13),ISNUMBER(H13)),IF(AND(H13&gt;=1,H13&lt;=4,MOD(H13,1)=0),T13*10+H13,""),"")</x:f>
      </x:c>
      <x:c r="V13" s="1798"/>
      <x:c r="W13" s="1111"/>
      <x:c r="X13" s="1108"/>
    </x:row>
    <x:row r="14" s="952" customFormat="1" ht="76" customHeight="1">
      <x:c r="A14" s="951"/>
      <x:c r="B14" s="1804" t="inlineStr">
        <x:is>
          <x:t xml:space="preserve">3.8</x:t>
        </x:is>
      </x:c>
      <x:c r="C14" s="1796" t="inlineStr">
        <x:is>
          <x:t xml:space="preserve">Indiquer aux habitants quand une intelligence artificielle leur répond, expliquer comment elle décide, et garder une décision humaine pour les sujets sensibles.</x:t>
        </x:is>
      </x:c>
      <x:c r="D14" s="1798"/>
      <x:c r="E14" s="1802"/>
      <x:c r="F14" s="1802"/>
      <x:c r="G14" s="1798"/>
      <x:c r="H14" s="1802"/>
      <x:c r="I14" s="1798"/>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11"/>
      <x:c r="X14" s="1108"/>
    </x:row>
  </x:sheetData>
  <x:mergeCells>
    <x:mergeCell ref="B6:W6"/>
    <x:mergeCell ref="B4:C5"/>
    <x:mergeCell ref="D4:E4"/>
    <x:mergeCell ref="F4:G4"/>
    <x:mergeCell ref="H4:I4"/>
    <x:mergeCell ref="V4:X4"/>
    <x:mergeCell ref="B2:J3"/>
  </x:mergeCells>
  <x:conditionalFormatting sqref="J7:J14">
    <x:cfRule type="expression" dxfId="1640" priority="5595">
      <x:formula>AND(ISNUMBER($T7),$T7=6)</x:formula>
    </x:cfRule>
    <x:cfRule type="expression" dxfId="1641" priority="5596">
      <x:formula>AND(ISNUMBER($T7),$T7=5)</x:formula>
    </x:cfRule>
    <x:cfRule type="expression" dxfId="1642" priority="5597">
      <x:formula>AND(ISNUMBER($T7),$T7=4)</x:formula>
    </x:cfRule>
    <x:cfRule type="expression" dxfId="1643" priority="5598">
      <x:formula>AND(ISNUMBER($T7),$T7=3)</x:formula>
    </x:cfRule>
    <x:cfRule type="expression" dxfId="1644" priority="5599">
      <x:formula>AND(ISNUMBER($T7),$T7=2)</x:formula>
    </x:cfRule>
    <x:cfRule type="expression" dxfId="1645" priority="5600">
      <x:formula>AND(ISNUMBER($T7),$T7=1)</x:formula>
    </x:cfRule>
    <x:cfRule type="expression" dxfId="1646" priority="5601">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7.xml><?xml version="1.0" encoding="utf-8"?>
<x:worksheet xmlns:x="http://schemas.openxmlformats.org/spreadsheetml/2006/main">
  <x:sheetPr>
    <x:tabColor rgb="FF00B0F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4.33203125" style="871" hidden="1" customWidth="1"/>
    <x:col min="24" max="24" width="48.3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4 : Résilience et stratégie · Utiliser le numérique responsable pour aider l’organisation à faire face aux difficultés et à s’adapter</x:v>
      </x:c>
      <x:c r="C2" s="1716"/>
      <x:c r="D2" s="1716"/>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6"/>
      <x:c r="W3" s="1173"/>
    </x:row>
    <x:row r="4" ht="27" customHeight="1">
      <x:c r="A4" s="861"/>
      <x:c r="B4" s="1884" t="str">
        <x:v>Cibles à évaluer</x:v>
      </x:c>
      <x:c r="C4" s="1885"/>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86"/>
      <x:c r="C5" s="1887"/>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6" customHeight="1">
      <x:c r="A7" s="951"/>
      <x:c r="B7" s="1804" t="inlineStr">
        <x:is>
          <x:t xml:space="preserve">4.1</x:t>
        </x:is>
      </x:c>
      <x:c r="C7" s="1796" t="inlineStr">
        <x:is>
          <x:t xml:space="preserve">Mesurer l'empreinte environnementale du numérique de la collectivité avec des méthodes communes, pour se comparer à d'autres collectivités.</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9" si="1">IF(ISNUMBER(T7),INDEX($L$5:$R$5,1,7-T7),"")</x:f>
      </x:c>
      <x:c r="T7" s="1783" t="str">
        <x:f t="shared" ref="T7:T9" si="2">IF(ISNUMBER(K7),IF(L7,6,IF(M7,5,IF(N7,4,IF(O7,3,IF(P7,2,IF(Q7,1,0)))))),"")</x:f>
      </x:c>
      <x:c r="U7" s="1783" t="str">
        <x:f t="shared" ref="U7:U9" si="3">IF(AND(ISNUMBER(T7),ISNUMBER(H7)),IF(AND(H7&gt;=1,H7&lt;=4,MOD(H7,1)=0),T7*10+H7,""),"")</x:f>
      </x:c>
      <x:c r="V7" s="1798"/>
      <x:c r="W7" s="1110"/>
      <x:c r="X7" s="1108"/>
    </x:row>
    <x:row r="8" s="952" customFormat="1" ht="70" customHeight="1">
      <x:c r="A8" s="951"/>
      <x:c r="B8" s="1804" t="inlineStr">
        <x:is>
          <x:t xml:space="preserve">4.2</x:t>
        </x:is>
      </x:c>
      <x:c r="C8" s="1796" t="inlineStr">
        <x:is>
          <x:t xml:space="preserve">Évaluer les services numériques au fil du temps, avec les usagers, et publier les résultats.</x:t>
        </x:is>
      </x:c>
      <x:c r="D8" s="1798"/>
      <x:c r="E8" s="1802"/>
      <x:c r="F8" s="1802"/>
      <x:c r="G8" s="1798"/>
      <x:c r="H8" s="1802"/>
      <x:c r="I8" s="1798"/>
      <x:c r="J8" s="1806" t="str">
        <x:f t="shared" si="0">S8</x:f>
      </x:c>
      <x:c r="K8" s="1777" t="str">
        <x:f t="shared" ref="K8:K9" si="4">IF(IF(ISNUMBER(E8),AND(E8&gt;=0,E8&lt;=3,MOD(E8,1)=0),FALSE),IF(E8=0,0,IF(IF(ISNUMBER(F8),AND(F8&gt;=1,F8&lt;=4,MOD(F8,1)=0),FALSE),E8*10+F8,"")),"")</x:f>
      </x:c>
      <x:c r="L8" s="1777" t="b">
        <x:f t="shared" ref="L8:L9" si="5">IF(ISNUMBER(K8),K8=31,FALSE)</x:f>
        <x:v>0</x:v>
      </x:c>
      <x:c r="M8" s="1777" t="b">
        <x:f t="shared" ref="M8:M9" si="6">IF(ISNUMBER(K8),OR(K8=21,K8=32),FALSE)</x:f>
        <x:v>0</x:v>
      </x:c>
      <x:c r="N8" s="1777" t="b">
        <x:f t="shared" ref="N8:N9" si="7">IF(ISNUMBER(K8),OR(K8=22,K8=33),FALSE)</x:f>
        <x:v>0</x:v>
      </x:c>
      <x:c r="O8" s="1777" t="b">
        <x:f t="shared" ref="O8:O9" si="8">IF(ISNUMBER(K8),OR(K8=11,K8=12),FALSE)</x:f>
        <x:v>0</x:v>
      </x:c>
      <x:c r="P8" s="1777" t="b">
        <x:f t="shared" ref="P8:P9" si="9">IF(ISNUMBER(K8),OR(K8=23,K8=34),FALSE)</x:f>
        <x:v>0</x:v>
      </x:c>
      <x:c r="Q8" s="1777" t="b">
        <x:f t="shared" ref="Q8:Q9" si="10">IF(ISNUMBER(K8),OR(K8=13,K8=14,K8=24),FALSE)</x:f>
        <x:v>0</x:v>
      </x:c>
      <x:c r="R8" s="1777" t="b">
        <x:f t="shared" ref="R8:R9" si="11">IF(ISNUMBER(K8),K8=0,FALSE)</x:f>
        <x:v>0</x:v>
      </x:c>
      <x:c r="S8" s="1777" t="str">
        <x:f t="shared" si="1">IF(ISNUMBER(T8),INDEX($L$5:$R$5,1,7-T8),"")</x:f>
      </x:c>
      <x:c r="T8" s="1777" t="str">
        <x:f t="shared" si="2">IF(ISNUMBER(K8),IF(L8,6,IF(M8,5,IF(N8,4,IF(O8,3,IF(P8,2,IF(Q8,1,0)))))),"")</x:f>
      </x:c>
      <x:c r="U8" s="1790" t="str">
        <x:f t="shared" si="3">IF(AND(ISNUMBER(T8),ISNUMBER(H8)),IF(AND(H8&gt;=1,H8&lt;=4,MOD(H8,1)=0),T8*10+H8,""),"")</x:f>
      </x:c>
      <x:c r="V8" s="1798"/>
      <x:c r="W8" s="1109"/>
      <x:c r="X8" s="1108"/>
    </x:row>
    <x:row r="9" s="952" customFormat="1" ht="70" customHeight="1">
      <x:c r="A9" s="951"/>
      <x:c r="B9" s="1804" t="inlineStr">
        <x:is>
          <x:t xml:space="preserve">4.3</x:t>
        </x:is>
      </x:c>
      <x:c r="C9" s="1796" t="inlineStr">
        <x:is>
          <x:t xml:space="preserve">Expérimenter de nouveaux outils numériques pour le territoire. Évaluer leurs effets avant de les généraliser, et expliquer les résultats aux habitants.</x:t>
        </x:is>
      </x:c>
      <x:c r="D9" s="1798"/>
      <x:c r="E9" s="1802"/>
      <x:c r="F9" s="1802"/>
      <x:c r="G9" s="1798"/>
      <x:c r="H9" s="1802"/>
      <x:c r="I9" s="1798"/>
      <x:c r="J9" s="1806" t="str">
        <x:f t="shared" si="0">S9</x:f>
      </x:c>
      <x:c r="K9" s="1783" t="str">
        <x:f t="shared" si="4">IF(IF(ISNUMBER(E9),AND(E9&gt;=0,E9&lt;=3,MOD(E9,1)=0),FALSE),IF(E9=0,0,IF(IF(ISNUMBER(F9),AND(F9&gt;=1,F9&lt;=4,MOD(F9,1)=0),FALSE),E9*10+F9,"")),"")</x:f>
      </x:c>
      <x:c r="L9" s="1783" t="b">
        <x:f t="shared" si="5">IF(ISNUMBER(K9),K9=31,FALSE)</x:f>
        <x:v>0</x:v>
      </x:c>
      <x:c r="M9" s="1783" t="b">
        <x:f t="shared" si="6">IF(ISNUMBER(K9),OR(K9=21,K9=32),FALSE)</x:f>
        <x:v>0</x:v>
      </x:c>
      <x:c r="N9" s="1783" t="b">
        <x:f t="shared" si="7">IF(ISNUMBER(K9),OR(K9=22,K9=33),FALSE)</x:f>
        <x:v>0</x:v>
      </x:c>
      <x:c r="O9" s="1783" t="b">
        <x:f t="shared" si="8">IF(ISNUMBER(K9),OR(K9=11,K9=12),FALSE)</x:f>
        <x:v>0</x:v>
      </x:c>
      <x:c r="P9" s="1783" t="b">
        <x:f t="shared" si="9">IF(ISNUMBER(K9),OR(K9=23,K9=34),FALSE)</x:f>
        <x:v>0</x:v>
      </x:c>
      <x:c r="Q9" s="1783" t="b">
        <x:f t="shared" si="10">IF(ISNUMBER(K9),OR(K9=13,K9=14,K9=24),FALSE)</x:f>
        <x:v>0</x:v>
      </x:c>
      <x:c r="R9" s="1783" t="b">
        <x:f t="shared" si="11">IF(ISNUMBER(K9),K9=0,FALSE)</x:f>
        <x:v>0</x:v>
      </x:c>
      <x:c r="S9" s="1783" t="str">
        <x:f t="shared" si="1">IF(ISNUMBER(T9),INDEX($L$5:$R$5,1,7-T9),"")</x:f>
      </x:c>
      <x:c r="T9" s="1783" t="str">
        <x:f t="shared" si="2">IF(ISNUMBER(K9),IF(L9,6,IF(M9,5,IF(N9,4,IF(O9,3,IF(P9,2,IF(Q9,1,0)))))),"")</x:f>
      </x:c>
      <x:c r="U9" s="1783" t="str">
        <x:f t="shared" si="3">IF(AND(ISNUMBER(T9),ISNUMBER(H9)),IF(AND(H9&gt;=1,H9&lt;=4,MOD(H9,1)=0),T9*10+H9,""),"")</x:f>
      </x:c>
      <x:c r="V9" s="1798"/>
      <x:c r="W9" s="1122"/>
      <x:c r="X9" s="1114"/>
    </x:row>
    <x:row r="10" ht="70" customHeight="1">
      <x:c r="B10" s="1804" t="inlineStr">
        <x:is>
          <x:t xml:space="preserve">4.4</x:t>
        </x:is>
      </x:c>
      <x:c r="C10" s="1796" t="inlineStr">
        <x:is>
          <x:t xml:space="preserve">Garder la maîtrise des données publiques, des outils et des choix techniques : solutions libres, hébergement de confiance, réversibilité des contrats.</x:t>
        </x:is>
      </x:c>
      <x:c r="D10" s="1798"/>
      <x:c r="E10" s="1802"/>
      <x:c r="F10" s="1802"/>
      <x:c r="G10" s="1798"/>
      <x:c r="H10" s="1802"/>
      <x:c r="I10" s="1798"/>
      <x:c r="J10" s="1806" t="n">
        <x:f t="shared" ref="J10" si="12">S10</x:f>
        <x:v>0</x:v>
      </x:c>
      <x:c r="K10" s="1783" t="str">
        <x:f t="shared" ref="K10" si="13">IF(IF(ISNUMBER(E10),AND(E10&gt;=0,E10&lt;=3,MOD(E10,1)=0),FALSE),IF(E10=0,0,IF(IF(ISNUMBER(F10),AND(F10&gt;=1,F10&lt;=4,MOD(F10,1)=0),FALSE),E10*10+F10,"")),"")</x:f>
      </x:c>
      <x:c r="L10" s="1783" t="b">
        <x:f t="shared" ref="L10" si="14">IF(ISNUMBER(K10),K10=31,FALSE)</x:f>
        <x:v>0</x:v>
      </x:c>
      <x:c r="M10" s="1783" t="b">
        <x:f t="shared" ref="M10" si="15">IF(ISNUMBER(K10),OR(K10=21,K10=32),FALSE)</x:f>
        <x:v>0</x:v>
      </x:c>
      <x:c r="N10" s="1783" t="b">
        <x:f t="shared" ref="N10" si="16">IF(ISNUMBER(K10),OR(K10=22,K10=33),FALSE)</x:f>
        <x:v>0</x:v>
      </x:c>
      <x:c r="O10" s="1783" t="b">
        <x:f t="shared" ref="O10" si="17">IF(ISNUMBER(K10),OR(K10=11,K10=12),FALSE)</x:f>
        <x:v>0</x:v>
      </x:c>
      <x:c r="P10" s="1783" t="b">
        <x:f t="shared" ref="P10" si="18">IF(ISNUMBER(K10),OR(K10=23,K10=34),FALSE)</x:f>
        <x:v>0</x:v>
      </x:c>
      <x:c r="Q10" s="1783" t="b">
        <x:f t="shared" ref="Q10" si="19">IF(ISNUMBER(K10),OR(K10=13,K10=14,K10=24),FALSE)</x:f>
        <x:v>0</x:v>
      </x:c>
      <x:c r="R10" s="1783" t="b">
        <x:f t="shared" ref="R10" si="20">IF(ISNUMBER(K10),K10=0,FALSE)</x:f>
        <x:v>0</x:v>
      </x:c>
      <x:c r="S10" s="1783" t="str">
        <x:f t="shared" ref="S10" si="21">IF(ISNUMBER(T10),INDEX($L$5:$R$5,1,7-T10),"")</x:f>
      </x:c>
      <x:c r="T10" s="1783" t="str">
        <x:f t="shared" ref="T10" si="22">IF(ISNUMBER(K10),IF(L10,6,IF(M10,5,IF(N10,4,IF(O10,3,IF(P10,2,IF(Q10,1,0)))))),"")</x:f>
      </x:c>
      <x:c r="U10" s="1783" t="str">
        <x:f t="shared" ref="U10" si="23">IF(AND(ISNUMBER(T10),ISNUMBER(H10)),IF(AND(H10&gt;=1,H10&lt;=4,MOD(H10,1)=0),T10*10+H10,""),"")</x:f>
      </x:c>
      <x:c r="V10" s="1798"/>
      <x:c r="W10" s="1122"/>
      <x:c r="X10" s="1114"/>
    </x:row>
  </x:sheetData>
  <x:mergeCells>
    <x:mergeCell ref="B6:W6"/>
    <x:mergeCell ref="B4:C5"/>
    <x:mergeCell ref="D4:E4"/>
    <x:mergeCell ref="F4:G4"/>
    <x:mergeCell ref="H4:I4"/>
    <x:mergeCell ref="V4:X4"/>
    <x:mergeCell ref="B2:J3"/>
  </x:mergeCells>
  <x:conditionalFormatting sqref="J7:J10">
    <x:cfRule type="expression" dxfId="1647" priority="407">
      <x:formula>AND(ISNUMBER($T7),$T7=6)</x:formula>
    </x:cfRule>
    <x:cfRule type="expression" dxfId="1648" priority="408">
      <x:formula>AND(ISNUMBER($T7),$T7=5)</x:formula>
    </x:cfRule>
    <x:cfRule type="expression" dxfId="1649" priority="409">
      <x:formula>AND(ISNUMBER($T7),$T7=4)</x:formula>
    </x:cfRule>
    <x:cfRule type="expression" dxfId="1650" priority="410">
      <x:formula>AND(ISNUMBER($T7),$T7=3)</x:formula>
    </x:cfRule>
    <x:cfRule type="expression" dxfId="1651" priority="411">
      <x:formula>AND(ISNUMBER($T7),$T7=2)</x:formula>
    </x:cfRule>
    <x:cfRule type="expression" dxfId="1652" priority="412">
      <x:formula>AND(ISNUMBER($T7),$T7=1)</x:formula>
    </x:cfRule>
    <x:cfRule type="expression" dxfId="1653" priority="413">
      <x:formula>AND(ISNUMBER($T7),$T7=0)</x:formula>
    </x:cfRule>
  </x:conditionalFormatting>
  <x:dataValidations count="3">
    <x:dataValidation type="list" allowBlank="1" showInputMessage="1" showErrorMessage="1" errorStyle="stop" showDropDown="0" sqref="E7:E10"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0"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0"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8.xml><?xml version="1.0" encoding="utf-8"?>
<x:worksheet xmlns:x="http://schemas.openxmlformats.org/spreadsheetml/2006/main">
  <x:sheetPr>
    <x:tabColor rgb="FF7030A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2.33203125" style="871" hidden="1" customWidth="1"/>
    <x:col min="24" max="24" width="64.8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5 : Management · Donner du sens au travail et préserver les personnes et les ressources nécessaires à nos activités</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912" t="str">
        <x:v>Cibles à évaluer</x:v>
      </x:c>
      <x:c r="C4" s="191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914"/>
      <x:c r="C5" s="1915"/>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0" customHeight="1">
      <x:c r="A7" s="951"/>
      <x:c r="B7" s="1804" t="inlineStr">
        <x:is>
          <x:t xml:space="preserve">5.1</x:t>
        </x:is>
      </x:c>
      <x:c r="C7" s="1796" t="inlineStr">
        <x:is>
          <x:t xml:space="preserve">Concevoir les services numériques comme des réponses aux besoins sociaux du territoire, avec les acteurs de l'action sociale et de la médiation.</x:t>
        </x:is>
      </x:c>
      <x:c r="D7" s="1799"/>
      <x:c r="E7" s="1802"/>
      <x:c r="F7" s="1802"/>
      <x:c r="G7" s="1798"/>
      <x:c r="H7" s="1921"/>
      <x:c r="I7" s="1798"/>
      <x:c r="J7" s="1806" t="str">
        <x:f t="shared" ref="J7" si="0">S7</x:f>
      </x:c>
      <x:c r="K7" s="1777" t="str">
        <x:f t="shared" ref="K7" si="1">IF(IF(ISNUMBER(E7),AND(E7&gt;=0,E7&lt;=3,MOD(E7,1)=0),FALSE),IF(E7=0,0,IF(IF(ISNUMBER(F7),AND(F7&gt;=1,F7&lt;=4,MOD(F7,1)=0),FALSE),E7*10+F7,"")),"")</x:f>
      </x:c>
      <x:c r="L7" s="1777" t="b">
        <x:f t="shared" ref="L7" si="2">IF(ISNUMBER(K7),K7=31,FALSE)</x:f>
        <x:v>0</x:v>
      </x:c>
      <x:c r="M7" s="1777" t="b">
        <x:f t="shared" ref="M7" si="3">IF(ISNUMBER(K7),OR(K7=21,K7=32),FALSE)</x:f>
        <x:v>0</x:v>
      </x:c>
      <x:c r="N7" s="1777" t="b">
        <x:f t="shared" ref="N7" si="4">IF(ISNUMBER(K7),OR(K7=22,K7=33),FALSE)</x:f>
        <x:v>0</x:v>
      </x:c>
      <x:c r="O7" s="1777" t="b">
        <x:f t="shared" ref="O7" si="5">IF(ISNUMBER(K7),OR(K7=11,K7=12),FALSE)</x:f>
        <x:v>0</x:v>
      </x:c>
      <x:c r="P7" s="1777" t="b">
        <x:f t="shared" ref="P7" si="6">IF(ISNUMBER(K7),OR(K7=23,K7=34),FALSE)</x:f>
        <x:v>0</x:v>
      </x:c>
      <x:c r="Q7" s="1777" t="b">
        <x:f t="shared" ref="Q7" si="7">IF(ISNUMBER(K7),OR(K7=13,K7=14,K7=24),FALSE)</x:f>
        <x:v>0</x:v>
      </x:c>
      <x:c r="R7" s="1777" t="b">
        <x:f t="shared" ref="R7" si="8">IF(ISNUMBER(K7),K7=0,FALSE)</x:f>
        <x:v>0</x:v>
      </x:c>
      <x:c r="S7" s="1777" t="str">
        <x:f t="shared" ref="S7" si="9">IF(ISNUMBER(T7),INDEX($L$5:$R$5,1,7-T7),"")</x:f>
      </x:c>
      <x:c r="T7" s="1777" t="str">
        <x:f t="shared" ref="T7" si="10">IF(ISNUMBER(K7),IF(L7,6,IF(M7,5,IF(N7,4,IF(O7,3,IF(P7,2,IF(Q7,1,0)))))),"")</x:f>
      </x:c>
      <x:c r="U7" s="1790" t="str">
        <x:f t="shared" ref="U7" si="11">IF(AND(ISNUMBER(T7),ISNUMBER(H7)),IF(AND(H7&gt;=1,H7&lt;=4,MOD(H7,1)=0),T7*10+H7,""),"")</x:f>
      </x:c>
      <x:c r="V7" s="1798"/>
      <x:c r="W7" s="1050"/>
      <x:c r="X7" s="1114"/>
    </x:row>
    <x:row r="8" s="952" customFormat="1" ht="70" customHeight="1">
      <x:c r="A8" s="951"/>
      <x:c r="B8" s="1804" t="inlineStr">
        <x:is>
          <x:t xml:space="preserve">5.2</x:t>
        </x:is>
      </x:c>
      <x:c r="C8" s="1796" t="inlineStr">
        <x:is>
          <x:t xml:space="preserve">Faire connaître et soutenir les initiatives des agents qui encouragent la coopération entre services et le bien-être au travail.</x:t>
        </x:is>
      </x:c>
      <x:c r="D8" s="1799"/>
      <x:c r="E8" s="1802"/>
      <x:c r="F8" s="1802"/>
      <x:c r="G8" s="1798"/>
      <x:c r="H8" s="1921"/>
      <x:c r="I8" s="1798"/>
      <x:c r="J8" s="1806" t="str">
        <x:f t="shared" ref="J8:J10" si="12">S8</x:f>
      </x:c>
      <x:c r="K8" s="1777" t="str">
        <x:f t="shared" ref="K8:K10" si="13">IF(IF(ISNUMBER(E8),AND(E8&gt;=0,E8&lt;=3,MOD(E8,1)=0),FALSE),IF(E8=0,0,IF(IF(ISNUMBER(F8),AND(F8&gt;=1,F8&lt;=4,MOD(F8,1)=0),FALSE),E8*10+F8,"")),"")</x:f>
      </x:c>
      <x:c r="L8" s="1777" t="b">
        <x:f t="shared" ref="L8:L10" si="14">IF(ISNUMBER(K8),K8=31,FALSE)</x:f>
        <x:v>0</x:v>
      </x:c>
      <x:c r="M8" s="1777" t="b">
        <x:f t="shared" ref="M8:M10" si="15">IF(ISNUMBER(K8),OR(K8=21,K8=32),FALSE)</x:f>
        <x:v>0</x:v>
      </x:c>
      <x:c r="N8" s="1777" t="b">
        <x:f t="shared" ref="N8:N10" si="16">IF(ISNUMBER(K8),OR(K8=22,K8=33),FALSE)</x:f>
        <x:v>0</x:v>
      </x:c>
      <x:c r="O8" s="1777" t="b">
        <x:f t="shared" ref="O8:O10" si="17">IF(ISNUMBER(K8),OR(K8=11,K8=12),FALSE)</x:f>
        <x:v>0</x:v>
      </x:c>
      <x:c r="P8" s="1777" t="b">
        <x:f t="shared" ref="P8:P10" si="18">IF(ISNUMBER(K8),OR(K8=23,K8=34),FALSE)</x:f>
        <x:v>0</x:v>
      </x:c>
      <x:c r="Q8" s="1777" t="b">
        <x:f t="shared" ref="Q8:Q10" si="19">IF(ISNUMBER(K8),OR(K8=13,K8=14,K8=24),FALSE)</x:f>
        <x:v>0</x:v>
      </x:c>
      <x:c r="R8" s="1777" t="b">
        <x:f t="shared" ref="R8:R10" si="20">IF(ISNUMBER(K8),K8=0,FALSE)</x:f>
        <x:v>0</x:v>
      </x:c>
      <x:c r="S8" s="1777" t="str">
        <x:f t="shared" ref="S8:S10" si="21">IF(ISNUMBER(T8),INDEX($L$5:$R$5,1,7-T8),"")</x:f>
      </x:c>
      <x:c r="T8" s="1777" t="str">
        <x:f t="shared" ref="T8:T10" si="22">IF(ISNUMBER(K8),IF(L8,6,IF(M8,5,IF(N8,4,IF(O8,3,IF(P8,2,IF(Q8,1,0)))))),"")</x:f>
      </x:c>
      <x:c r="U8" s="1790" t="str">
        <x:f t="shared" ref="U8:U10" si="23">IF(AND(ISNUMBER(T8),ISNUMBER(H8)),IF(AND(H8&gt;=1,H8&lt;=4,MOD(H8,1)=0),T8*10+H8,""),"")</x:f>
      </x:c>
      <x:c r="V8" s="1798"/>
      <x:c r="W8" s="1050"/>
      <x:c r="X8" s="1114"/>
    </x:row>
    <x:row r="9" s="952" customFormat="1" ht="76" customHeight="1">
      <x:c r="A9" s="951"/>
      <x:c r="B9" s="1804" t="inlineStr">
        <x:is>
          <x:t xml:space="preserve">5.3</x:t>
        </x:is>
      </x:c>
      <x:c r="C9" s="1796" t="inlineStr">
        <x:is>
          <x:t xml:space="preserve">Associer les habitants, les associations, les entreprises et les autres collectivités du territoire aux choix numériques, en s'appuyant sur leur expertise.</x:t>
        </x:is>
      </x:c>
      <x:c r="D9" s="1799"/>
      <x:c r="E9" s="1802"/>
      <x:c r="F9" s="1802"/>
      <x:c r="G9" s="1798"/>
      <x:c r="H9" s="1921"/>
      <x:c r="I9" s="1798"/>
      <x:c r="J9" s="1806" t="str">
        <x:f t="shared" si="12">S9</x:f>
      </x:c>
      <x:c r="K9" s="1777" t="str">
        <x:f t="shared" si="13">IF(IF(ISNUMBER(E9),AND(E9&gt;=0,E9&lt;=3,MOD(E9,1)=0),FALSE),IF(E9=0,0,IF(IF(ISNUMBER(F9),AND(F9&gt;=1,F9&lt;=4,MOD(F9,1)=0),FALSE),E9*10+F9,"")),"")</x:f>
      </x:c>
      <x:c r="L9" s="1777" t="b">
        <x:f t="shared" si="14">IF(ISNUMBER(K9),K9=31,FALSE)</x:f>
        <x:v>0</x:v>
      </x:c>
      <x:c r="M9" s="1777" t="b">
        <x:f t="shared" si="15">IF(ISNUMBER(K9),OR(K9=21,K9=32),FALSE)</x:f>
        <x:v>0</x:v>
      </x:c>
      <x:c r="N9" s="1777" t="b">
        <x:f t="shared" si="16">IF(ISNUMBER(K9),OR(K9=22,K9=33),FALSE)</x:f>
        <x:v>0</x:v>
      </x:c>
      <x:c r="O9" s="1777" t="b">
        <x:f t="shared" si="17">IF(ISNUMBER(K9),OR(K9=11,K9=12),FALSE)</x:f>
        <x:v>0</x:v>
      </x:c>
      <x:c r="P9" s="1777" t="b">
        <x:f t="shared" si="18">IF(ISNUMBER(K9),OR(K9=23,K9=34),FALSE)</x:f>
        <x:v>0</x:v>
      </x:c>
      <x:c r="Q9" s="1777" t="b">
        <x:f t="shared" si="19">IF(ISNUMBER(K9),OR(K9=13,K9=14,K9=24),FALSE)</x:f>
        <x:v>0</x:v>
      </x:c>
      <x:c r="R9" s="1777" t="b">
        <x:f t="shared" si="20">IF(ISNUMBER(K9),K9=0,FALSE)</x:f>
        <x:v>0</x:v>
      </x:c>
      <x:c r="S9" s="1777" t="str">
        <x:f t="shared" si="21">IF(ISNUMBER(T9),INDEX($L$5:$R$5,1,7-T9),"")</x:f>
      </x:c>
      <x:c r="T9" s="1777" t="str">
        <x:f t="shared" si="22">IF(ISNUMBER(K9),IF(L9,6,IF(M9,5,IF(N9,4,IF(O9,3,IF(P9,2,IF(Q9,1,0)))))),"")</x:f>
      </x:c>
      <x:c r="U9" s="1790" t="str">
        <x:f t="shared" si="23">IF(AND(ISNUMBER(T9),ISNUMBER(H9)),IF(AND(H9&gt;=1,H9&lt;=4,MOD(H9,1)=0),T9*10+H9,""),"")</x:f>
      </x:c>
      <x:c r="V9" s="1798"/>
      <x:c r="W9" s="1050"/>
      <x:c r="X9" s="1114"/>
    </x:row>
    <x:row r="10" s="952" customFormat="1" ht="70" customHeight="1">
      <x:c r="A10" s="951"/>
      <x:c r="B10" s="1804" t="inlineStr">
        <x:is>
          <x:t xml:space="preserve">5.4</x:t>
        </x:is>
      </x:c>
      <x:c r="C10" s="1796" t="inlineStr">
        <x:is>
          <x:t xml:space="preserve">Préparer un territoire où les générations futures pourront innover, vivre ensemble et préserver les écosystèmes, notamment par l'éducation au numérique responsable dans les écoles.</x:t>
        </x:is>
      </x:c>
      <x:c r="D10" s="1799"/>
      <x:c r="E10" s="1802"/>
      <x:c r="F10" s="1802"/>
      <x:c r="G10" s="1798"/>
      <x:c r="H10" s="1921"/>
      <x:c r="I10" s="1798"/>
      <x:c r="J10" s="1806" t="str">
        <x:f t="shared" si="12">S10</x:f>
      </x:c>
      <x:c r="K10" s="1777" t="str">
        <x:f t="shared" si="13">IF(IF(ISNUMBER(E10),AND(E10&gt;=0,E10&lt;=3,MOD(E10,1)=0),FALSE),IF(E10=0,0,IF(IF(ISNUMBER(F10),AND(F10&gt;=1,F10&lt;=4,MOD(F10,1)=0),FALSE),E10*10+F10,"")),"")</x:f>
      </x:c>
      <x:c r="L10" s="1777" t="b">
        <x:f t="shared" si="14">IF(ISNUMBER(K10),K10=31,FALSE)</x:f>
        <x:v>0</x:v>
      </x:c>
      <x:c r="M10" s="1777" t="b">
        <x:f t="shared" si="15">IF(ISNUMBER(K10),OR(K10=21,K10=32),FALSE)</x:f>
        <x:v>0</x:v>
      </x:c>
      <x:c r="N10" s="1777" t="b">
        <x:f t="shared" si="16">IF(ISNUMBER(K10),OR(K10=22,K10=33),FALSE)</x:f>
        <x:v>0</x:v>
      </x:c>
      <x:c r="O10" s="1777" t="b">
        <x:f t="shared" si="17">IF(ISNUMBER(K10),OR(K10=11,K10=12),FALSE)</x:f>
        <x:v>0</x:v>
      </x:c>
      <x:c r="P10" s="1777" t="b">
        <x:f t="shared" si="18">IF(ISNUMBER(K10),OR(K10=23,K10=34),FALSE)</x:f>
        <x:v>0</x:v>
      </x:c>
      <x:c r="Q10" s="1777" t="b">
        <x:f t="shared" si="19">IF(ISNUMBER(K10),OR(K10=13,K10=14,K10=24),FALSE)</x:f>
        <x:v>0</x:v>
      </x:c>
      <x:c r="R10" s="1777" t="b">
        <x:f t="shared" si="20">IF(ISNUMBER(K10),K10=0,FALSE)</x:f>
        <x:v>0</x:v>
      </x:c>
      <x:c r="S10" s="1777" t="str">
        <x:f t="shared" si="21">IF(ISNUMBER(T10),INDEX($L$5:$R$5,1,7-T10),"")</x:f>
      </x:c>
      <x:c r="T10" s="1777" t="str">
        <x:f t="shared" si="22">IF(ISNUMBER(K10),IF(L10,6,IF(M10,5,IF(N10,4,IF(O10,3,IF(P10,2,IF(Q10,1,0)))))),"")</x:f>
      </x:c>
      <x:c r="U10" s="1790" t="str">
        <x:f t="shared" si="23">IF(AND(ISNUMBER(T10),ISNUMBER(H10)),IF(AND(H10&gt;=1,H10&lt;=4,MOD(H10,1)=0),T10*10+H10,""),"")</x:f>
      </x:c>
      <x:c r="V10" s="1798"/>
      <x:c r="W10" s="1050"/>
      <x:c r="X10" s="1114"/>
    </x:row>
    <x:row r="11" s="952" customFormat="1" ht="70" customHeight="1">
      <x:c r="A11" s="951"/>
      <x:c r="B11" s="1804" t="inlineStr">
        <x:is>
          <x:t xml:space="preserve">5.5</x:t>
        </x:is>
      </x:c>
      <x:c r="C11" s="1796" t="inlineStr">
        <x:is>
          <x:t xml:space="preserve">Suivre la stratégie numérique responsable de la collectivité avec quelques indicateurs, et en rendre compte aux élus.</x:t>
        </x:is>
      </x:c>
      <x:c r="D11" s="1799"/>
      <x:c r="E11" s="1802"/>
      <x:c r="F11" s="1802"/>
      <x:c r="G11" s="1798"/>
      <x:c r="H11" s="1921"/>
      <x:c r="I11" s="1798"/>
      <x:c r="J11" s="1806" t="str">
        <x:f t="shared" ref="J11:J12" si="24">S11</x:f>
      </x:c>
      <x:c r="K11" s="1777" t="str">
        <x:f t="shared" ref="K11:K12" si="25">IF(IF(ISNUMBER(E11),AND(E11&gt;=0,E11&lt;=3,MOD(E11,1)=0),FALSE),IF(E11=0,0,IF(IF(ISNUMBER(F11),AND(F11&gt;=1,F11&lt;=4,MOD(F11,1)=0),FALSE),E11*10+F11,"")),"")</x:f>
      </x:c>
      <x:c r="L11" s="1777" t="b">
        <x:f t="shared" ref="L11:L12" si="26">IF(ISNUMBER(K11),K11=31,FALSE)</x:f>
        <x:v>0</x:v>
      </x:c>
      <x:c r="M11" s="1777" t="b">
        <x:f t="shared" ref="M11:M12" si="27">IF(ISNUMBER(K11),OR(K11=21,K11=32),FALSE)</x:f>
        <x:v>0</x:v>
      </x:c>
      <x:c r="N11" s="1777" t="b">
        <x:f t="shared" ref="N11:N12" si="28">IF(ISNUMBER(K11),OR(K11=22,K11=33),FALSE)</x:f>
        <x:v>0</x:v>
      </x:c>
      <x:c r="O11" s="1777" t="b">
        <x:f t="shared" ref="O11:O12" si="29">IF(ISNUMBER(K11),OR(K11=11,K11=12),FALSE)</x:f>
        <x:v>0</x:v>
      </x:c>
      <x:c r="P11" s="1777" t="b">
        <x:f t="shared" ref="P11:P12" si="30">IF(ISNUMBER(K11),OR(K11=23,K11=34),FALSE)</x:f>
        <x:v>0</x:v>
      </x:c>
      <x:c r="Q11" s="1777" t="b">
        <x:f t="shared" ref="Q11:Q12" si="31">IF(ISNUMBER(K11),OR(K11=13,K11=14,K11=24),FALSE)</x:f>
        <x:v>0</x:v>
      </x:c>
      <x:c r="R11" s="1777" t="b">
        <x:f t="shared" ref="R11:R12" si="32">IF(ISNUMBER(K11),K11=0,FALSE)</x:f>
        <x:v>0</x:v>
      </x:c>
      <x:c r="S11" s="1777" t="str">
        <x:f t="shared" ref="S11:S12" si="33">IF(ISNUMBER(T11),INDEX($L$5:$R$5,1,7-T11),"")</x:f>
      </x:c>
      <x:c r="T11" s="1777" t="str">
        <x:f t="shared" ref="T11:T12" si="34">IF(ISNUMBER(K11),IF(L11,6,IF(M11,5,IF(N11,4,IF(O11,3,IF(P11,2,IF(Q11,1,0)))))),"")</x:f>
      </x:c>
      <x:c r="U11" s="1790" t="str">
        <x:f t="shared" ref="U11:U12" si="35">IF(AND(ISNUMBER(T11),ISNUMBER(H11)),IF(AND(H11&gt;=1,H11&lt;=4,MOD(H11,1)=0),T11*10+H11,""),"")</x:f>
      </x:c>
      <x:c r="V11" s="1798"/>
      <x:c r="W11" s="1050"/>
      <x:c r="X11" s="1114"/>
    </x:row>
    <x:row r="12" s="953" customFormat="1" ht="70" customHeight="1">
      <x:c r="A12" s="951"/>
      <x:c r="B12" s="1804" t="inlineStr">
        <x:is>
          <x:t xml:space="preserve">5.6</x:t>
        </x:is>
      </x:c>
      <x:c r="C12" s="1796" t="inlineStr">
        <x:is>
          <x:t xml:space="preserve">Proposer des améliorations pour un numérique responsable, y compris des solutions sans outil numérique, comme le maintien d'un accueil physique.</x:t>
        </x:is>
      </x:c>
      <x:c r="D12" s="1799"/>
      <x:c r="E12" s="1802"/>
      <x:c r="F12" s="1802"/>
      <x:c r="G12" s="1798"/>
      <x:c r="H12" s="1921"/>
      <x:c r="I12" s="1798"/>
      <x:c r="J12" s="1806" t="str">
        <x:f t="shared" si="24">S12</x:f>
      </x:c>
      <x:c r="K12" s="1777" t="str">
        <x:f t="shared" si="25">IF(IF(ISNUMBER(E12),AND(E12&gt;=0,E12&lt;=3,MOD(E12,1)=0),FALSE),IF(E12=0,0,IF(IF(ISNUMBER(F12),AND(F12&gt;=1,F12&lt;=4,MOD(F12,1)=0),FALSE),E12*10+F12,"")),"")</x:f>
      </x:c>
      <x:c r="L12" s="1777" t="b">
        <x:f t="shared" si="26">IF(ISNUMBER(K12),K12=31,FALSE)</x:f>
        <x:v>0</x:v>
      </x:c>
      <x:c r="M12" s="1777" t="b">
        <x:f t="shared" si="27">IF(ISNUMBER(K12),OR(K12=21,K12=32),FALSE)</x:f>
        <x:v>0</x:v>
      </x:c>
      <x:c r="N12" s="1777" t="b">
        <x:f t="shared" si="28">IF(ISNUMBER(K12),OR(K12=22,K12=33),FALSE)</x:f>
        <x:v>0</x:v>
      </x:c>
      <x:c r="O12" s="1777" t="b">
        <x:f t="shared" si="29">IF(ISNUMBER(K12),OR(K12=11,K12=12),FALSE)</x:f>
        <x:v>0</x:v>
      </x:c>
      <x:c r="P12" s="1777" t="b">
        <x:f t="shared" si="30">IF(ISNUMBER(K12),OR(K12=23,K12=34),FALSE)</x:f>
        <x:v>0</x:v>
      </x:c>
      <x:c r="Q12" s="1777" t="b">
        <x:f t="shared" si="31">IF(ISNUMBER(K12),OR(K12=13,K12=14,K12=24),FALSE)</x:f>
        <x:v>0</x:v>
      </x:c>
      <x:c r="R12" s="1777" t="b">
        <x:f t="shared" si="32">IF(ISNUMBER(K12),K12=0,FALSE)</x:f>
        <x:v>0</x:v>
      </x:c>
      <x:c r="S12" s="1777" t="str">
        <x:f t="shared" si="33">IF(ISNUMBER(T12),INDEX($L$5:$R$5,1,7-T12),"")</x:f>
      </x:c>
      <x:c r="T12" s="1777" t="str">
        <x:f t="shared" si="34">IF(ISNUMBER(K12),IF(L12,6,IF(M12,5,IF(N12,4,IF(O12,3,IF(P12,2,IF(Q12,1,0)))))),"")</x:f>
      </x:c>
      <x:c r="U12" s="1790" t="str">
        <x:f t="shared" si="35">IF(AND(ISNUMBER(T12),ISNUMBER(H12)),IF(AND(H12&gt;=1,H12&lt;=4,MOD(H12,1)=0),T12*10+H12,""),"")</x:f>
      </x:c>
      <x:c r="V12" s="1798"/>
      <x:c r="W12" s="1067"/>
      <x:c r="X12" s="1115"/>
    </x:row>
    <x:row r="13" s="953" customFormat="1" ht="70" customHeight="1">
      <x:c r="A13" s="951"/>
      <x:c r="B13" s="1804" t="inlineStr">
        <x:is>
          <x:t xml:space="preserve">5.7</x:t>
        </x:is>
      </x:c>
      <x:c r="C13" s="1796" t="inlineStr">
        <x:is>
          <x:t xml:space="preserve">Décider avec les agents et leurs représentants comment utiliser l'intelligence artificielle. Les former à ses limites et préserver le sens du service public.</x:t>
        </x:is>
      </x:c>
      <x:c r="D13" s="1799"/>
      <x:c r="E13" s="1802"/>
      <x:c r="F13" s="1802"/>
      <x:c r="G13" s="1798"/>
      <x:c r="H13" s="1921"/>
      <x:c r="I13" s="1798"/>
      <x:c r="J13" s="1806" t="n">
        <x:f>S13</x:f>
        <x:v>0</x:v>
      </x:c>
      <x:c r="K13" s="1777" t="str">
        <x:f>IF(IF(ISNUMBER(E13),AND(E13&gt;=0,E13&lt;=3,MOD(E13,1)=0),FALSE),IF(E13=0,0,IF(IF(ISNUMBER(F13),AND(F13&gt;=1,F13&lt;=4,MOD(F13,1)=0),FALSE),E13*10+F13,"")),"")</x:f>
      </x:c>
      <x:c r="L13" s="1777" t="b">
        <x:f>IF(ISNUMBER(K13),K13=31,FALSE)</x:f>
        <x:v>0</x:v>
      </x:c>
      <x:c r="M13" s="1777" t="b">
        <x:f>IF(ISNUMBER(K13),OR(K13=21,K13=32),FALSE)</x:f>
        <x:v>0</x:v>
      </x:c>
      <x:c r="N13" s="1777" t="b">
        <x:f>IF(ISNUMBER(K13),OR(K13=22,K13=33),FALSE)</x:f>
        <x:v>0</x:v>
      </x:c>
      <x:c r="O13" s="1777" t="b">
        <x:f>IF(ISNUMBER(K13),OR(K13=11,K13=12),FALSE)</x:f>
        <x:v>0</x:v>
      </x:c>
      <x:c r="P13" s="1777" t="b">
        <x:f>IF(ISNUMBER(K13),OR(K13=23,K13=34),FALSE)</x:f>
        <x:v>0</x:v>
      </x:c>
      <x:c r="Q13" s="1777" t="b">
        <x:f>IF(ISNUMBER(K13),OR(K13=13,K13=14,K13=24),FALSE)</x:f>
        <x:v>0</x:v>
      </x:c>
      <x:c r="R13" s="1777" t="b">
        <x:f>IF(ISNUMBER(K13),K13=0,FALSE)</x:f>
        <x:v>0</x:v>
      </x:c>
      <x:c r="S13" s="1777" t="str">
        <x:f>IF(ISNUMBER(T13),INDEX($L$5:$R$5,1,7-T13),"")</x:f>
      </x:c>
      <x:c r="T13" s="1777" t="str">
        <x:f>IF(ISNUMBER(K13),IF(L13,6,IF(M13,5,IF(N13,4,IF(O13,3,IF(P13,2,IF(Q13,1,0)))))),"")</x:f>
      </x:c>
      <x:c r="U13" s="1790" t="str">
        <x:f>IF(AND(ISNUMBER(T13),ISNUMBER(H13)),IF(AND(H13&gt;=1,H13&lt;=4,MOD(H13,1)=0),T13*10+H13,""),"")</x:f>
      </x:c>
      <x:c r="V13" s="1798"/>
      <x:c r="W13" s="1067"/>
      <x:c r="X13" s="1115"/>
    </x:row>
  </x:sheetData>
  <x:mergeCells>
    <x:mergeCell ref="B6:W6"/>
    <x:mergeCell ref="B4:C5"/>
    <x:mergeCell ref="D4:E4"/>
    <x:mergeCell ref="F4:G4"/>
    <x:mergeCell ref="H4:I4"/>
    <x:mergeCell ref="V4:X4"/>
    <x:mergeCell ref="B2:J3"/>
  </x:mergeCells>
  <x:conditionalFormatting sqref="J7:J13">
    <x:cfRule type="expression" dxfId="1654" priority="314">
      <x:formula>AND(ISNUMBER($T7),$T7=6)</x:formula>
    </x:cfRule>
    <x:cfRule type="expression" dxfId="1655" priority="315">
      <x:formula>AND(ISNUMBER($T7),$T7=5)</x:formula>
    </x:cfRule>
    <x:cfRule type="expression" dxfId="1656" priority="316">
      <x:formula>AND(ISNUMBER($T7),$T7=4)</x:formula>
    </x:cfRule>
    <x:cfRule type="expression" dxfId="1657" priority="317">
      <x:formula>AND(ISNUMBER($T7),$T7=3)</x:formula>
    </x:cfRule>
    <x:cfRule type="expression" dxfId="1658" priority="318">
      <x:formula>AND(ISNUMBER($T7),$T7=2)</x:formula>
    </x:cfRule>
    <x:cfRule type="expression" dxfId="1659" priority="319">
      <x:formula>AND(ISNUMBER($T7),$T7=1)</x:formula>
    </x:cfRule>
    <x:cfRule type="expression" dxfId="1660" priority="320">
      <x:formula>AND(ISNUMBER($T7),$T7=0)</x:formula>
    </x:cfRule>
  </x:conditionalFormatting>
  <x:dataValidations count="3">
    <x:dataValidation type="list" allowBlank="1" showInputMessage="1" showErrorMessage="1" errorStyle="stop" showDropDown="0" sqref="E7:E13"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3"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3"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M40"/>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 min="39" max="39" width="12" hidden="1" customWidth="1"/>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v>
      </c>
      <c r="F3" s="273" t="str">
        <f>'ONR 1'!F5</f>
        <v>Niveau actuel</v>
      </c>
      <c r="G3" s="120" t="str">
        <f>'ONR 1'!G5</f>
        <v>Ce qui est déjà fait et ce qui justifie la note</v>
      </c>
      <c r="H3" s="121" t="str">
        <f>'ONR 1'!H5</f>
        <v>Compétences nécessaires</v>
      </c>
      <c r="I3" s="122" t="str">
        <f>'ONR 1'!I5</f>
        <v>Points forts et points faibles</v>
      </c>
      <c r="J3" s="123" t="str">
        <f>'ONR 1'!J5</f>
        <v>Niveau de priorité</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tr">
        <v>ONR</v>
      </c>
      <c r="AC3" s="192" t="s">
        <v>106</v>
      </c>
      <c r="AD3" s="192" t="s">
        <v>107</v>
      </c>
      <c r="AE3" s="192" t="str">
        <v>Cibles à évaluer</v>
      </c>
      <c r="AF3" s="193" t="s">
        <v>109</v>
      </c>
      <c r="AG3" s="194" t="s">
        <v>110</v>
      </c>
      <c r="AH3" s="195" t="s">
        <v>111</v>
      </c>
      <c r="AI3" s="196" t="s">
        <v>112</v>
      </c>
      <c r="AJ3" s="197" t="s">
        <v>113</v>
      </c>
      <c r="AK3" s="198" t="s">
        <v>114</v>
      </c>
      <c r="AL3" s="192" t="str">
        <v>Cibles non applicables</v>
      </c>
      <c r="AM3" t="str">
        <v>Piste d’action renseignée</v>
      </c>
    </row>
    <row r="4" spans="1:38" s="116" customFormat="1" ht="23" thickBot="1">
      <c r="A4" s="115"/>
      <c r="B4" s="382" t="str">
        <f>'ONR 1'!B2</f>
        <v>ONR 1 : Sobriété · Utiliser les outils numériques pour consommer moins de ressources et réduire leurs effets sur l’environnement</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ONR 1 : Sobriété · Utiliser les outils numériques pour consommer moins de ressources et réduire leurs effets sur l’environnement</v>
      </c>
      <c r="AC4" s="116" t="n">
        <f>COUNTA('ONR 1'!B7:B14)</f>
        <v>8</v>
      </c>
      <c r="AD4" s="116" t="n">
        <f>COUNT(T5:T12)</f>
        <v>0</v>
      </c>
      <c r="AE4" s="117" t="n">
        <f>SUM(AE5:AE12)</f>
        <v>8</v>
      </c>
      <c r="AF4" s="117" t="n">
        <f>SUM(AF5:AF12)</f>
        <v>0</v>
      </c>
      <c r="AG4" s="117" t="n">
        <f>SUM(AG5:AG12)</f>
        <v>0</v>
      </c>
      <c r="AH4" s="117" t="n">
        <f>SUM(AH5:AH12)</f>
        <v>0</v>
      </c>
      <c r="AI4" s="117" t="n">
        <f>SUM(AI5:AI12)</f>
        <v>0</v>
      </c>
      <c r="AJ4" s="117" t="n">
        <f>SUM(AJ5:AJ12)</f>
        <v>0</v>
      </c>
      <c r="AK4" s="117" t="n">
        <f>SUM(AK5:AK12)</f>
        <v>0</v>
      </c>
      <c r="AL4" s="117" t="n">
        <f>SUM(AL5:AL12)</f>
        <v>0</v>
      </c>
    </row>
    <row r="5" spans="1:38" s="205" customFormat="1" ht="38">
      <c r="A5" s="199"/>
      <c r="B5" s="218" t="str">
        <f>IF(ISBLANK('ONR 1'!B7),"",'ONR 1'!B7)</f>
        <v>1.1</v>
      </c>
      <c r="C5" s="218" t="str">
        <f>IF(ISBLANK('ONR 1'!C7),"",'ONR 1'!C7)</f>
        <v>Prendre en compte toute la vie des équipements et des logiciels de la collectivité, de l'achat à la fin de vie, y compris ceux des écoles et des services aux habitants.</v>
      </c>
      <c r="D5" s="223" t="str">
        <f>IF(ISBLANK('ONR 1'!D7),"",'ONR 1'!D7)</f>
      </c>
      <c r="E5" s="267" t="str">
        <f>IF(ISBLANK('ONR 1'!E7),"",'ONR 1'!E7)</f>
      </c>
      <c r="F5" s="274" t="str">
        <f>IF(ISBLANK('ONR 1'!F7),"",'ONR 1'!F7)</f>
      </c>
      <c r="G5" s="200" t="str">
        <f>IF(ISBLANK('ONR 1'!G7),"",'ONR 1'!G7)</f>
      </c>
      <c r="H5" s="201" t="str">
        <f>IF(ISBLANK('ONR 1'!H7),"",'ONR 1'!H7)</f>
      </c>
      <c r="I5" s="225" t="str">
        <f>IF(ISBLANK('ONR 1'!I7),"",'ONR 1'!I7)</f>
      </c>
      <c r="J5" s="226" t="str">
        <f>IF(ISBLANK('ONR 1'!J7),"",'ONR 1'!J7)</f>
      </c>
      <c r="K5" s="227" t="str">
        <f>IF(ISBLANK('ONR 1'!K7),"",'ONR 1'!K7)</f>
      </c>
      <c r="L5" s="227" t="b">
        <f>IF(ISBLANK('ONR 1'!L7),"",'ONR 1'!L7)</f>
        <v>0</v>
      </c>
      <c r="M5" s="227" t="b">
        <f>IF(ISBLANK('ONR 1'!M7),"",'ONR 1'!M7)</f>
        <v>0</v>
      </c>
      <c r="N5" s="227" t="b">
        <f>IF(ISBLANK('ONR 1'!N7),"",'ONR 1'!N7)</f>
        <v>0</v>
      </c>
      <c r="O5" s="227" t="b">
        <f>IF(ISBLANK('ONR 1'!O7),"",'ONR 1'!O7)</f>
        <v>0</v>
      </c>
      <c r="P5" s="227" t="b">
        <f>IF(ISBLANK('ONR 1'!P7),"",'ONR 1'!P7)</f>
        <v>0</v>
      </c>
      <c r="Q5" s="227" t="b">
        <f>IF(ISBLANK('ONR 1'!Q7),"",'ONR 1'!Q7)</f>
        <v>0</v>
      </c>
      <c r="R5" s="227" t="b">
        <f>IF(ISBLANK('ONR 1'!R7),"",'ONR 1'!R7)</f>
        <v>0</v>
      </c>
      <c r="S5" s="228" t="str">
        <f>IF(ISBLANK('ONR 1'!S7),"",'ONR 1'!S7)</f>
      </c>
      <c r="T5" s="226" t="str">
        <f>IF(ISBLANK('ONR 1'!T7),"",'ONR 1'!T7)</f>
      </c>
      <c r="U5" s="227" t="str">
        <f>IF(ISBLANK('ONR 1'!U7),"",'ONR 1'!U7)</f>
      </c>
      <c r="V5" s="229" t="str">
        <f>IF(ISBLANK('ONR 1'!G7),"",'ONR 1'!G7)</f>
      </c>
      <c r="W5" s="203" t="str">
        <f>IF(ISBLANK('ONR 1'!V7),"",'ONR 1'!V7)</f>
      </c>
      <c r="X5" s="204" t="str">
        <f>IF(ISBLANK('ONR 1'!W7),"",'ONR 1'!W7)</f>
      </c>
      <c r="Y5" s="230" t="str">
        <f>IF(ISBLANK('ONR 1'!I7),"",'ONR 1'!I7)</f>
      </c>
      <c r="Z5" s="230" t="str">
        <f>IF(ISBLANK('ONR 1'!D7),"",'ONR 1'!D7)</f>
      </c>
      <c r="AE5" s="206" t="n">
        <f>IF(ISNUMBER(T5),0,1)</f>
      </c>
      <c r="AF5" s="206" t="n">
        <f>IF(L5=TRUE,1,0)</f>
      </c>
      <c r="AG5" s="206" t="n">
        <f>IF(M5=TRUE,1,0)</f>
      </c>
      <c r="AH5" s="206" t="n">
        <f>IF(N5=TRUE,1,0)</f>
      </c>
      <c r="AI5" s="206" t="n">
        <f>IF(O5=TRUE,1,0)</f>
      </c>
      <c r="AJ5" s="206" t="n">
        <f>IF(P5=TRUE,1,0)</f>
      </c>
      <c r="AK5" s="206" t="n">
        <f>IF(Q5=TRUE,1,0)</f>
      </c>
      <c r="AL5" s="206" t="n">
        <f>IF(R5=TRUE,1,0)</f>
      </c>
      <c r="AM5" t="n">
        <f>IF(LEN(TRIM(W5))&gt;0,1,0)</f>
        <v>0</v>
      </c>
    </row>
    <row r="6" spans="1:38" s="205" customFormat="1" ht="57">
      <c r="A6" s="199"/>
      <c r="B6" s="219" t="str">
        <f>IF(ISBLANK('ONR 1'!B8),"",'ONR 1'!B8)</f>
        <v>1.2</v>
      </c>
      <c r="C6" s="219" t="str">
        <f>IF(ISBLANK('ONR 1'!C8),"",'ONR 1'!C8)</f>
        <v>Utiliser plus longtemps les équipements des agents, des élus et des écoles, même après leur amortissement, en organisant leur réparation et leur réaffectation entre services.</v>
      </c>
      <c r="D6" s="231" t="str">
        <f>IF(ISBLANK('ONR 1'!D8),"",'ONR 1'!D8)</f>
      </c>
      <c r="E6" s="268" t="str">
        <f>IF(ISBLANK('ONR 1'!E8),"",'ONR 1'!E8)</f>
      </c>
      <c r="F6" s="275" t="str">
        <f>IF(ISBLANK('ONR 1'!F8),"",'ONR 1'!F8)</f>
      </c>
      <c r="G6" s="207" t="str">
        <f>IF(ISBLANK('ONR 1'!G8),"",'ONR 1'!G8)</f>
      </c>
      <c r="H6" s="201" t="str">
        <f>IF(ISBLANK('ONR 1'!H8),"",'ONR 1'!H8)</f>
      </c>
      <c r="I6" s="225" t="str">
        <f>IF(ISBLANK('ONR 1'!I8),"",'ONR 1'!I8)</f>
      </c>
      <c r="J6" s="232" t="str">
        <f>IF(ISBLANK('ONR 1'!J8),"",'ONR 1'!J8)</f>
      </c>
      <c r="K6" s="233" t="str">
        <f>IF(ISBLANK('ONR 1'!K8),"",'ONR 1'!K8)</f>
      </c>
      <c r="L6" s="233" t="b">
        <f>IF(ISBLANK('ONR 1'!L8),"",'ONR 1'!L8)</f>
      </c>
      <c r="M6" s="233" t="b">
        <f>IF(ISBLANK('ONR 1'!M8),"",'ONR 1'!M8)</f>
      </c>
      <c r="N6" s="233" t="b">
        <f>IF(ISBLANK('ONR 1'!N8),"",'ONR 1'!N8)</f>
      </c>
      <c r="O6" s="233" t="b">
        <f>IF(ISBLANK('ONR 1'!O8),"",'ONR 1'!O8)</f>
      </c>
      <c r="P6" s="233" t="b">
        <f>IF(ISBLANK('ONR 1'!P8),"",'ONR 1'!P8)</f>
      </c>
      <c r="Q6" s="233" t="b">
        <f>IF(ISBLANK('ONR 1'!Q8),"",'ONR 1'!Q8)</f>
      </c>
      <c r="R6" s="233" t="b">
        <f>IF(ISBLANK('ONR 1'!R8),"",'ONR 1'!R8)</f>
      </c>
      <c r="S6" s="234" t="str">
        <f>IF(ISBLANK('ONR 1'!S8),"",'ONR 1'!S8)</f>
      </c>
      <c r="T6" s="232" t="str">
        <f>IF(ISBLANK('ONR 1'!T8),"",'ONR 1'!T8)</f>
      </c>
      <c r="U6" s="233" t="str">
        <f>IF(ISBLANK('ONR 1'!U8),"",'ONR 1'!U8)</f>
      </c>
      <c r="V6" s="235" t="str">
        <f>IF(ISBLANK('ONR 1'!G8),"",'ONR 1'!G8)</f>
      </c>
      <c r="W6" s="235" t="str">
        <f>IF(ISBLANK('ONR 1'!V8),"",'ONR 1'!V8)</f>
      </c>
      <c r="X6" s="204" t="str">
        <f>IF(ISBLANK('ONR 1'!W8),"",'ONR 1'!W8)</f>
      </c>
      <c r="Y6" s="236" t="str">
        <f>IF(ISBLANK('ONR 1'!I8),"",'ONR 1'!I8)</f>
      </c>
      <c r="Z6" s="236" t="str">
        <f>IF(ISBLANK('ONR 1'!D8),"",'ONR 1'!D8)</f>
      </c>
      <c r="AE6" s="206" t="n">
        <f>IF(ISNUMBER(T6),0,1)</f>
      </c>
      <c r="AF6" s="206" t="n">
        <f>IF(L6=TRUE,1,0)</f>
      </c>
      <c r="AG6" s="206" t="n">
        <f>IF(M6=TRUE,1,0)</f>
      </c>
      <c r="AH6" s="206" t="n">
        <f>IF(N6=TRUE,1,0)</f>
      </c>
      <c r="AI6" s="206" t="n">
        <f>IF(O6=TRUE,1,0)</f>
      </c>
      <c r="AJ6" s="206" t="n">
        <f>IF(P6=TRUE,1,0)</f>
      </c>
      <c r="AK6" s="206" t="n">
        <f>IF(Q6=TRUE,1,0)</f>
      </c>
      <c r="AL6" s="206" t="n">
        <f>IF(R6=TRUE,1,0)</f>
      </c>
      <c r="AM6" t="n">
        <f>IF(LEN(TRIM(W6))&gt;0,1,0)</f>
        <v>0</v>
      </c>
    </row>
    <row r="7" spans="1:38" s="205" customFormat="1" ht="57">
      <c r="A7" s="199"/>
      <c r="B7" s="219" t="str">
        <f>IF(ISBLANK('ONR 1'!B9),"",'ONR 1'!B9)</f>
        <v>1.3</v>
      </c>
      <c r="C7" s="219" t="str">
        <f>IF(ISBLANK('ONR 1'!C9),"",'ONR 1'!C9)</f>
        <v>Concevoir des sites, des téléservices et des applications de la collectivité qui limitent leurs effets sur l'environnement, en suivant le RGESN, et choisir des technologies qui contribuent aux ODD.</v>
      </c>
      <c r="D7" s="231" t="str">
        <f>IF(ISBLANK('ONR 1'!D9),"",'ONR 1'!D9)</f>
      </c>
      <c r="E7" s="268" t="str">
        <f>IF(ISBLANK('ONR 1'!E9),"",'ONR 1'!E9)</f>
      </c>
      <c r="F7" s="275" t="str">
        <f>IF(ISBLANK('ONR 1'!F9),"",'ONR 1'!F9)</f>
      </c>
      <c r="G7" s="207" t="str">
        <f>IF(ISBLANK('ONR 1'!G9),"",'ONR 1'!G9)</f>
      </c>
      <c r="H7" s="201" t="str">
        <f>IF(ISBLANK('ONR 1'!H9),"",'ONR 1'!H9)</f>
      </c>
      <c r="I7" s="225" t="str">
        <f>IF(ISBLANK('ONR 1'!I9),"",'ONR 1'!I9)</f>
      </c>
      <c r="J7" s="232" t="str">
        <f>IF(ISBLANK('ONR 1'!J9),"",'ONR 1'!J9)</f>
      </c>
      <c r="K7" s="233" t="str">
        <f>IF(ISBLANK('ONR 1'!K9),"",'ONR 1'!K9)</f>
      </c>
      <c r="L7" s="233" t="b">
        <f>IF(ISBLANK('ONR 1'!L9),"",'ONR 1'!L9)</f>
      </c>
      <c r="M7" s="233" t="b">
        <f>IF(ISBLANK('ONR 1'!M9),"",'ONR 1'!M9)</f>
      </c>
      <c r="N7" s="233" t="b">
        <f>IF(ISBLANK('ONR 1'!N9),"",'ONR 1'!N9)</f>
      </c>
      <c r="O7" s="233" t="b">
        <f>IF(ISBLANK('ONR 1'!O9),"",'ONR 1'!O9)</f>
      </c>
      <c r="P7" s="233" t="b">
        <f>IF(ISBLANK('ONR 1'!P9),"",'ONR 1'!P9)</f>
      </c>
      <c r="Q7" s="233" t="b">
        <f>IF(ISBLANK('ONR 1'!Q9),"",'ONR 1'!Q9)</f>
      </c>
      <c r="R7" s="233" t="b">
        <f>IF(ISBLANK('ONR 1'!R9),"",'ONR 1'!R9)</f>
      </c>
      <c r="S7" s="234" t="str">
        <f>IF(ISBLANK('ONR 1'!S9),"",'ONR 1'!S9)</f>
      </c>
      <c r="T7" s="232" t="str">
        <f>IF(ISBLANK('ONR 1'!T9),"",'ONR 1'!T9)</f>
      </c>
      <c r="U7" s="233" t="str">
        <f>IF(ISBLANK('ONR 1'!U9),"",'ONR 1'!U9)</f>
      </c>
      <c r="V7" s="235" t="str">
        <f>IF(ISBLANK('ONR 1'!G9),"",'ONR 1'!G9)</f>
      </c>
      <c r="W7" s="142" t="str">
        <f>IF(ISBLANK('ONR 1'!V9),"",'ONR 1'!V9)</f>
      </c>
      <c r="X7" s="204" t="str">
        <f>IF(ISBLANK('ONR 1'!W9),"",'ONR 1'!W9)</f>
      </c>
      <c r="Y7" s="236" t="str">
        <f>IF(ISBLANK('ONR 1'!I9),"",'ONR 1'!I9)</f>
      </c>
      <c r="Z7" s="236" t="str">
        <f>IF(ISBLANK('ONR 1'!D9),"",'ONR 1'!D9)</f>
      </c>
      <c r="AE7" s="206" t="n">
        <f>IF(ISNUMBER(T7),0,1)</f>
      </c>
      <c r="AF7" s="206" t="n">
        <f>IF(L7=TRUE,1,0)</f>
      </c>
      <c r="AG7" s="206" t="n">
        <f>IF(M7=TRUE,1,0)</f>
      </c>
      <c r="AH7" s="206" t="n">
        <f>IF(N7=TRUE,1,0)</f>
      </c>
      <c r="AI7" s="206" t="n">
        <f>IF(O7=TRUE,1,0)</f>
      </c>
      <c r="AJ7" s="206" t="n">
        <f>IF(P7=TRUE,1,0)</f>
      </c>
      <c r="AK7" s="206" t="n">
        <f>IF(Q7=TRUE,1,0)</f>
      </c>
      <c r="AL7" s="206" t="n">
        <f>IF(R7=TRUE,1,0)</f>
      </c>
      <c r="AM7" t="n">
        <f>IF(LEN(TRIM(W7))&gt;0,1,0)</f>
        <v>0</v>
      </c>
    </row>
    <row r="8" spans="1:38" s="205" customFormat="1" ht="38">
      <c r="A8" s="199"/>
      <c r="B8" s="219" t="str">
        <f>IF(ISBLANK('ONR 1'!B10),"",'ONR 1'!B10)</f>
        <v>1.4</v>
      </c>
      <c r="C8" s="219" t="str">
        <f>IF(ISBLANK('ONR 1'!C10),"",'ONR 1'!C10)</f>
        <v>Adopter, dans les services et les assemblées, des pratiques qui consomment moins de matériel, d'énergie, de papier et d'impressions.</v>
      </c>
      <c r="D8" s="237" t="str">
        <f>IF(ISBLANK('ONR 1'!D10),"",'ONR 1'!D10)</f>
      </c>
      <c r="E8" s="269" t="str">
        <f>IF(ISBLANK('ONR 1'!E10),"",'ONR 1'!E10)</f>
      </c>
      <c r="F8" s="276" t="str">
        <f>IF(ISBLANK('ONR 1'!F10),"",'ONR 1'!F10)</f>
      </c>
      <c r="G8" s="208" t="str">
        <f>IF(ISBLANK('ONR 1'!G10),"",'ONR 1'!G10)</f>
      </c>
      <c r="H8" s="209" t="str">
        <f>IF(ISBLANK('ONR 1'!H10),"",'ONR 1'!H10)</f>
      </c>
      <c r="I8" s="225" t="str">
        <f>IF(ISBLANK('ONR 1'!I10),"",'ONR 1'!I10)</f>
      </c>
      <c r="J8" s="232" t="str">
        <f>IF(ISBLANK('ONR 1'!J10),"",'ONR 1'!J10)</f>
      </c>
      <c r="K8" s="233" t="str">
        <f>IF(ISBLANK('ONR 1'!K10),"",'ONR 1'!K10)</f>
      </c>
      <c r="L8" s="233" t="b">
        <f>IF(ISBLANK('ONR 1'!L10),"",'ONR 1'!L10)</f>
      </c>
      <c r="M8" s="233" t="b">
        <f>IF(ISBLANK('ONR 1'!M10),"",'ONR 1'!M10)</f>
      </c>
      <c r="N8" s="233" t="b">
        <f>IF(ISBLANK('ONR 1'!N10),"",'ONR 1'!N10)</f>
      </c>
      <c r="O8" s="233" t="b">
        <f>IF(ISBLANK('ONR 1'!O10),"",'ONR 1'!O10)</f>
      </c>
      <c r="P8" s="233" t="b">
        <f>IF(ISBLANK('ONR 1'!P10),"",'ONR 1'!P10)</f>
      </c>
      <c r="Q8" s="233" t="b">
        <f>IF(ISBLANK('ONR 1'!Q10),"",'ONR 1'!Q10)</f>
      </c>
      <c r="R8" s="233" t="b">
        <f>IF(ISBLANK('ONR 1'!R10),"",'ONR 1'!R10)</f>
      </c>
      <c r="S8" s="234" t="str">
        <f>IF(ISBLANK('ONR 1'!S10),"",'ONR 1'!S10)</f>
      </c>
      <c r="T8" s="232" t="str">
        <f>IF(ISBLANK('ONR 1'!T10),"",'ONR 1'!T10)</f>
      </c>
      <c r="U8" s="233" t="str">
        <f>IF(ISBLANK('ONR 1'!U10),"",'ONR 1'!U10)</f>
      </c>
      <c r="V8" s="239" t="str">
        <f>IF(ISBLANK('ONR 1'!G10),"",'ONR 1'!G10)</f>
      </c>
      <c r="W8" s="210" t="str">
        <f>IF(ISBLANK('ONR 1'!V10),"",'ONR 1'!V10)</f>
      </c>
      <c r="X8" s="204" t="str">
        <f>IF(ISBLANK('ONR 1'!W10),"",'ONR 1'!W10)</f>
      </c>
      <c r="Y8" s="236" t="str">
        <f>IF(ISBLANK('ONR 1'!I10),"",'ONR 1'!I10)</f>
      </c>
      <c r="Z8" s="236" t="str">
        <f>IF(ISBLANK('ONR 1'!D10),"",'ONR 1'!D10)</f>
      </c>
      <c r="AE8" s="206" t="n">
        <f>IF(ISNUMBER(T8),0,1)</f>
      </c>
      <c r="AF8" s="206" t="n">
        <f>IF(L8=TRUE,1,0)</f>
      </c>
      <c r="AG8" s="206" t="n">
        <f>IF(M8=TRUE,1,0)</f>
      </c>
      <c r="AH8" s="206" t="n">
        <f>IF(N8=TRUE,1,0)</f>
      </c>
      <c r="AI8" s="206" t="n">
        <f>IF(O8=TRUE,1,0)</f>
      </c>
      <c r="AJ8" s="206" t="n">
        <f>IF(P8=TRUE,1,0)</f>
      </c>
      <c r="AK8" s="206" t="n">
        <f>IF(Q8=TRUE,1,0)</f>
      </c>
      <c r="AL8" s="206" t="n">
        <f>IF(R8=TRUE,1,0)</f>
      </c>
      <c r="AM8" t="n">
        <f>IF(LEN(TRIM(W8))&gt;0,1,0)</f>
        <v>0</v>
      </c>
    </row>
    <row r="9" spans="1:38" s="205" customFormat="1" ht="57">
      <c r="A9" s="199"/>
      <c r="B9" s="219" t="str">
        <f>IF(ISBLANK('ONR 1'!B11),"",'ONR 1'!B11)</f>
        <v>1.5</v>
      </c>
      <c r="C9" s="219" t="str">
        <f>IF(ISBLANK('ONR 1'!C11),"",'ONR 1'!C11)</f>
        <v>Confier les équipements en fin d'usage à des structures locales de réemploi et de l'économie sociale et solidaire, et suivre ce qu'ils deviennent.</v>
      </c>
      <c r="D9" s="240" t="str">
        <f>IF(ISBLANK('ONR 1'!D11),"",'ONR 1'!D11)</f>
      </c>
      <c r="E9" s="270" t="str">
        <f>IF(ISBLANK('ONR 1'!E11),"",'ONR 1'!E11)</f>
      </c>
      <c r="F9" s="277" t="str">
        <f>IF(ISBLANK('ONR 1'!F11),"",'ONR 1'!F11)</f>
      </c>
      <c r="G9" s="211" t="str">
        <f>IF(ISBLANK('ONR 1'!G11),"",'ONR 1'!G11)</f>
      </c>
      <c r="H9" s="212" t="str">
        <f>IF(ISBLANK('ONR 1'!H11),"",'ONR 1'!H11)</f>
      </c>
      <c r="I9" s="225" t="str">
        <f>IF(ISBLANK('ONR 1'!I11),"",'ONR 1'!I11)</f>
      </c>
      <c r="J9" s="232" t="str">
        <f>IF(ISBLANK('ONR 1'!J11),"",'ONR 1'!J11)</f>
      </c>
      <c r="K9" s="233" t="str">
        <f>IF(ISBLANK('ONR 1'!K11),"",'ONR 1'!K11)</f>
      </c>
      <c r="L9" s="233" t="b">
        <f>IF(ISBLANK('ONR 1'!L11),"",'ONR 1'!L11)</f>
      </c>
      <c r="M9" s="233" t="b">
        <f>IF(ISBLANK('ONR 1'!M11),"",'ONR 1'!M11)</f>
      </c>
      <c r="N9" s="233" t="b">
        <f>IF(ISBLANK('ONR 1'!N11),"",'ONR 1'!N11)</f>
      </c>
      <c r="O9" s="233" t="b">
        <f>IF(ISBLANK('ONR 1'!O11),"",'ONR 1'!O11)</f>
      </c>
      <c r="P9" s="233" t="b">
        <f>IF(ISBLANK('ONR 1'!P11),"",'ONR 1'!P11)</f>
      </c>
      <c r="Q9" s="233" t="b">
        <f>IF(ISBLANK('ONR 1'!Q11),"",'ONR 1'!Q11)</f>
      </c>
      <c r="R9" s="233" t="b">
        <f>IF(ISBLANK('ONR 1'!R11),"",'ONR 1'!R11)</f>
      </c>
      <c r="S9" s="234" t="str">
        <f>IF(ISBLANK('ONR 1'!S11),"",'ONR 1'!S11)</f>
      </c>
      <c r="T9" s="232" t="str">
        <f>IF(ISBLANK('ONR 1'!T11),"",'ONR 1'!T11)</f>
      </c>
      <c r="U9" s="233" t="str">
        <f>IF(ISBLANK('ONR 1'!U11),"",'ONR 1'!U11)</f>
      </c>
      <c r="V9" s="241" t="str">
        <f>IF(ISBLANK('ONR 1'!G11),"",'ONR 1'!G11)</f>
      </c>
      <c r="W9" s="241" t="str">
        <f>IF(ISBLANK('ONR 1'!V11),"",'ONR 1'!V11)</f>
      </c>
      <c r="X9" s="204" t="str">
        <f>IF(ISBLANK('ONR 1'!W11),"",'ONR 1'!W11)</f>
      </c>
      <c r="Y9" s="236" t="str">
        <f>IF(ISBLANK('ONR 1'!I11),"",'ONR 1'!I11)</f>
      </c>
      <c r="Z9" s="236" t="str">
        <f>IF(ISBLANK('ONR 1'!D11),"",'ONR 1'!D11)</f>
      </c>
      <c r="AE9" s="206" t="n">
        <f>IF(ISNUMBER(T9),0,1)</f>
      </c>
      <c r="AF9" s="206" t="n">
        <f>IF(L9=TRUE,1,0)</f>
      </c>
      <c r="AG9" s="206" t="n">
        <f>IF(M9=TRUE,1,0)</f>
      </c>
      <c r="AH9" s="206" t="n">
        <f>IF(N9=TRUE,1,0)</f>
      </c>
      <c r="AI9" s="206" t="n">
        <f>IF(O9=TRUE,1,0)</f>
      </c>
      <c r="AJ9" s="206" t="n">
        <f>IF(P9=TRUE,1,0)</f>
      </c>
      <c r="AK9" s="206" t="n">
        <f>IF(Q9=TRUE,1,0)</f>
      </c>
      <c r="AL9" s="206" t="n">
        <f>IF(R9=TRUE,1,0)</f>
      </c>
      <c r="AM9" t="n">
        <f>IF(LEN(TRIM(W9))&gt;0,1,0)</f>
        <v>0</v>
      </c>
    </row>
    <row r="10" spans="1:38" s="205" customFormat="1" ht="38">
      <c r="A10" s="199"/>
      <c r="B10" s="219" t="str">
        <f>IF(ISBLANK('ONR 1'!B12),"",'ONR 1'!B12)</f>
        <v>1.6</v>
      </c>
      <c r="C10" s="219" t="str">
        <f>IF(ISBLANK('ONR 1'!C12),"",'ONR 1'!C12)</f>
        <v>Alimenter les bâtiments, les salles serveurs et les services hébergés avec des énergies renouvelables, et favoriser leur production sur le territoire.</v>
      </c>
      <c r="D10" s="240" t="str">
        <f>IF(ISBLANK('ONR 1'!D12),"",'ONR 1'!D12)</f>
      </c>
      <c r="E10" s="270" t="str">
        <f>IF(ISBLANK('ONR 1'!E12),"",'ONR 1'!E12)</f>
      </c>
      <c r="F10" s="277" t="str">
        <f>IF(ISBLANK('ONR 1'!F12),"",'ONR 1'!F12)</f>
      </c>
      <c r="G10" s="211" t="str">
        <f>IF(ISBLANK('ONR 1'!G12),"",'ONR 1'!G12)</f>
      </c>
      <c r="H10" s="212" t="str">
        <f>IF(ISBLANK('ONR 1'!H12),"",'ONR 1'!H12)</f>
      </c>
      <c r="I10" s="225" t="str">
        <f>IF(ISBLANK('ONR 1'!I12),"",'ONR 1'!I12)</f>
      </c>
      <c r="J10" s="232" t="str">
        <f>IF(ISBLANK('ONR 1'!J12),"",'ONR 1'!J12)</f>
      </c>
      <c r="K10" s="233" t="str">
        <f>IF(ISBLANK('ONR 1'!K12),"",'ONR 1'!K12)</f>
      </c>
      <c r="L10" s="233" t="b">
        <f>IF(ISBLANK('ONR 1'!L12),"",'ONR 1'!L12)</f>
      </c>
      <c r="M10" s="233" t="b">
        <f>IF(ISBLANK('ONR 1'!M12),"",'ONR 1'!M12)</f>
      </c>
      <c r="N10" s="233" t="b">
        <f>IF(ISBLANK('ONR 1'!N12),"",'ONR 1'!N12)</f>
      </c>
      <c r="O10" s="233" t="b">
        <f>IF(ISBLANK('ONR 1'!O12),"",'ONR 1'!O12)</f>
      </c>
      <c r="P10" s="233" t="b">
        <f>IF(ISBLANK('ONR 1'!P12),"",'ONR 1'!P12)</f>
      </c>
      <c r="Q10" s="233" t="b">
        <f>IF(ISBLANK('ONR 1'!Q12),"",'ONR 1'!Q12)</f>
      </c>
      <c r="R10" s="233" t="b">
        <f>IF(ISBLANK('ONR 1'!R12),"",'ONR 1'!R12)</f>
      </c>
      <c r="S10" s="234" t="str">
        <f>IF(ISBLANK('ONR 1'!S12),"",'ONR 1'!S12)</f>
      </c>
      <c r="T10" s="232" t="str">
        <f>IF(ISBLANK('ONR 1'!T12),"",'ONR 1'!T12)</f>
      </c>
      <c r="U10" s="233" t="str">
        <f>IF(ISBLANK('ONR 1'!U12),"",'ONR 1'!U12)</f>
      </c>
      <c r="V10" s="241" t="str">
        <f>IF(ISBLANK('ONR 1'!G12),"",'ONR 1'!G12)</f>
      </c>
      <c r="W10" s="241" t="str">
        <f>IF(ISBLANK('ONR 1'!V12),"",'ONR 1'!V12)</f>
      </c>
      <c r="X10" s="204" t="str">
        <f>IF(ISBLANK('ONR 1'!W12),"",'ONR 1'!W12)</f>
      </c>
      <c r="Y10" s="236" t="str">
        <f>IF(ISBLANK('ONR 1'!I12),"",'ONR 1'!I12)</f>
      </c>
      <c r="Z10" s="236" t="str">
        <f>IF(ISBLANK('ONR 1'!D12),"",'ONR 1'!D12)</f>
      </c>
      <c r="AE10" s="206" t="n">
        <f>IF(ISNUMBER(T10),0,1)</f>
      </c>
      <c r="AF10" s="206" t="n">
        <f>IF(L10=TRUE,1,0)</f>
      </c>
      <c r="AG10" s="206" t="n">
        <f>IF(M10=TRUE,1,0)</f>
      </c>
      <c r="AH10" s="206" t="n">
        <f>IF(N10=TRUE,1,0)</f>
      </c>
      <c r="AI10" s="206" t="n">
        <f>IF(O10=TRUE,1,0)</f>
      </c>
      <c r="AJ10" s="206" t="n">
        <f>IF(P10=TRUE,1,0)</f>
      </c>
      <c r="AK10" s="206" t="n">
        <f>IF(Q10=TRUE,1,0)</f>
      </c>
      <c r="AL10" s="206" t="n">
        <f>IF(R10=TRUE,1,0)</f>
      </c>
      <c r="AM10" t="n">
        <f>IF(LEN(TRIM(W10))&gt;0,1,0)</f>
        <v>0</v>
      </c>
    </row>
    <row r="11" spans="1:38" s="205" customFormat="1" ht="39" thickBot="1">
      <c r="A11" s="199"/>
      <c r="B11" s="219" t="str">
        <f>IF(ISBLANK('ONR 1'!B13),"",'ONR 1'!B13)</f>
        <v>1.7</v>
      </c>
      <c r="C11" s="219" t="str">
        <f>IF(ISBLANK('ONR 1'!C13),"",'ONR 1'!C13)</f>
        <v>Réserver l'intelligence artificielle aux besoins du service public qui la justifient, et choisir des solutions sobres.</v>
      </c>
      <c r="D11" s="240" t="str">
        <f>IF(ISBLANK('ONR 1'!D13),"",'ONR 1'!D13)</f>
      </c>
      <c r="E11" s="270" t="str">
        <f>IF(ISBLANK('ONR 1'!E13),"",'ONR 1'!E13)</f>
      </c>
      <c r="F11" s="277" t="str">
        <f>IF(ISBLANK('ONR 1'!F13),"",'ONR 1'!F13)</f>
      </c>
      <c r="G11" s="211" t="str">
        <f>IF(ISBLANK('ONR 1'!G13),"",'ONR 1'!G13)</f>
      </c>
      <c r="H11" s="212" t="str">
        <f>IF(ISBLANK('ONR 1'!H13),"",'ONR 1'!H13)</f>
      </c>
      <c r="I11" s="225" t="str">
        <f>IF(ISBLANK('ONR 1'!I13),"",'ONR 1'!I13)</f>
      </c>
      <c r="J11" s="232" t="str">
        <f>IF(ISBLANK('ONR 1'!J13),"",'ONR 1'!J13)</f>
      </c>
      <c r="K11" s="233" t="str">
        <f>IF(ISBLANK('ONR 1'!K13),"",'ONR 1'!K13)</f>
      </c>
      <c r="L11" s="233" t="b">
        <f>IF(ISBLANK('ONR 1'!L13),"",'ONR 1'!L13)</f>
      </c>
      <c r="M11" s="233" t="b">
        <f>IF(ISBLANK('ONR 1'!M13),"",'ONR 1'!M13)</f>
      </c>
      <c r="N11" s="233" t="b">
        <f>IF(ISBLANK('ONR 1'!N13),"",'ONR 1'!N13)</f>
      </c>
      <c r="O11" s="233" t="b">
        <f>IF(ISBLANK('ONR 1'!O13),"",'ONR 1'!O13)</f>
      </c>
      <c r="P11" s="233" t="b">
        <f>IF(ISBLANK('ONR 1'!P13),"",'ONR 1'!P13)</f>
      </c>
      <c r="Q11" s="233" t="b">
        <f>IF(ISBLANK('ONR 1'!Q13),"",'ONR 1'!Q13)</f>
      </c>
      <c r="R11" s="233" t="b">
        <f>IF(ISBLANK('ONR 1'!R13),"",'ONR 1'!R13)</f>
      </c>
      <c r="S11" s="234" t="str">
        <f>IF(ISBLANK('ONR 1'!S13),"",'ONR 1'!S13)</f>
      </c>
      <c r="T11" s="232" t="str">
        <f>IF(ISBLANK('ONR 1'!T13),"",'ONR 1'!T13)</f>
      </c>
      <c r="U11" s="233" t="str">
        <f>IF(ISBLANK('ONR 1'!U13),"",'ONR 1'!U13)</f>
      </c>
      <c r="V11" s="241" t="str">
        <f>IF(ISBLANK('ONR 1'!G13),"",'ONR 1'!G13)</f>
      </c>
      <c r="W11" s="241" t="str">
        <f>IF(ISBLANK('ONR 1'!V13),"",'ONR 1'!V13)</f>
      </c>
      <c r="X11" s="204" t="str">
        <f>IF(ISBLANK('ONR 1'!W13),"",'ONR 1'!W13)</f>
      </c>
      <c r="Y11" s="236" t="str">
        <f>IF(ISBLANK('ONR 1'!I13),"",'ONR 1'!I13)</f>
      </c>
      <c r="Z11" s="236" t="str">
        <f>IF(ISBLANK('ONR 1'!D13),"",'ONR 1'!D13)</f>
      </c>
      <c r="AE11" s="206" t="n">
        <f>IF(ISNUMBER(T11),0,1)</f>
      </c>
      <c r="AF11" s="206" t="n">
        <f>IF(L11=TRUE,1,0)</f>
      </c>
      <c r="AG11" s="206" t="n">
        <f>IF(M11=TRUE,1,0)</f>
      </c>
      <c r="AH11" s="206" t="n">
        <f>IF(N11=TRUE,1,0)</f>
      </c>
      <c r="AI11" s="206" t="n">
        <f>IF(O11=TRUE,1,0)</f>
      </c>
      <c r="AJ11" s="206" t="n">
        <f>IF(P11=TRUE,1,0)</f>
      </c>
      <c r="AK11" s="206" t="n">
        <f>IF(Q11=TRUE,1,0)</f>
      </c>
      <c r="AL11" s="206" t="n">
        <f>IF(R11=TRUE,1,0)</f>
      </c>
      <c r="AM11" t="n">
        <f>IF(LEN(TRIM(W11))&gt;0,1,0)</f>
        <v>0</v>
      </c>
    </row>
    <row r="12" spans="1:38" s="205" customFormat="1" ht="39" thickBot="1">
      <c r="A12" s="199"/>
      <c r="B12" s="219" t="str">
        <f>IF(ISBLANK('ONR 1'!B14),"",'ONR 1'!B14)</f>
        <v>1.8</v>
      </c>
      <c r="C12" s="219" t="str">
        <f>IF(ISBLANK('ONR 1'!C14),"",'ONR 1'!C14)</f>
        <v>Mesurer et réduire ce que consomment les outils d'intelligence artificielle utilisés par la collectivité et ses prestataires.</v>
      </c>
      <c r="D12" s="240" t="str">
        <f>IF(ISBLANK('ONR 1'!D14),"",'ONR 1'!D14)</f>
      </c>
      <c r="E12" s="270" t="str">
        <f>IF(ISBLANK('ONR 1'!E14),"",'ONR 1'!E14)</f>
      </c>
      <c r="F12" s="277" t="str">
        <f>IF(ISBLANK('ONR 1'!F14),"",'ONR 1'!F14)</f>
      </c>
      <c r="G12" s="211" t="str">
        <f>IF(ISBLANK('ONR 1'!G14),"",'ONR 1'!G14)</f>
      </c>
      <c r="H12" s="212" t="str">
        <f>IF(ISBLANK('ONR 1'!H14),"",'ONR 1'!H14)</f>
      </c>
      <c r="I12" s="225" t="str">
        <f>IF(ISBLANK('ONR 1'!I14),"",'ONR 1'!I14)</f>
      </c>
      <c r="J12" s="232" t="n">
        <f>IF(ISBLANK('ONR 1'!J14),"",'ONR 1'!J14)</f>
        <v>0</v>
      </c>
      <c r="K12" s="233" t="str">
        <f>IF(ISBLANK('ONR 1'!K14),"",'ONR 1'!K14)</f>
      </c>
      <c r="L12" s="233" t="b">
        <f>IF(ISBLANK('ONR 1'!L14),"",'ONR 1'!L14)</f>
        <v>0</v>
      </c>
      <c r="M12" s="233" t="b">
        <f>IF(ISBLANK('ONR 1'!M14),"",'ONR 1'!M14)</f>
        <v>0</v>
      </c>
      <c r="N12" s="233" t="b">
        <f>IF(ISBLANK('ONR 1'!N14),"",'ONR 1'!N14)</f>
        <v>0</v>
      </c>
      <c r="O12" s="233" t="b">
        <f>IF(ISBLANK('ONR 1'!O14),"",'ONR 1'!O14)</f>
        <v>0</v>
      </c>
      <c r="P12" s="233" t="b">
        <f>IF(ISBLANK('ONR 1'!P14),"",'ONR 1'!P14)</f>
        <v>0</v>
      </c>
      <c r="Q12" s="233" t="b">
        <f>IF(ISBLANK('ONR 1'!Q14),"",'ONR 1'!Q14)</f>
        <v>0</v>
      </c>
      <c r="R12" s="233" t="b">
        <f>IF(ISBLANK('ONR 1'!R14),"",'ONR 1'!R14)</f>
        <v>0</v>
      </c>
      <c r="S12" s="234" t="str">
        <f>IF(ISBLANK('ONR 1'!S14),"",'ONR 1'!S14)</f>
      </c>
      <c r="T12" s="232" t="str">
        <f>IF(ISBLANK('ONR 1'!T14),"",'ONR 1'!T14)</f>
      </c>
      <c r="U12" s="233" t="str">
        <f>IF(ISBLANK('ONR 1'!U14),"",'ONR 1'!U14)</f>
      </c>
      <c r="V12" s="241" t="str">
        <f>IF(ISBLANK('ONR 1'!G14),"",'ONR 1'!G14)</f>
      </c>
      <c r="W12" s="241" t="str">
        <f>IF(ISBLANK('ONR 1'!V14),"",'ONR 1'!V14)</f>
      </c>
      <c r="X12" s="204" t="str">
        <f>IF(ISBLANK('ONR 1'!W14),"",'ONR 1'!W14)</f>
      </c>
      <c r="Y12" s="236" t="str">
        <f>IF(ISBLANK('ONR 1'!I14),"",'ONR 1'!I14)</f>
      </c>
      <c r="Z12" s="236" t="str">
        <f>IF(ISBLANK('ONR 1'!D14),"",'ONR 1'!D14)</f>
      </c>
      <c r="AE12" s="206" t="n">
        <f>IF(ISNUMBER(T12),0,1)</f>
        <v>1</v>
      </c>
      <c r="AF12" s="206" t="n">
        <f>IF(L12=TRUE,1,0)</f>
        <v>0</v>
      </c>
      <c r="AG12" s="206" t="n">
        <f>IF(M12=TRUE,1,0)</f>
        <v>0</v>
      </c>
      <c r="AH12" s="206" t="n">
        <f>IF(N12=TRUE,1,0)</f>
        <v>0</v>
      </c>
      <c r="AI12" s="206" t="n">
        <f>IF(O12=TRUE,1,0)</f>
        <v>0</v>
      </c>
      <c r="AJ12" s="206" t="n">
        <f>IF(P12=TRUE,1,0)</f>
        <v>0</v>
      </c>
      <c r="AK12" s="206" t="n">
        <f>IF(Q12=TRUE,1,0)</f>
        <v>0</v>
      </c>
      <c r="AL12" s="206" t="n">
        <f>IF(R12=TRUE,1,0)</f>
        <v>0</v>
      </c>
      <c r="AM12" t="n">
        <f>IF(LEN(TRIM(W12))&gt;0,1,0)</f>
        <v>0</v>
      </c>
    </row>
    <row r="13" spans="1:38" s="116" customFormat="1" ht="23" thickBot="1">
      <c r="A13" s="115"/>
      <c r="B13" s="362" t="str">
        <f>'ONR 2'!B2</f>
        <v>ONR 2 : Inclusion · Développer des services numériques durables que toutes et tous peuvent utiliser</v>
      </c>
      <c r="C13" s="363"/>
      <c r="D13" s="363"/>
      <c r="E13" s="363"/>
      <c r="F13" s="363"/>
      <c r="G13" s="363"/>
      <c r="H13" s="363"/>
      <c r="I13" s="363"/>
      <c r="J13" s="363"/>
      <c r="K13" s="363"/>
      <c r="L13" s="363"/>
      <c r="M13" s="363"/>
      <c r="N13" s="363"/>
      <c r="O13" s="363"/>
      <c r="P13" s="363"/>
      <c r="Q13" s="363"/>
      <c r="R13" s="363"/>
      <c r="S13" s="363"/>
      <c r="T13" s="363"/>
      <c r="U13" s="363"/>
      <c r="V13" s="363"/>
      <c r="W13" s="363"/>
      <c r="X13" s="363"/>
      <c r="Y13" s="363"/>
      <c r="Z13" s="380"/>
      <c r="AB13" s="116" t="str">
        <f>B13</f>
        <v>ONR 2 : Inclusion · Développer des services numériques durables que toutes et tous peuvent utiliser</v>
      </c>
      <c r="AC13" s="116" t="n">
        <f>COUNTA('ONR 2'!B7:B11)</f>
        <v>5</v>
      </c>
      <c r="AD13" s="116" t="n">
        <f>COUNT(T14:T18)</f>
        <v>0</v>
      </c>
      <c r="AE13" s="117" t="n">
        <f>SUM(AE14:AE18)</f>
        <v>5</v>
      </c>
      <c r="AF13" s="117" t="n">
        <f>SUM(AF14:AF18)</f>
        <v>0</v>
      </c>
      <c r="AG13" s="117" t="n">
        <f>SUM(AG14:AG18)</f>
        <v>0</v>
      </c>
      <c r="AH13" s="117" t="n">
        <f>SUM(AH14:AH18)</f>
        <v>0</v>
      </c>
      <c r="AI13" s="117" t="n">
        <f>SUM(AI14:AI18)</f>
        <v>0</v>
      </c>
      <c r="AJ13" s="117" t="n">
        <f>SUM(AJ14:AJ18)</f>
        <v>0</v>
      </c>
      <c r="AK13" s="117" t="n">
        <f>SUM(AK14:AK18)</f>
        <v>0</v>
      </c>
      <c r="AL13" s="117" t="n">
        <f>SUM(AL14:AL18)</f>
        <v>0</v>
      </c>
    </row>
    <row r="14" spans="1:38" s="205" customFormat="1" ht="38">
      <c r="A14" s="199"/>
      <c r="B14" s="218" t="str">
        <f>IF(ISBLANK('ONR 2'!B7),"",'ONR 2'!B7)</f>
        <v>2.1</v>
      </c>
      <c r="C14" s="221" t="str">
        <f>IF(ISBLANK('ONR 2'!C7),"",'ONR 2'!C7)</f>
        <v>Intégrer dans les marchés publics du numérique des clauses sociales et environnementales, et des critères de durabilité, de réparabilité et de réemploi.</v>
      </c>
      <c r="D14" s="223" t="str">
        <f>IF(ISBLANK('ONR 2'!D7),"",'ONR 2'!D7)</f>
      </c>
      <c r="E14" s="267" t="str">
        <f>IF(ISBLANK('ONR 2'!E7),"",'ONR 2'!E7)</f>
      </c>
      <c r="F14" s="274" t="str">
        <f>IF(ISBLANK('ONR 2'!F7),"",'ONR 2'!F7)</f>
      </c>
      <c r="G14" s="200" t="str">
        <f>IF(ISBLANK('ONR 2'!G7),"",'ONR 2'!G7)</f>
      </c>
      <c r="H14" s="202" t="str">
        <f>IF(ISBLANK('ONR 2'!H7),"",'ONR 2'!H7)</f>
      </c>
      <c r="I14" s="225" t="str">
        <f>IF(ISBLANK('ONR 2'!I7),"",'ONR 2'!I7)</f>
      </c>
      <c r="J14" s="218" t="str">
        <f>IF(ISBLANK('ONR 2'!J7),"",'ONR 2'!J7)</f>
      </c>
      <c r="K14" s="227" t="str">
        <f>IF(ISBLANK('ONR 2'!K7),"",'ONR 2'!K7)</f>
      </c>
      <c r="L14" s="227" t="b">
        <f>IF(ISBLANK('ONR 2'!L7),"",'ONR 2'!L7)</f>
        <v>0</v>
      </c>
      <c r="M14" s="227" t="b">
        <f>IF(ISBLANK('ONR 2'!M7),"",'ONR 2'!M7)</f>
        <v>0</v>
      </c>
      <c r="N14" s="227" t="b">
        <f>IF(ISBLANK('ONR 2'!N7),"",'ONR 2'!N7)</f>
        <v>0</v>
      </c>
      <c r="O14" s="227" t="b">
        <f>IF(ISBLANK('ONR 2'!O7),"",'ONR 2'!O7)</f>
        <v>0</v>
      </c>
      <c r="P14" s="227" t="b">
        <f>IF(ISBLANK('ONR 2'!P7),"",'ONR 2'!P7)</f>
        <v>0</v>
      </c>
      <c r="Q14" s="227" t="b">
        <f>IF(ISBLANK('ONR 2'!Q7),"",'ONR 2'!Q7)</f>
        <v>0</v>
      </c>
      <c r="R14" s="227" t="b">
        <f>IF(ISBLANK('ONR 2'!R7),"",'ONR 2'!R7)</f>
        <v>0</v>
      </c>
      <c r="S14" s="228" t="str">
        <f>IF(ISBLANK('ONR 2'!S7),"",'ONR 2'!S7)</f>
      </c>
      <c r="T14" s="226" t="str">
        <f>IF(ISBLANK('ONR 2'!T7),"",'ONR 2'!T7)</f>
      </c>
      <c r="U14" s="242" t="str">
        <f>IF(ISBLANK('ONR 2'!U7),"",'ONR 2'!U7)</f>
      </c>
      <c r="V14" s="229" t="str">
        <f>IF(ISBLANK('ONR 2'!G7),"",'ONR 2'!G7)</f>
      </c>
      <c r="W14" s="229" t="str">
        <f>IF(ISBLANK('ONR 2'!V7),"",'ONR 2'!V7)</f>
      </c>
      <c r="X14" s="204" t="str">
        <f>IF(ISBLANK('ONR 2'!W7),"",'ONR 2'!W7)</f>
      </c>
      <c r="Y14" s="230" t="str">
        <f>IF(ISBLANK('ONR 2'!I7),"",'ONR 2'!I7)</f>
      </c>
      <c r="Z14" s="230" t="str">
        <f>IF(ISBLANK('ONR 2'!D7),"",'ONR 2'!D7)</f>
      </c>
      <c r="AE14" s="206" t="n">
        <f>IF(ISNUMBER(T14),0,1)</f>
        <v>1</v>
      </c>
      <c r="AF14" s="206" t="n">
        <f>IF(L14=TRUE,1,0)</f>
      </c>
      <c r="AG14" s="206" t="n">
        <f>IF(M14=TRUE,1,0)</f>
      </c>
      <c r="AH14" s="206" t="n">
        <f>IF(N14=TRUE,1,0)</f>
      </c>
      <c r="AI14" s="206" t="n">
        <f>IF(O14=TRUE,1,0)</f>
      </c>
      <c r="AJ14" s="206" t="n">
        <f>IF(P14=TRUE,1,0)</f>
      </c>
      <c r="AK14" s="206" t="n">
        <f>IF(Q14=TRUE,1,0)</f>
      </c>
      <c r="AL14" s="206" t="n">
        <f>IF(R14=TRUE,1,0)</f>
      </c>
      <c r="AM14" t="n">
        <f>IF(LEN(TRIM(W14))&gt;0,1,0)</f>
        <v>0</v>
      </c>
    </row>
    <row r="15" spans="1:38" s="205" customFormat="1" ht="57">
      <c r="A15" s="199"/>
      <c r="B15" s="218" t="str">
        <f>IF(ISBLANK('ONR 2'!B8),"",'ONR 2'!B8)</f>
        <v>2.2</v>
      </c>
      <c r="C15" s="221" t="str">
        <f>IF(ISBLANK('ONR 2'!C8),"",'ONR 2'!C8)</f>
        <v>Rendre accessibles à toutes et tous les sites, les téléservices et les documents de la collectivité. Publier la déclaration d'accessibilité et le schéma pluriannuel prévus par le RGAA.</v>
      </c>
      <c r="D15" s="223" t="str">
        <f>IF(ISBLANK('ONR 2'!D8),"",'ONR 2'!D8)</f>
      </c>
      <c r="E15" s="267" t="str">
        <f>IF(ISBLANK('ONR 2'!E8),"",'ONR 2'!E8)</f>
      </c>
      <c r="F15" s="274" t="str">
        <f>IF(ISBLANK('ONR 2'!F8),"",'ONR 2'!F8)</f>
      </c>
      <c r="G15" s="200" t="str">
        <f>IF(ISBLANK('ONR 2'!G8),"",'ONR 2'!G8)</f>
      </c>
      <c r="H15" s="202" t="str">
        <f>IF(ISBLANK('ONR 2'!H8),"",'ONR 2'!H8)</f>
      </c>
      <c r="I15" s="225" t="str">
        <f>IF(ISBLANK('ONR 2'!I8),"",'ONR 2'!I8)</f>
      </c>
      <c r="J15" s="218" t="str">
        <f>IF(ISBLANK('ONR 2'!J8),"",'ONR 2'!J8)</f>
      </c>
      <c r="K15" s="227" t="str">
        <f>IF(ISBLANK('ONR 2'!K8),"",'ONR 2'!K8)</f>
      </c>
      <c r="L15" s="227" t="b">
        <f>IF(ISBLANK('ONR 2'!L8),"",'ONR 2'!L8)</f>
      </c>
      <c r="M15" s="227" t="b">
        <f>IF(ISBLANK('ONR 2'!M8),"",'ONR 2'!M8)</f>
      </c>
      <c r="N15" s="227" t="b">
        <f>IF(ISBLANK('ONR 2'!N8),"",'ONR 2'!N8)</f>
      </c>
      <c r="O15" s="227" t="b">
        <f>IF(ISBLANK('ONR 2'!O8),"",'ONR 2'!O8)</f>
      </c>
      <c r="P15" s="227" t="b">
        <f>IF(ISBLANK('ONR 2'!P8),"",'ONR 2'!P8)</f>
      </c>
      <c r="Q15" s="227" t="b">
        <f>IF(ISBLANK('ONR 2'!Q8),"",'ONR 2'!Q8)</f>
      </c>
      <c r="R15" s="227" t="b">
        <f>IF(ISBLANK('ONR 2'!R8),"",'ONR 2'!R8)</f>
      </c>
      <c r="S15" s="228" t="str">
        <f>IF(ISBLANK('ONR 2'!S8),"",'ONR 2'!S8)</f>
      </c>
      <c r="T15" s="226" t="str">
        <f>IF(ISBLANK('ONR 2'!T8),"",'ONR 2'!T8)</f>
      </c>
      <c r="U15" s="242" t="str">
        <f>IF(ISBLANK('ONR 2'!U8),"",'ONR 2'!U8)</f>
      </c>
      <c r="V15" s="229" t="str">
        <f>IF(ISBLANK('ONR 2'!G8),"",'ONR 2'!G8)</f>
      </c>
      <c r="W15" s="229" t="str">
        <f>IF(ISBLANK('ONR 2'!V8),"",'ONR 2'!V8)</f>
      </c>
      <c r="X15" s="204" t="str">
        <f>IF(ISBLANK('ONR 2'!W8),"",'ONR 2'!W8)</f>
      </c>
      <c r="Y15" s="230" t="str">
        <f>IF(ISBLANK('ONR 2'!I8),"",'ONR 2'!I8)</f>
      </c>
      <c r="Z15" s="230" t="str">
        <f>IF(ISBLANK('ONR 2'!D8),"",'ONR 2'!D8)</f>
      </c>
      <c r="AE15" s="206" t="n">
        <f>IF(ISNUMBER(T15),0,1)</f>
        <v>1</v>
      </c>
      <c r="AF15" s="206" t="n">
        <f>IF(L15=TRUE,1,0)</f>
      </c>
      <c r="AG15" s="206" t="n">
        <f>IF(M15=TRUE,1,0)</f>
      </c>
      <c r="AH15" s="206" t="n">
        <f>IF(N15=TRUE,1,0)</f>
      </c>
      <c r="AI15" s="206" t="n">
        <f>IF(O15=TRUE,1,0)</f>
      </c>
      <c r="AJ15" s="206" t="n">
        <f>IF(P15=TRUE,1,0)</f>
      </c>
      <c r="AK15" s="206" t="n">
        <f>IF(Q15=TRUE,1,0)</f>
      </c>
      <c r="AL15" s="206" t="n">
        <f>IF(R15=TRUE,1,0)</f>
      </c>
      <c r="AM15" t="n">
        <f>IF(LEN(TRIM(W15))&gt;0,1,0)</f>
        <v>0</v>
      </c>
    </row>
    <row r="16" spans="1:38" s="205" customFormat="1" ht="57">
      <c r="A16" s="199"/>
      <c r="B16" s="218" t="str">
        <f>IF(ISBLANK('ONR 2'!B9),"",'ONR 2'!B9)</f>
        <v>2.3</v>
      </c>
      <c r="C16" s="221" t="str">
        <f>IF(ISBLANK('ONR 2'!C9),"",'ONR 2'!C9)</f>
        <v>Proposer des téléservices utiles, faciles à utiliser et réellement utilisés par les habitants, avec une démarche simple de bout en bout.</v>
      </c>
      <c r="D16" s="223" t="str">
        <f>IF(ISBLANK('ONR 2'!D9),"",'ONR 2'!D9)</f>
      </c>
      <c r="E16" s="267" t="str">
        <f>IF(ISBLANK('ONR 2'!E9),"",'ONR 2'!E9)</f>
      </c>
      <c r="F16" s="274" t="str">
        <f>IF(ISBLANK('ONR 2'!F9),"",'ONR 2'!F9)</f>
      </c>
      <c r="G16" s="200" t="str">
        <f>IF(ISBLANK('ONR 2'!G9),"",'ONR 2'!G9)</f>
      </c>
      <c r="H16" s="202" t="str">
        <f>IF(ISBLANK('ONR 2'!H9),"",'ONR 2'!H9)</f>
      </c>
      <c r="I16" s="225" t="str">
        <f>IF(ISBLANK('ONR 2'!I9),"",'ONR 2'!I9)</f>
      </c>
      <c r="J16" s="218" t="str">
        <f>IF(ISBLANK('ONR 2'!J9),"",'ONR 2'!J9)</f>
      </c>
      <c r="K16" t="str" s="227">
        <f>IF(ISBLANK('ONR 2'!K9),"",'ONR 2'!K9)</f>
      </c>
      <c r="L16" t="b" s="227">
        <f>IF(ISBLANK('ONR 2'!L9),"",'ONR 2'!L9)</f>
        <v>0</v>
      </c>
      <c r="M16" t="b" s="227">
        <f>IF(ISBLANK('ONR 2'!M9),"",'ONR 2'!M9)</f>
        <v>0</v>
      </c>
      <c r="N16" t="b" s="227">
        <f>IF(ISBLANK('ONR 2'!N9),"",'ONR 2'!N9)</f>
        <v>0</v>
      </c>
      <c r="O16" t="b" s="227">
        <f>IF(ISBLANK('ONR 2'!O9),"",'ONR 2'!O9)</f>
        <v>0</v>
      </c>
      <c r="P16" t="b" s="227">
        <f>IF(ISBLANK('ONR 2'!P9),"",'ONR 2'!P9)</f>
        <v>0</v>
      </c>
      <c r="Q16" t="b" s="227">
        <f>IF(ISBLANK('ONR 2'!Q9),"",'ONR 2'!Q9)</f>
        <v>0</v>
      </c>
      <c r="R16" t="b" s="227">
        <f>IF(ISBLANK('ONR 2'!R9),"",'ONR 2'!R9)</f>
        <v>0</v>
      </c>
      <c r="S16" t="str" s="228">
        <f>IF(ISBLANK('ONR 2'!S9),"",'ONR 2'!S9)</f>
      </c>
      <c r="T16" t="str" s="226">
        <f>IF(ISBLANK('ONR 2'!T9),"",'ONR 2'!T9)</f>
      </c>
      <c r="U16" t="str" s="242">
        <f>IF(ISBLANK('ONR 2'!U9),"",'ONR 2'!U9)</f>
      </c>
      <c r="V16" t="str" s="229">
        <f>IF(ISBLANK('ONR 2'!G9),"",'ONR 2'!G9)</f>
      </c>
      <c r="W16" s="229" t="str">
        <f>IF(ISBLANK('ONR 2'!V9),"",'ONR 2'!V9)</f>
      </c>
      <c r="X16" s="204" t="str">
        <f>IF(ISBLANK('ONR 2'!W9),"",'ONR 2'!W9)</f>
      </c>
      <c r="Y16" s="230" t="str">
        <f>IF(ISBLANK('ONR 2'!I9),"",'ONR 2'!I9)</f>
      </c>
      <c r="Z16" s="230" t="str">
        <f>IF(ISBLANK('ONR 2'!D9),"",'ONR 2'!D9)</f>
      </c>
      <c r="AE16" s="206" t="n">
        <f>IF(ISNUMBER(T16),0,1)</f>
        <v>1</v>
      </c>
      <c r="AF16" s="206" t="n">
        <f>IF(L16=TRUE,1,0)</f>
      </c>
      <c r="AG16" s="206" t="n">
        <f>IF(M16=TRUE,1,0)</f>
      </c>
      <c r="AH16" s="206" t="n">
        <f>IF(N16=TRUE,1,0)</f>
      </c>
      <c r="AI16" s="206" t="n">
        <f>IF(O16=TRUE,1,0)</f>
      </c>
      <c r="AJ16" s="206" t="n">
        <f>IF(P16=TRUE,1,0)</f>
      </c>
      <c r="AK16" s="206" t="n">
        <f>IF(Q16=TRUE,1,0)</f>
      </c>
      <c r="AL16" s="206" t="n">
        <f>IF(R16=TRUE,1,0)</f>
      </c>
      <c r="AM16" t="n">
        <f>IF(LEN(TRIM(W16))&gt;0,1,0)</f>
        <v>0</v>
      </c>
    </row>
    <row r="17" spans="1:38" s="205" customFormat="1" ht="57">
      <c r="A17" s="199"/>
      <c r="B17" s="218" t="str">
        <f>IF(ISBLANK('ONR 2'!B10),"",'ONR 2'!B10)</f>
        <v>2.4</v>
      </c>
      <c r="C17" s="221" t="str">
        <f>IF(ISBLANK('ONR 2'!C10),"",'ONR 2'!C10)</f>
        <v>Concevoir les services numériques avec les habitants, les agents d'accueil et les associations, en partant de leurs besoins réels.</v>
      </c>
      <c r="D17" s="223" t="str">
        <f>IF(ISBLANK('ONR 2'!D10),"",'ONR 2'!D10)</f>
      </c>
      <c r="E17" s="267" t="str">
        <f>IF(ISBLANK('ONR 2'!E10),"",'ONR 2'!E10)</f>
      </c>
      <c r="F17" s="274" t="str">
        <f>IF(ISBLANK('ONR 2'!F10),"",'ONR 2'!F10)</f>
      </c>
      <c r="G17" s="200" t="str">
        <f>IF(ISBLANK('ONR 2'!G10),"",'ONR 2'!G10)</f>
      </c>
      <c r="H17" s="202" t="str">
        <f>IF(ISBLANK('ONR 2'!H10),"",'ONR 2'!H10)</f>
      </c>
      <c r="I17" s="225" t="str">
        <f>IF(ISBLANK('ONR 2'!I10),"",'ONR 2'!I10)</f>
      </c>
      <c r="J17" s="218" t="str">
        <f>IF(ISBLANK('ONR 2'!J10),"",'ONR 2'!J10)</f>
      </c>
      <c r="K17" s="227" t="str">
        <f>IF(ISBLANK('ONR 2'!K10),"",'ONR 2'!K10)</f>
      </c>
      <c r="L17" s="227" t="b">
        <f>IF(ISBLANK('ONR 2'!L10),"",'ONR 2'!L10)</f>
      </c>
      <c r="M17" s="227" t="b">
        <f>IF(ISBLANK('ONR 2'!M10),"",'ONR 2'!M10)</f>
      </c>
      <c r="N17" s="227" t="b">
        <f>IF(ISBLANK('ONR 2'!N10),"",'ONR 2'!N10)</f>
      </c>
      <c r="O17" s="227" t="b">
        <f>IF(ISBLANK('ONR 2'!O10),"",'ONR 2'!O10)</f>
      </c>
      <c r="P17" s="227" t="b">
        <f>IF(ISBLANK('ONR 2'!P10),"",'ONR 2'!P10)</f>
      </c>
      <c r="Q17" s="227" t="b">
        <f>IF(ISBLANK('ONR 2'!Q10),"",'ONR 2'!Q10)</f>
      </c>
      <c r="R17" s="227" t="b">
        <f>IF(ISBLANK('ONR 2'!R10),"",'ONR 2'!R10)</f>
      </c>
      <c r="S17" s="228" t="str">
        <f>IF(ISBLANK('ONR 2'!S10),"",'ONR 2'!S10)</f>
      </c>
      <c r="T17" s="226" t="str">
        <f>IF(ISBLANK('ONR 2'!T10),"",'ONR 2'!T10)</f>
      </c>
      <c r="U17" s="242" t="str">
        <f>IF(ISBLANK('ONR 2'!U10),"",'ONR 2'!U10)</f>
      </c>
      <c r="V17" s="229" t="str">
        <f>IF(ISBLANK('ONR 2'!G10),"",'ONR 2'!G10)</f>
      </c>
      <c r="W17" s="229" t="str">
        <f>IF(ISBLANK('ONR 2'!V10),"",'ONR 2'!V10)</f>
      </c>
      <c r="X17" s="204" t="str">
        <f>IF(ISBLANK('ONR 2'!W10),"",'ONR 2'!W10)</f>
      </c>
      <c r="Y17" s="230" t="str">
        <f>IF(ISBLANK('ONR 2'!I10),"",'ONR 2'!I10)</f>
      </c>
      <c r="Z17" s="230" t="str">
        <f>IF(ISBLANK('ONR 2'!D10),"",'ONR 2'!D10)</f>
      </c>
      <c r="AE17" s="206" t="n">
        <f>IF(ISNUMBER(T17),0,1)</f>
        <v>1</v>
      </c>
      <c r="AF17" s="206" t="n">
        <f>IF(L17=TRUE,1,0)</f>
      </c>
      <c r="AG17" s="206" t="n">
        <f>IF(M17=TRUE,1,0)</f>
      </c>
      <c r="AH17" s="206" t="n">
        <f>IF(N17=TRUE,1,0)</f>
      </c>
      <c r="AI17" s="206" t="n">
        <f>IF(O17=TRUE,1,0)</f>
      </c>
      <c r="AJ17" s="206" t="n">
        <f>IF(P17=TRUE,1,0)</f>
      </c>
      <c r="AK17" s="206" t="n">
        <f>IF(Q17=TRUE,1,0)</f>
      </c>
      <c r="AL17" s="206" t="n">
        <f>IF(R17=TRUE,1,0)</f>
      </c>
      <c r="AM17" t="n">
        <f>IF(LEN(TRIM(W17))&gt;0,1,0)</f>
        <v>0</v>
      </c>
    </row>
    <row r="18" spans="1:38" s="205" customFormat="1" ht="57">
      <c r="A18" s="199"/>
      <c r="B18" s="218" t="str">
        <f>IF(ISBLANK('ONR 2'!B11),"",'ONR 2'!B11)</f>
        <v>2.5</v>
      </c>
      <c r="C18" s="221" t="str">
        <f>IF(ISBLANK('ONR 2'!C11),"",'ONR 2'!C11)</f>
        <v>Vérifier que l'intelligence artificielle utilisée dans les services publics ne discrimine aucun habitant et reste utilisable par toutes et tous.</v>
      </c>
      <c r="D18" s="223" t="str">
        <f>IF(ISBLANK('ONR 2'!D11),"",'ONR 2'!D11)</f>
      </c>
      <c r="E18" s="267" t="str">
        <f>IF(ISBLANK('ONR 2'!E11),"",'ONR 2'!E11)</f>
      </c>
      <c r="F18" s="274" t="str">
        <f>IF(ISBLANK('ONR 2'!F11),"",'ONR 2'!F11)</f>
      </c>
      <c r="G18" s="200" t="str">
        <f>IF(ISBLANK('ONR 2'!G11),"",'ONR 2'!G11)</f>
      </c>
      <c r="H18" s="202" t="str">
        <f>IF(ISBLANK('ONR 2'!H11),"",'ONR 2'!H11)</f>
      </c>
      <c r="I18" s="225" t="str">
        <f>IF(ISBLANK('ONR 2'!I11),"",'ONR 2'!I11)</f>
      </c>
      <c r="J18" s="218" t="n">
        <f>IF(ISBLANK('ONR 2'!J11),"",'ONR 2'!J11)</f>
        <v>0</v>
      </c>
      <c r="K18" s="227" t="str">
        <f>IF(ISBLANK('ONR 2'!K11),"",'ONR 2'!K11)</f>
      </c>
      <c r="L18" s="227" t="b">
        <f>IF(ISBLANK('ONR 2'!L11),"",'ONR 2'!L11)</f>
        <v>0</v>
      </c>
      <c r="M18" s="227" t="b">
        <f>IF(ISBLANK('ONR 2'!M11),"",'ONR 2'!M11)</f>
        <v>0</v>
      </c>
      <c r="N18" s="227" t="b">
        <f>IF(ISBLANK('ONR 2'!N11),"",'ONR 2'!N11)</f>
        <v>0</v>
      </c>
      <c r="O18" s="227" t="b">
        <f>IF(ISBLANK('ONR 2'!O11),"",'ONR 2'!O11)</f>
        <v>0</v>
      </c>
      <c r="P18" s="227" t="b">
        <f>IF(ISBLANK('ONR 2'!P11),"",'ONR 2'!P11)</f>
        <v>0</v>
      </c>
      <c r="Q18" s="227" t="b">
        <f>IF(ISBLANK('ONR 2'!Q11),"",'ONR 2'!Q11)</f>
        <v>0</v>
      </c>
      <c r="R18" s="227" t="b">
        <f>IF(ISBLANK('ONR 2'!R11),"",'ONR 2'!R11)</f>
        <v>0</v>
      </c>
      <c r="S18" s="228" t="str">
        <f>IF(ISBLANK('ONR 2'!S11),"",'ONR 2'!S11)</f>
      </c>
      <c r="T18" s="226" t="str">
        <f>IF(ISBLANK('ONR 2'!T11),"",'ONR 2'!T11)</f>
      </c>
      <c r="U18" s="242" t="str">
        <f>IF(ISBLANK('ONR 2'!U11),"",'ONR 2'!U11)</f>
      </c>
      <c r="V18" s="229" t="str">
        <f>IF(ISBLANK('ONR 2'!G11),"",'ONR 2'!G11)</f>
      </c>
      <c r="W18" s="229" t="str">
        <f>IF(ISBLANK('ONR 2'!V11),"",'ONR 2'!V11)</f>
      </c>
      <c r="X18" s="204" t="str">
        <f>IF(ISBLANK('ONR 2'!W11),"",'ONR 2'!W11)</f>
      </c>
      <c r="Y18" s="230" t="str">
        <f>IF(ISBLANK('ONR 2'!I11),"",'ONR 2'!I11)</f>
      </c>
      <c r="Z18" s="230" t="str">
        <f>IF(ISBLANK('ONR 2'!D11),"",'ONR 2'!D11)</f>
      </c>
      <c r="AE18" s="206" t="n">
        <f>IF(ISNUMBER(T18),0,1)</f>
        <v>1</v>
      </c>
      <c r="AF18" s="206" t="n">
        <f>IF(L18=TRUE,1,0)</f>
        <v>0</v>
      </c>
      <c r="AG18" s="206" t="n">
        <f>IF(M18=TRUE,1,0)</f>
        <v>0</v>
      </c>
      <c r="AH18" s="206" t="n">
        <f>IF(N18=TRUE,1,0)</f>
        <v>0</v>
      </c>
      <c r="AI18" s="206" t="n">
        <f>IF(O18=TRUE,1,0)</f>
        <v>0</v>
      </c>
      <c r="AJ18" s="206" t="n">
        <f>IF(P18=TRUE,1,0)</f>
        <v>0</v>
      </c>
      <c r="AK18" s="206" t="n">
        <f>IF(Q18=TRUE,1,0)</f>
        <v>0</v>
      </c>
      <c r="AL18" s="206" t="n">
        <f>IF(R18=TRUE,1,0)</f>
        <v>0</v>
      </c>
      <c r="AM18" t="n">
        <f>IF(LEN(TRIM(W18))&gt;0,1,0)</f>
        <v>0</v>
      </c>
    </row>
    <row r="19" spans="1:38" s="116" customFormat="1" ht="22">
      <c r="A19" s="115"/>
      <c r="B19" s="381" t="str">
        <f>'ONR 3'!B2</f>
        <v>ONR 3 : RSE · Utiliser le numérique de façon éthique et responsable</v>
      </c>
      <c r="C19" s="381"/>
      <c r="D19" s="381"/>
      <c r="E19" s="381"/>
      <c r="F19" s="381"/>
      <c r="G19" s="381"/>
      <c r="H19" s="381"/>
      <c r="I19" s="381"/>
      <c r="J19" s="381"/>
      <c r="K19" s="381"/>
      <c r="L19" s="381"/>
      <c r="M19" s="381"/>
      <c r="N19" s="381"/>
      <c r="O19" s="381"/>
      <c r="P19" s="381"/>
      <c r="Q19" s="381"/>
      <c r="R19" s="381"/>
      <c r="S19" s="381"/>
      <c r="T19" s="381"/>
      <c r="U19" s="381"/>
      <c r="V19" s="381"/>
      <c r="W19" s="381"/>
      <c r="X19" s="381"/>
      <c r="Y19" s="381"/>
      <c r="Z19" s="381"/>
      <c r="AB19" s="116" t="str">
        <f>B19</f>
        <v>ONR 3 : RSE · Utiliser le numérique de façon éthique et responsable</v>
      </c>
      <c r="AC19" s="116" t="n">
        <f>COUNTA('ONR 3'!B7:B14)</f>
        <v>8</v>
      </c>
      <c r="AD19" s="116" t="n">
        <f>COUNT(T20:T27)</f>
        <v>0</v>
      </c>
      <c r="AE19" s="117" t="n">
        <f>SUM(AE20:AE27)</f>
        <v>8</v>
      </c>
      <c r="AF19" s="117" t="n">
        <f>SUM(AF20:AF27)</f>
        <v>0</v>
      </c>
      <c r="AG19" s="117" t="n">
        <f>SUM(AG20:AG27)</f>
        <v>0</v>
      </c>
      <c r="AH19" s="117" t="n">
        <f>SUM(AH20:AH27)</f>
        <v>0</v>
      </c>
      <c r="AI19" s="117" t="n">
        <f>SUM(AI20:AI27)</f>
        <v>0</v>
      </c>
      <c r="AJ19" s="117" t="n">
        <f>SUM(AJ20:AJ27)</f>
        <v>0</v>
      </c>
      <c r="AK19" s="117" t="n">
        <f>SUM(AK20:AK27)</f>
        <v>0</v>
      </c>
      <c r="AL19" s="117" t="n">
        <f>SUM(AL20:AL27)</f>
        <v>0</v>
      </c>
    </row>
    <row r="20" spans="1:38" s="205" customFormat="1" ht="57">
      <c r="A20" s="199"/>
      <c r="B20" s="219" t="str">
        <f>IF(ISBLANK('ONR 3'!B7),"",'ONR 3'!B7)</f>
        <v>3.1</v>
      </c>
      <c r="C20" s="219" t="str">
        <f>IF(ISBLANK('ONR 3'!C7),"",'ONR 3'!C7)</f>
        <v>Utiliser les données du territoire et des habitants avec mesure, au service de l'intérêt général, en respectant les personnes et l'environnement.</v>
      </c>
      <c r="D20" s="244" t="str">
        <f>IF(ISBLANK('ONR 3'!D7),"",'ONR 3'!D7)</f>
      </c>
      <c r="E20" s="271" t="str">
        <f>IF(ISBLANK('ONR 3'!E7),"",'ONR 3'!E7)</f>
      </c>
      <c r="F20" s="278" t="str">
        <f>IF(ISBLANK('ONR 3'!F7),"",'ONR 3'!F7)</f>
      </c>
      <c r="G20" s="213" t="str">
        <f>IF(ISBLANK('ONR 3'!G7),"",'ONR 3'!G7)</f>
      </c>
      <c r="H20" s="214" t="str">
        <f>IF(ISBLANK('ONR 3'!H7),"",'ONR 3'!H7)</f>
      </c>
      <c r="I20" s="245" t="str">
        <f>IF(ISBLANK('ONR 3'!I7),"",'ONR 3'!I7)</f>
      </c>
      <c r="J20" s="246" t="str">
        <f>IF(ISBLANK('ONR 3'!J7),"",'ONR 3'!J7)</f>
      </c>
      <c r="K20" s="247" t="str">
        <f>IF(ISBLANK('ONR 3'!K7),"",'ONR 3'!K7)</f>
      </c>
      <c r="L20" s="247" t="b">
        <f>IF(ISBLANK('ONR 3'!L7),"",'ONR 3'!L7)</f>
      </c>
      <c r="M20" s="247" t="b">
        <f>IF(ISBLANK('ONR 3'!M7),"",'ONR 3'!M7)</f>
      </c>
      <c r="N20" s="247" t="b">
        <f>IF(ISBLANK('ONR 3'!N7),"",'ONR 3'!N7)</f>
      </c>
      <c r="O20" s="247" t="b">
        <f>IF(ISBLANK('ONR 3'!O7),"",'ONR 3'!O7)</f>
      </c>
      <c r="P20" s="247" t="b">
        <f>IF(ISBLANK('ONR 3'!P7),"",'ONR 3'!P7)</f>
      </c>
      <c r="Q20" s="247" t="b">
        <f>IF(ISBLANK('ONR 3'!Q7),"",'ONR 3'!Q7)</f>
      </c>
      <c r="R20" s="247" t="b">
        <f>IF(ISBLANK('ONR 3'!R7),"",'ONR 3'!R7)</f>
      </c>
      <c r="S20" s="248" t="str">
        <f>IF(ISBLANK('ONR 3'!S7),"",'ONR 3'!S7)</f>
      </c>
      <c r="T20" s="249" t="str">
        <f>IF(ISBLANK('ONR 3'!T7),"",'ONR 3'!T7)</f>
      </c>
      <c r="U20" s="250" t="str">
        <f>IF(ISBLANK('ONR 3'!U7),"",'ONR 3'!U7)</f>
      </c>
      <c r="V20" s="235" t="str">
        <f>IF(ISBLANK('ONR 3'!G7),"",'ONR 3'!G7)</f>
      </c>
      <c r="W20" s="235" t="str">
        <f>IF(ISBLANK('ONR 3'!V7),"",'ONR 3'!V7)</f>
      </c>
      <c r="X20" s="183" t="str">
        <f>IF(ISBLANK('ONR 3'!W7),"",'ONR 3'!W7)</f>
      </c>
      <c r="Y20" s="236" t="str">
        <f>IF(ISBLANK('ONR 3'!I7),"",'ONR 3'!I7)</f>
      </c>
      <c r="Z20" s="236" t="str">
        <f>IF(ISBLANK('ONR 3'!D7),"",'ONR 3'!D7)</f>
      </c>
      <c r="AE20" s="206" t="n">
        <f>IF(ISNUMBER(T20),0,1)</f>
      </c>
      <c r="AF20" s="206" t="n">
        <f>IF(L20=TRUE,1,0)</f>
      </c>
      <c r="AG20" s="206" t="n">
        <f>IF(M20=TRUE,1,0)</f>
      </c>
      <c r="AH20" s="206" t="n">
        <f>IF(N20=TRUE,1,0)</f>
      </c>
      <c r="AI20" s="206" t="n">
        <f>IF(O20=TRUE,1,0)</f>
      </c>
      <c r="AJ20" s="206" t="n">
        <f>IF(P20=TRUE,1,0)</f>
      </c>
      <c r="AK20" s="206" t="n">
        <f>IF(Q20=TRUE,1,0)</f>
      </c>
      <c r="AL20" s="206" t="n">
        <f>IF(R20=TRUE,1,0)</f>
      </c>
      <c r="AM20" t="n">
        <f>IF(LEN(TRIM(W20))&gt;0,1,0)</f>
        <v>0</v>
      </c>
    </row>
    <row r="21" spans="1:38" s="205" customFormat="1" ht="57">
      <c r="A21" s="199"/>
      <c r="B21" s="219" t="str">
        <f>IF(ISBLANK('ONR 3'!B8),"",'ONR 3'!B8)</f>
        <v>3.2</v>
      </c>
      <c r="C21" s="219" t="str">
        <f>IF(ISBLANK('ONR 3'!C8),"",'ONR 3'!C8)</f>
        <v>Supprimer des sites et des téléservices de la collectivité les interfaces qui trompent ou poussent les usagers (« dark patterns »), et respecter la réglementation.</v>
      </c>
      <c r="D21" s="244" t="str">
        <f>IF(ISBLANK('ONR 3'!D8),"",'ONR 3'!D8)</f>
      </c>
      <c r="E21" s="271" t="str">
        <f>IF(ISBLANK('ONR 3'!E8),"",'ONR 3'!E8)</f>
      </c>
      <c r="F21" s="278" t="str">
        <f>IF(ISBLANK('ONR 3'!F8),"",'ONR 3'!F8)</f>
      </c>
      <c r="G21" s="213" t="str">
        <f>IF(ISBLANK('ONR 3'!G8),"",'ONR 3'!G8)</f>
      </c>
      <c r="H21" s="214" t="str">
        <f>IF(ISBLANK('ONR 3'!H8),"",'ONR 3'!H8)</f>
      </c>
      <c r="I21" s="245" t="str">
        <f>IF(ISBLANK('ONR 3'!I8),"",'ONR 3'!I8)</f>
      </c>
      <c r="J21" s="246" t="str">
        <f>IF(ISBLANK('ONR 3'!J8),"",'ONR 3'!J8)</f>
      </c>
      <c r="K21" t="str" s="247">
        <f>IF(ISBLANK('ONR 3'!K8),"",'ONR 3'!K8)</f>
      </c>
      <c r="L21" t="b" s="247">
        <f>IF(ISBLANK('ONR 3'!L8),"",'ONR 3'!L8)</f>
        <v>0</v>
      </c>
      <c r="M21" t="b" s="247">
        <f>IF(ISBLANK('ONR 3'!M8),"",'ONR 3'!M8)</f>
        <v>0</v>
      </c>
      <c r="N21" t="b" s="247">
        <f>IF(ISBLANK('ONR 3'!N8),"",'ONR 3'!N8)</f>
        <v>0</v>
      </c>
      <c r="O21" t="b" s="247">
        <f>IF(ISBLANK('ONR 3'!O8),"",'ONR 3'!O8)</f>
        <v>0</v>
      </c>
      <c r="P21" t="b" s="247">
        <f>IF(ISBLANK('ONR 3'!P8),"",'ONR 3'!P8)</f>
        <v>0</v>
      </c>
      <c r="Q21" t="b" s="247">
        <f>IF(ISBLANK('ONR 3'!Q8),"",'ONR 3'!Q8)</f>
        <v>0</v>
      </c>
      <c r="R21" t="b" s="247">
        <f>IF(ISBLANK('ONR 3'!R8),"",'ONR 3'!R8)</f>
        <v>0</v>
      </c>
      <c r="S21" t="str" s="248">
        <f>IF(ISBLANK('ONR 3'!S8),"",'ONR 3'!S8)</f>
      </c>
      <c r="T21" t="str" s="249">
        <f>IF(ISBLANK('ONR 3'!T8),"",'ONR 3'!T8)</f>
      </c>
      <c r="U21" t="str" s="250">
        <f>IF(ISBLANK('ONR 3'!U8),"",'ONR 3'!U8)</f>
      </c>
      <c r="V21" t="str" s="235">
        <f>IF(ISBLANK('ONR 3'!G8),"",'ONR 3'!G8)</f>
      </c>
      <c r="W21" t="str" s="235">
        <f>IF(ISBLANK('ONR 3'!V8),"",'ONR 3'!V8)</f>
      </c>
      <c r="X21" s="183" t="str">
        <f>IF(ISBLANK('ONR 3'!W8),"",'ONR 3'!W8)</f>
      </c>
      <c r="Y21" s="236" t="str">
        <f>IF(ISBLANK('ONR 3'!I8),"",'ONR 3'!I8)</f>
      </c>
      <c r="Z21" s="251" t="str">
        <f>IF(ISBLANK('ONR 3'!D8),"",'ONR 3'!D8)</f>
      </c>
      <c r="AE21" s="206" t="n">
        <f>IF(ISNUMBER(T21),0,1)</f>
      </c>
      <c r="AF21" s="206" t="n">
        <f>IF(L21=TRUE,1,0)</f>
      </c>
      <c r="AG21" s="206" t="n">
        <f>IF(M21=TRUE,1,0)</f>
      </c>
      <c r="AH21" s="206" t="n">
        <f>IF(N21=TRUE,1,0)</f>
      </c>
      <c r="AI21" s="206" t="n">
        <f>IF(O21=TRUE,1,0)</f>
      </c>
      <c r="AJ21" s="206" t="n">
        <f>IF(P21=TRUE,1,0)</f>
      </c>
      <c r="AK21" s="206" t="n">
        <f>IF(Q21=TRUE,1,0)</f>
      </c>
      <c r="AL21" s="206" t="n">
        <f>IF(R21=TRUE,1,0)</f>
      </c>
      <c r="AM21" t="n">
        <f>IF(LEN(TRIM(W21))&gt;0,1,0)</f>
        <v>0</v>
      </c>
    </row>
    <row r="22" spans="1:38" s="205" customFormat="1" ht="76">
      <c r="A22" s="199"/>
      <c r="B22" s="219" t="str">
        <f>IF(ISBLANK('ONR 3'!B9),"",'ONR 3'!B9)</f>
        <v>3.3</v>
      </c>
      <c r="C22" s="219" t="str">
        <f>IF(ISBLANK('ONR 3'!C9),"",'ONR 3'!C9)</f>
        <v>Collecter seulement les données nécessaires à chaque démarche, tenir à jour le registre des traitements et respecter le RGPD avec l'appui du délégué à la protection des données.</v>
      </c>
      <c r="D22" s="244" t="str">
        <f>IF(ISBLANK('ONR 3'!D9),"",'ONR 3'!D9)</f>
      </c>
      <c r="E22" s="271" t="str">
        <f>IF(ISBLANK('ONR 3'!E9),"",'ONR 3'!E9)</f>
      </c>
      <c r="F22" s="278" t="str">
        <f>IF(ISBLANK('ONR 3'!F9),"",'ONR 3'!F9)</f>
      </c>
      <c r="G22" s="213" t="str">
        <f>IF(ISBLANK('ONR 3'!G9),"",'ONR 3'!G9)</f>
      </c>
      <c r="H22" s="214" t="str">
        <f>IF(ISBLANK('ONR 3'!H9),"",'ONR 3'!H9)</f>
      </c>
      <c r="I22" s="245" t="str">
        <f>IF(ISBLANK('ONR 3'!I9),"",'ONR 3'!I9)</f>
      </c>
      <c r="J22" s="246" t="str">
        <f>IF(ISBLANK('ONR 3'!J9),"",'ONR 3'!J9)</f>
      </c>
      <c r="K22" t="str" s="247">
        <f>IF(ISBLANK('ONR 3'!K9),"",'ONR 3'!K9)</f>
      </c>
      <c r="L22" t="b" s="247">
        <f>IF(ISBLANK('ONR 3'!L9),"",'ONR 3'!L9)</f>
        <v>0</v>
      </c>
      <c r="M22" t="b" s="247">
        <f>IF(ISBLANK('ONR 3'!M9),"",'ONR 3'!M9)</f>
        <v>0</v>
      </c>
      <c r="N22" t="b" s="247">
        <f>IF(ISBLANK('ONR 3'!N9),"",'ONR 3'!N9)</f>
        <v>0</v>
      </c>
      <c r="O22" t="b" s="247">
        <f>IF(ISBLANK('ONR 3'!O9),"",'ONR 3'!O9)</f>
        <v>0</v>
      </c>
      <c r="P22" t="b" s="247">
        <f>IF(ISBLANK('ONR 3'!P9),"",'ONR 3'!P9)</f>
        <v>0</v>
      </c>
      <c r="Q22" t="b" s="247">
        <f>IF(ISBLANK('ONR 3'!Q9),"",'ONR 3'!Q9)</f>
        <v>0</v>
      </c>
      <c r="R22" t="b" s="247">
        <f>IF(ISBLANK('ONR 3'!R9),"",'ONR 3'!R9)</f>
        <v>0</v>
      </c>
      <c r="S22" t="str" s="248">
        <f>IF(ISBLANK('ONR 3'!S9),"",'ONR 3'!S9)</f>
      </c>
      <c r="T22" t="str" s="249">
        <f>IF(ISBLANK('ONR 3'!T9),"",'ONR 3'!T9)</f>
      </c>
      <c r="U22" t="str" s="250">
        <f>IF(ISBLANK('ONR 3'!U9),"",'ONR 3'!U9)</f>
      </c>
      <c r="V22" t="str" s="235">
        <f>IF(ISBLANK('ONR 3'!G9),"",'ONR 3'!G9)</f>
      </c>
      <c r="W22" t="str" s="235">
        <f>IF(ISBLANK('ONR 3'!V9),"",'ONR 3'!V9)</f>
      </c>
      <c r="X22" s="183" t="str">
        <f>IF(ISBLANK('ONR 3'!W9),"",'ONR 3'!W9)</f>
      </c>
      <c r="Y22" s="236" t="str">
        <f>IF(ISBLANK('ONR 3'!I9),"",'ONR 3'!I9)</f>
      </c>
      <c r="Z22" s="251" t="str">
        <f>IF(ISBLANK('ONR 3'!D9),"",'ONR 3'!D9)</f>
      </c>
      <c r="AE22" s="206" t="n">
        <f>IF(ISNUMBER(T22),0,1)</f>
      </c>
      <c r="AF22" s="206" t="n">
        <f>IF(L22=TRUE,1,0)</f>
      </c>
      <c r="AG22" s="206" t="n">
        <f>IF(M22=TRUE,1,0)</f>
      </c>
      <c r="AH22" s="206" t="n">
        <f>IF(N22=TRUE,1,0)</f>
      </c>
      <c r="AI22" s="206" t="n">
        <f>IF(O22=TRUE,1,0)</f>
      </c>
      <c r="AJ22" s="206" t="n">
        <f>IF(P22=TRUE,1,0)</f>
      </c>
      <c r="AK22" s="206" t="n">
        <f>IF(Q22=TRUE,1,0)</f>
      </c>
      <c r="AL22" s="206" t="n">
        <f>IF(R22=TRUE,1,0)</f>
      </c>
      <c r="AM22" t="n">
        <f>IF(LEN(TRIM(W22))&gt;0,1,0)</f>
        <v>0</v>
      </c>
    </row>
    <row r="23" spans="1:38" s="205" customFormat="1" ht="19">
      <c r="A23" s="199"/>
      <c r="B23" s="238" t="str">
        <f>IF(ISBLANK('ONR 3'!B10),"",'ONR 3'!B10)</f>
        <v>3.4</v>
      </c>
      <c r="C23" s="219" t="str">
        <f>IF(ISBLANK('ONR 3'!C10),"",'ONR 3'!C10)</f>
        <v>Diversifier les recrutements dans les métiers du numérique de la collectivité : femmes, reconversions, apprentissage, personnes en situation de handicap.</v>
      </c>
      <c r="D23" s="244" t="str">
        <f>IF(ISBLANK('ONR 3'!D10),"",'ONR 3'!D10)</f>
      </c>
      <c r="E23" s="271" t="str">
        <f>IF(ISBLANK('ONR 3'!E10),"",'ONR 3'!E10)</f>
      </c>
      <c r="F23" s="278" t="str">
        <f>IF(ISBLANK('ONR 3'!F10),"",'ONR 3'!F10)</f>
      </c>
      <c r="G23" s="213" t="str">
        <f>IF(ISBLANK('ONR 3'!G10),"",'ONR 3'!G10)</f>
      </c>
      <c r="H23" s="214" t="str">
        <f>IF(ISBLANK('ONR 3'!H10),"",'ONR 3'!H10)</f>
      </c>
      <c r="I23" s="245" t="str">
        <f>IF(ISBLANK('ONR 3'!I10),"",'ONR 3'!I10)</f>
      </c>
      <c r="J23" s="246" t="str">
        <f>IF(ISBLANK('ONR 3'!J10),"",'ONR 3'!J10)</f>
      </c>
      <c r="K23" s="247" t="str">
        <f>IF(ISBLANK('ONR 3'!K10),"",'ONR 3'!K10)</f>
      </c>
      <c r="L23" s="247" t="b">
        <f>IF(ISBLANK('ONR 3'!L10),"",'ONR 3'!L10)</f>
      </c>
      <c r="M23" s="247" t="b">
        <f>IF(ISBLANK('ONR 3'!M10),"",'ONR 3'!M10)</f>
      </c>
      <c r="N23" s="247" t="b">
        <f>IF(ISBLANK('ONR 3'!N10),"",'ONR 3'!N10)</f>
      </c>
      <c r="O23" s="247" t="b">
        <f>IF(ISBLANK('ONR 3'!O10),"",'ONR 3'!O10)</f>
      </c>
      <c r="P23" s="247" t="b">
        <f>IF(ISBLANK('ONR 3'!P10),"",'ONR 3'!P10)</f>
      </c>
      <c r="Q23" s="247" t="b">
        <f>IF(ISBLANK('ONR 3'!Q10),"",'ONR 3'!Q10)</f>
      </c>
      <c r="R23" s="247" t="b">
        <f>IF(ISBLANK('ONR 3'!R10),"",'ONR 3'!R10)</f>
      </c>
      <c r="S23" s="248" t="str">
        <f>IF(ISBLANK('ONR 3'!S10),"",'ONR 3'!S10)</f>
      </c>
      <c r="T23" s="249" t="str">
        <f>IF(ISBLANK('ONR 3'!T10),"",'ONR 3'!T10)</f>
      </c>
      <c r="U23" s="250" t="str">
        <f>IF(ISBLANK('ONR 3'!U10),"",'ONR 3'!U10)</f>
      </c>
      <c r="V23" s="235" t="str">
        <f>IF(ISBLANK('ONR 3'!G10),"",'ONR 3'!G10)</f>
      </c>
      <c r="W23" s="235" t="str">
        <f>IF(ISBLANK('ONR 3'!V10),"",'ONR 3'!V10)</f>
      </c>
      <c r="X23" s="183" t="str">
        <f>IF(ISBLANK('ONR 3'!W10),"",'ONR 3'!W10)</f>
      </c>
      <c r="Y23" s="253" t="str">
        <f>IF(ISBLANK('ONR 3'!I10),"",'ONR 3'!I10)</f>
      </c>
      <c r="Z23" s="251" t="str">
        <f>IF(ISBLANK('ONR 3'!D10),"",'ONR 3'!D10)</f>
      </c>
      <c r="AE23" s="206" t="n">
        <f>IF(ISNUMBER(T23),0,1)</f>
      </c>
      <c r="AF23" s="206" t="n">
        <f>IF(L23=TRUE,1,0)</f>
      </c>
      <c r="AG23" s="206" t="n">
        <f>IF(M23=TRUE,1,0)</f>
      </c>
      <c r="AH23" s="206" t="n">
        <f>IF(N23=TRUE,1,0)</f>
      </c>
      <c r="AI23" s="206" t="n">
        <f>IF(O23=TRUE,1,0)</f>
      </c>
      <c r="AJ23" s="206" t="n">
        <f>IF(P23=TRUE,1,0)</f>
      </c>
      <c r="AK23" s="206" t="n">
        <f>IF(Q23=TRUE,1,0)</f>
      </c>
      <c r="AL23" s="206" t="n">
        <f>IF(R23=TRUE,1,0)</f>
      </c>
      <c r="AM23" t="n">
        <f>IF(LEN(TRIM(W23))&gt;0,1,0)</f>
        <v>0</v>
      </c>
    </row>
    <row r="24" spans="1:38" s="205" customFormat="1" ht="19">
      <c r="A24" s="199"/>
      <c r="B24" s="238" t="str">
        <f>IF(ISBLANK('ONR 3'!B11),"",'ONR 3'!B11)</f>
        <v>3.5</v>
      </c>
      <c r="C24" s="219" t="str">
        <f>IF(ISBLANK('ONR 3'!C11),"",'ONR 3'!C11)</f>
        <v>Améliorer les conditions de travail des agents du numérique et exiger de bonnes conditions de travail chez les prestataires.</v>
      </c>
      <c r="D24" s="244" t="str">
        <f>IF(ISBLANK('ONR 3'!D11),"",'ONR 3'!D11)</f>
      </c>
      <c r="E24" s="271" t="str">
        <f>IF(ISBLANK('ONR 3'!E11),"",'ONR 3'!E11)</f>
      </c>
      <c r="F24" s="278" t="str">
        <f>IF(ISBLANK('ONR 3'!F11),"",'ONR 3'!F11)</f>
      </c>
      <c r="G24" s="213" t="str">
        <f>IF(ISBLANK('ONR 3'!G11),"",'ONR 3'!G11)</f>
      </c>
      <c r="H24" s="214" t="str">
        <f>IF(ISBLANK('ONR 3'!H11),"",'ONR 3'!H11)</f>
      </c>
      <c r="I24" s="245" t="str">
        <f>IF(ISBLANK('ONR 3'!I11),"",'ONR 3'!I11)</f>
      </c>
      <c r="J24" s="246" t="str">
        <f>IF(ISBLANK('ONR 3'!J11),"",'ONR 3'!J11)</f>
      </c>
      <c r="K24" s="247" t="str">
        <f>IF(ISBLANK('ONR 3'!K11),"",'ONR 3'!K11)</f>
      </c>
      <c r="L24" s="247" t="b">
        <f>IF(ISBLANK('ONR 3'!L11),"",'ONR 3'!L11)</f>
      </c>
      <c r="M24" s="247" t="b">
        <f>IF(ISBLANK('ONR 3'!M11),"",'ONR 3'!M11)</f>
      </c>
      <c r="N24" s="247" t="b">
        <f>IF(ISBLANK('ONR 3'!N11),"",'ONR 3'!N11)</f>
      </c>
      <c r="O24" s="247" t="b">
        <f>IF(ISBLANK('ONR 3'!O11),"",'ONR 3'!O11)</f>
      </c>
      <c r="P24" s="247" t="b">
        <f>IF(ISBLANK('ONR 3'!P11),"",'ONR 3'!P11)</f>
      </c>
      <c r="Q24" s="247" t="b">
        <f>IF(ISBLANK('ONR 3'!Q11),"",'ONR 3'!Q11)</f>
      </c>
      <c r="R24" s="247" t="b">
        <f>IF(ISBLANK('ONR 3'!R11),"",'ONR 3'!R11)</f>
      </c>
      <c r="S24" s="248" t="str">
        <f>IF(ISBLANK('ONR 3'!S11),"",'ONR 3'!S11)</f>
      </c>
      <c r="T24" s="249" t="str">
        <f>IF(ISBLANK('ONR 3'!T11),"",'ONR 3'!T11)</f>
      </c>
      <c r="U24" s="250" t="str">
        <f>IF(ISBLANK('ONR 3'!U11),"",'ONR 3'!U11)</f>
      </c>
      <c r="V24" s="235" t="str">
        <f>IF(ISBLANK('ONR 3'!G11),"",'ONR 3'!G11)</f>
      </c>
      <c r="W24" s="235" t="str">
        <f>IF(ISBLANK('ONR 3'!V11),"",'ONR 3'!V11)</f>
      </c>
      <c r="X24" s="183" t="str">
        <f>IF(ISBLANK('ONR 3'!W11),"",'ONR 3'!W11)</f>
      </c>
      <c r="Y24" s="253" t="str">
        <f>IF(ISBLANK('ONR 3'!I11),"",'ONR 3'!I11)</f>
      </c>
      <c r="Z24" s="251" t="str">
        <f>IF(ISBLANK('ONR 3'!D11),"",'ONR 3'!D11)</f>
      </c>
      <c r="AE24" s="206" t="n">
        <f>IF(ISNUMBER(T24),0,1)</f>
      </c>
      <c r="AF24" s="206" t="n">
        <f>IF(L24=TRUE,1,0)</f>
      </c>
      <c r="AG24" s="206" t="n">
        <f>IF(M24=TRUE,1,0)</f>
      </c>
      <c r="AH24" s="206" t="n">
        <f>IF(N24=TRUE,1,0)</f>
      </c>
      <c r="AI24" s="206" t="n">
        <f>IF(O24=TRUE,1,0)</f>
      </c>
      <c r="AJ24" s="206" t="n">
        <f>IF(P24=TRUE,1,0)</f>
      </c>
      <c r="AK24" s="206" t="n">
        <f>IF(Q24=TRUE,1,0)</f>
      </c>
      <c r="AL24" s="206" t="n">
        <f>IF(R24=TRUE,1,0)</f>
      </c>
      <c r="AM24" t="n">
        <f>IF(LEN(TRIM(W24))&gt;0,1,0)</f>
        <v>0</v>
      </c>
    </row>
    <row r="25" spans="1:38" s="205" customFormat="1" ht="57">
      <c r="A25" s="199"/>
      <c r="B25" s="219" t="str">
        <f>IF(ISBLANK('ONR 3'!B12),"",'ONR 3'!B12)</f>
        <v>3.6</v>
      </c>
      <c r="C25" s="219" t="str">
        <f>IF(ISBLANK('ONR 3'!C12),"",'ONR 3'!C12)</f>
        <v>Fixer des règles éthiques pour les algorithmes publics, en particulier l'intelligence artificielle. Publier les principales règles des algorithmes qui fondent des décisions individuelles.</v>
      </c>
      <c r="D25" s="244" t="str">
        <f>IF(ISBLANK('ONR 3'!D12),"",'ONR 3'!D12)</f>
      </c>
      <c r="E25" s="271" t="str">
        <f>IF(ISBLANK('ONR 3'!E12),"",'ONR 3'!E12)</f>
      </c>
      <c r="F25" s="278" t="str">
        <f>IF(ISBLANK('ONR 3'!F12),"",'ONR 3'!F12)</f>
      </c>
      <c r="G25" s="213" t="str">
        <f>IF(ISBLANK('ONR 3'!G12),"",'ONR 3'!G12)</f>
      </c>
      <c r="H25" s="214" t="str">
        <f>IF(ISBLANK('ONR 3'!H12),"",'ONR 3'!H12)</f>
      </c>
      <c r="I25" s="245" t="str">
        <f>IF(ISBLANK('ONR 3'!I12),"",'ONR 3'!I12)</f>
      </c>
      <c r="J25" s="246" t="str">
        <f>IF(ISBLANK('ONR 3'!J12),"",'ONR 3'!J12)</f>
      </c>
      <c r="K25" s="247" t="str">
        <f>IF(ISBLANK('ONR 3'!K12),"",'ONR 3'!K12)</f>
      </c>
      <c r="L25" s="247" t="b">
        <f>IF(ISBLANK('ONR 3'!L12),"",'ONR 3'!L12)</f>
      </c>
      <c r="M25" s="247" t="b">
        <f>IF(ISBLANK('ONR 3'!M12),"",'ONR 3'!M12)</f>
      </c>
      <c r="N25" s="247" t="b">
        <f>IF(ISBLANK('ONR 3'!N12),"",'ONR 3'!N12)</f>
      </c>
      <c r="O25" s="247" t="b">
        <f>IF(ISBLANK('ONR 3'!O12),"",'ONR 3'!O12)</f>
      </c>
      <c r="P25" s="247" t="b">
        <f>IF(ISBLANK('ONR 3'!P12),"",'ONR 3'!P12)</f>
      </c>
      <c r="Q25" s="247" t="b">
        <f>IF(ISBLANK('ONR 3'!Q12),"",'ONR 3'!Q12)</f>
      </c>
      <c r="R25" s="247" t="b">
        <f>IF(ISBLANK('ONR 3'!R12),"",'ONR 3'!R12)</f>
      </c>
      <c r="S25" s="248" t="str">
        <f>IF(ISBLANK('ONR 3'!S12),"",'ONR 3'!S12)</f>
      </c>
      <c r="T25" s="249" t="str">
        <f>IF(ISBLANK('ONR 3'!T12),"",'ONR 3'!T12)</f>
      </c>
      <c r="U25" s="250" t="str">
        <f>IF(ISBLANK('ONR 3'!U12),"",'ONR 3'!U12)</f>
      </c>
      <c r="V25" s="252" t="str">
        <f>IF(ISBLANK('ONR 3'!G12),"",'ONR 3'!G12)</f>
      </c>
      <c r="W25" s="252" t="str">
        <f>IF(ISBLANK('ONR 3'!V12),"",'ONR 3'!V12)</f>
      </c>
      <c r="X25" s="183" t="str">
        <f>IF(ISBLANK('ONR 3'!W12),"",'ONR 3'!W12)</f>
      </c>
      <c r="Y25" s="254" t="str">
        <f>IF(ISBLANK('ONR 3'!I12),"",'ONR 3'!I12)</f>
      </c>
      <c r="Z25" s="251" t="str">
        <f>IF(ISBLANK('ONR 3'!D12),"",'ONR 3'!D12)</f>
      </c>
      <c r="AE25" s="206" t="n">
        <f>IF(ISNUMBER(T25),0,1)</f>
      </c>
      <c r="AF25" s="206" t="n">
        <f>IF(L25=TRUE,1,0)</f>
      </c>
      <c r="AG25" s="206" t="n">
        <f>IF(M25=TRUE,1,0)</f>
      </c>
      <c r="AH25" s="206" t="n">
        <f>IF(N25=TRUE,1,0)</f>
      </c>
      <c r="AI25" s="206" t="n">
        <f>IF(O25=TRUE,1,0)</f>
      </c>
      <c r="AJ25" s="206" t="n">
        <f>IF(P25=TRUE,1,0)</f>
      </c>
      <c r="AK25" s="206" t="n">
        <f>IF(Q25=TRUE,1,0)</f>
      </c>
      <c r="AL25" s="206" t="n">
        <f>IF(R25=TRUE,1,0)</f>
      </c>
      <c r="AM25" t="n">
        <f>IF(LEN(TRIM(W25))&gt;0,1,0)</f>
        <v>0</v>
      </c>
    </row>
    <row r="26" spans="1:38" s="205" customFormat="1" ht="20" thickBot="1">
      <c r="A26" s="199"/>
      <c r="B26" s="220" t="str">
        <f>IF(ISBLANK('ONR 3'!B13),"",'ONR 3'!B13)</f>
        <v>3.7</v>
      </c>
      <c r="C26" s="220" t="str">
        <f>IF(ISBLANK('ONR 3'!C13),"",'ONR 3'!C13)</f>
        <v>Intégrer le numérique responsable au rapport de développement durable de la collectivité, et le faire connaître aux habitants et aux partenaires.</v>
      </c>
      <c r="D26" s="244" t="str">
        <f>IF(ISBLANK('ONR 3'!D13),"",'ONR 3'!D13)</f>
      </c>
      <c r="E26" s="271" t="str">
        <f>IF(ISBLANK('ONR 3'!E13),"",'ONR 3'!E13)</f>
      </c>
      <c r="F26" s="278" t="str">
        <f>IF(ISBLANK('ONR 3'!F13),"",'ONR 3'!F13)</f>
      </c>
      <c r="G26" s="213" t="str">
        <f>IF(ISBLANK('ONR 3'!G13),"",'ONR 3'!G13)</f>
      </c>
      <c r="H26" s="214" t="str">
        <f>IF(ISBLANK('ONR 3'!H13),"",'ONR 3'!H13)</f>
      </c>
      <c r="I26" s="245" t="str">
        <f>IF(ISBLANK('ONR 3'!I13),"",'ONR 3'!I13)</f>
      </c>
      <c r="J26" s="246" t="str">
        <f>IF(ISBLANK('ONR 3'!J13),"",'ONR 3'!J13)</f>
      </c>
      <c r="K26" s="247" t="str">
        <f>IF(ISBLANK('ONR 3'!K13),"",'ONR 3'!K13)</f>
      </c>
      <c r="L26" s="247" t="b">
        <f>IF(ISBLANK('ONR 3'!L13),"",'ONR 3'!L13)</f>
      </c>
      <c r="M26" s="247" t="b">
        <f>IF(ISBLANK('ONR 3'!M13),"",'ONR 3'!M13)</f>
      </c>
      <c r="N26" s="247" t="b">
        <f>IF(ISBLANK('ONR 3'!N13),"",'ONR 3'!N13)</f>
      </c>
      <c r="O26" s="247" t="b">
        <f>IF(ISBLANK('ONR 3'!O13),"",'ONR 3'!O13)</f>
      </c>
      <c r="P26" s="247" t="b">
        <f>IF(ISBLANK('ONR 3'!P13),"",'ONR 3'!P13)</f>
      </c>
      <c r="Q26" s="247" t="b">
        <f>IF(ISBLANK('ONR 3'!Q13),"",'ONR 3'!Q13)</f>
      </c>
      <c r="R26" s="247" t="b">
        <f>IF(ISBLANK('ONR 3'!R13),"",'ONR 3'!R13)</f>
      </c>
      <c r="S26" s="248" t="str">
        <f>IF(ISBLANK('ONR 3'!S13),"",'ONR 3'!S13)</f>
      </c>
      <c r="T26" s="249" t="str">
        <f>IF(ISBLANK('ONR 3'!T13),"",'ONR 3'!T13)</f>
      </c>
      <c r="U26" s="250" t="str">
        <f>IF(ISBLANK('ONR 3'!U13),"",'ONR 3'!U13)</f>
      </c>
      <c r="V26" s="255" t="str">
        <f>IF(ISBLANK('ONR 3'!G13),"",'ONR 3'!G13)</f>
      </c>
      <c r="W26" s="145" t="str">
        <f>IF(ISBLANK('ONR 3'!V13),"",'ONR 3'!V13)</f>
      </c>
      <c r="X26" s="183" t="str">
        <f>IF(ISBLANK('ONR 3'!W13),"",'ONR 3'!W13)</f>
      </c>
      <c r="Y26" s="251" t="str">
        <f>IF(ISBLANK('ONR 3'!I13),"",'ONR 3'!I13)</f>
      </c>
      <c r="Z26" s="251" t="str">
        <f>IF(ISBLANK('ONR 3'!D13),"",'ONR 3'!D13)</f>
      </c>
      <c r="AE26" s="206" t="n">
        <f>IF(ISNUMBER(T26),0,1)</f>
      </c>
      <c r="AF26" s="206" t="n">
        <f>IF(L26=TRUE,1,0)</f>
      </c>
      <c r="AG26" s="206" t="n">
        <f>IF(M26=TRUE,1,0)</f>
      </c>
      <c r="AH26" s="206" t="n">
        <f>IF(N26=TRUE,1,0)</f>
      </c>
      <c r="AI26" s="206" t="n">
        <f>IF(O26=TRUE,1,0)</f>
      </c>
      <c r="AJ26" s="206" t="n">
        <f>IF(P26=TRUE,1,0)</f>
      </c>
      <c r="AK26" s="206" t="n">
        <f>IF(Q26=TRUE,1,0)</f>
      </c>
      <c r="AL26" s="206" t="n">
        <f>IF(R26=TRUE,1,0)</f>
      </c>
      <c r="AM26" t="n">
        <f>IF(LEN(TRIM(W26))&gt;0,1,0)</f>
        <v>0</v>
      </c>
    </row>
    <row r="27" spans="1:38" s="205" customFormat="1" ht="20" thickBot="1">
      <c r="A27" s="199"/>
      <c r="B27" s="220" t="str">
        <f>IF(ISBLANK('ONR 3'!B14),"",'ONR 3'!B14)</f>
        <v>3.8</v>
      </c>
      <c r="C27" s="220" t="str">
        <f>IF(ISBLANK('ONR 3'!C14),"",'ONR 3'!C14)</f>
        <v>Indiquer aux habitants quand une intelligence artificielle leur répond, expliquer comment elle décide, et garder une décision humaine pour les sujets sensibles.</v>
      </c>
      <c r="D27" s="244" t="str">
        <f>IF(ISBLANK('ONR 3'!D14),"",'ONR 3'!D14)</f>
      </c>
      <c r="E27" s="271" t="str">
        <f>IF(ISBLANK('ONR 3'!E14),"",'ONR 3'!E14)</f>
      </c>
      <c r="F27" s="278" t="str">
        <f>IF(ISBLANK('ONR 3'!F14),"",'ONR 3'!F14)</f>
      </c>
      <c r="G27" s="213" t="str">
        <f>IF(ISBLANK('ONR 3'!G14),"",'ONR 3'!G14)</f>
      </c>
      <c r="H27" s="214" t="str">
        <f>IF(ISBLANK('ONR 3'!H14),"",'ONR 3'!H14)</f>
      </c>
      <c r="I27" s="245" t="str">
        <f>IF(ISBLANK('ONR 3'!I14),"",'ONR 3'!I14)</f>
      </c>
      <c r="J27" s="246" t="n">
        <f>IF(ISBLANK('ONR 3'!J14),"",'ONR 3'!J14)</f>
        <v>0</v>
      </c>
      <c r="K27" s="247" t="str">
        <f>IF(ISBLANK('ONR 3'!K14),"",'ONR 3'!K14)</f>
      </c>
      <c r="L27" s="247" t="b">
        <f>IF(ISBLANK('ONR 3'!L14),"",'ONR 3'!L14)</f>
        <v>0</v>
      </c>
      <c r="M27" s="247" t="b">
        <f>IF(ISBLANK('ONR 3'!M14),"",'ONR 3'!M14)</f>
        <v>0</v>
      </c>
      <c r="N27" s="247" t="b">
        <f>IF(ISBLANK('ONR 3'!N14),"",'ONR 3'!N14)</f>
        <v>0</v>
      </c>
      <c r="O27" s="247" t="b">
        <f>IF(ISBLANK('ONR 3'!O14),"",'ONR 3'!O14)</f>
        <v>0</v>
      </c>
      <c r="P27" s="247" t="b">
        <f>IF(ISBLANK('ONR 3'!P14),"",'ONR 3'!P14)</f>
        <v>0</v>
      </c>
      <c r="Q27" s="247" t="b">
        <f>IF(ISBLANK('ONR 3'!Q14),"",'ONR 3'!Q14)</f>
        <v>0</v>
      </c>
      <c r="R27" s="247" t="b">
        <f>IF(ISBLANK('ONR 3'!R14),"",'ONR 3'!R14)</f>
        <v>0</v>
      </c>
      <c r="S27" s="248" t="str">
        <f>IF(ISBLANK('ONR 3'!S14),"",'ONR 3'!S14)</f>
      </c>
      <c r="T27" s="249" t="str">
        <f>IF(ISBLANK('ONR 3'!T14),"",'ONR 3'!T14)</f>
      </c>
      <c r="U27" s="250" t="str">
        <f>IF(ISBLANK('ONR 3'!U14),"",'ONR 3'!U14)</f>
      </c>
      <c r="V27" s="255" t="str">
        <f>IF(ISBLANK('ONR 3'!G14),"",'ONR 3'!G14)</f>
      </c>
      <c r="W27" s="215" t="str">
        <f>IF(ISBLANK('ONR 3'!V14),"",'ONR 3'!V14)</f>
      </c>
      <c r="X27" s="183" t="str">
        <f>IF(ISBLANK('ONR 3'!W14),"",'ONR 3'!W14)</f>
      </c>
      <c r="Y27" s="251" t="str">
        <f>IF(ISBLANK('ONR 3'!I14),"",'ONR 3'!I14)</f>
      </c>
      <c r="Z27" s="251" t="str">
        <f>IF(ISBLANK('ONR 3'!D14),"",'ONR 3'!D14)</f>
      </c>
      <c r="AE27" s="206" t="n">
        <f>IF(ISNUMBER(T27),0,1)</f>
        <v>1</v>
      </c>
      <c r="AF27" s="206" t="n">
        <f>IF(L27=TRUE,1,0)</f>
        <v>0</v>
      </c>
      <c r="AG27" s="206" t="n">
        <f>IF(M27=TRUE,1,0)</f>
        <v>0</v>
      </c>
      <c r="AH27" s="206" t="n">
        <f>IF(N27=TRUE,1,0)</f>
        <v>0</v>
      </c>
      <c r="AI27" s="206" t="n">
        <f>IF(O27=TRUE,1,0)</f>
        <v>0</v>
      </c>
      <c r="AJ27" s="206" t="n">
        <f>IF(P27=TRUE,1,0)</f>
        <v>0</v>
      </c>
      <c r="AK27" s="206" t="n">
        <f>IF(Q27=TRUE,1,0)</f>
        <v>0</v>
      </c>
      <c r="AL27" s="206" t="n">
        <f>IF(R27=TRUE,1,0)</f>
        <v>0</v>
      </c>
      <c r="AM27" t="n">
        <f>IF(LEN(TRIM(W27))&gt;0,1,0)</f>
        <v>0</v>
      </c>
    </row>
    <row r="28" spans="1:38" s="116" customFormat="1" ht="23" thickBot="1">
      <c r="A28" s="115"/>
      <c r="B28" s="362" t="str">
        <f>'ONR 4'!B2</f>
        <v>ONR 4 : Résilience et stratégie · Utiliser le numérique responsable pour aider l’organisation à faire face aux difficultés et à s’adapter</v>
      </c>
      <c r="C28" s="363"/>
      <c r="D28" s="363"/>
      <c r="E28" s="363"/>
      <c r="F28" s="363"/>
      <c r="G28" s="363"/>
      <c r="H28" s="363"/>
      <c r="I28" s="363"/>
      <c r="J28" s="363"/>
      <c r="K28" s="363"/>
      <c r="L28" s="363"/>
      <c r="M28" s="363"/>
      <c r="N28" s="363"/>
      <c r="O28" s="363"/>
      <c r="P28" s="363"/>
      <c r="Q28" s="363"/>
      <c r="R28" s="363"/>
      <c r="S28" s="363"/>
      <c r="T28" s="363"/>
      <c r="U28" s="363"/>
      <c r="V28" s="363"/>
      <c r="W28" s="363"/>
      <c r="X28" s="363"/>
      <c r="Y28" s="363"/>
      <c r="Z28" s="380"/>
      <c r="AB28" s="116" t="str">
        <f>B28</f>
        <v>ONR 4 : Résilience et stratégie · Utiliser le numérique responsable pour aider l’organisation à faire face aux difficultés et à s’adapter</v>
      </c>
      <c r="AC28" s="116" t="n">
        <f>COUNTA('ONR 4'!B7:B10)</f>
        <v>4</v>
      </c>
      <c r="AD28" s="116" t="n">
        <f>COUNT(T29:T32)</f>
        <v>0</v>
      </c>
      <c r="AE28" s="117" t="n">
        <f>SUM(AE29:AE32)</f>
        <v>4</v>
      </c>
      <c r="AF28" s="117" t="n">
        <f>SUM(AF29:AF32)</f>
        <v>0</v>
      </c>
      <c r="AG28" s="117" t="n">
        <f>SUM(AG29:AG32)</f>
        <v>0</v>
      </c>
      <c r="AH28" s="117" t="n">
        <f>SUM(AH29:AH32)</f>
        <v>0</v>
      </c>
      <c r="AI28" s="117" t="n">
        <f>SUM(AI29:AI32)</f>
        <v>0</v>
      </c>
      <c r="AJ28" s="117" t="n">
        <f>SUM(AJ29:AJ32)</f>
        <v>0</v>
      </c>
      <c r="AK28" s="117" t="n">
        <f>SUM(AK29:AK32)</f>
        <v>0</v>
      </c>
      <c r="AL28" s="117" t="n">
        <f>SUM(AL29:AL32)</f>
        <v>0</v>
      </c>
    </row>
    <row r="29" spans="1:38" s="205" customFormat="1" ht="57">
      <c r="A29" s="199"/>
      <c r="B29" s="218" t="str">
        <f>IF(ISBLANK('ONR 4'!B7),"",'ONR 4'!B7)</f>
        <v>4.1</v>
      </c>
      <c r="C29" s="218" t="str">
        <f>IF(ISBLANK('ONR 4'!C7),"",'ONR 4'!C7)</f>
        <v>Mesurer l'empreinte environnementale du numérique de la collectivité avec des méthodes communes, pour se comparer à d'autres collectivités.</v>
      </c>
      <c r="D29" s="223" t="str">
        <f>IF(ISBLANK('ONR 4'!D7),"",'ONR 4'!D7)</f>
      </c>
      <c r="E29" s="267" t="str">
        <f>IF(ISBLANK('ONR 4'!E7),"",'ONR 4'!E7)</f>
      </c>
      <c r="F29" s="274" t="str">
        <f>IF(ISBLANK('ONR 4'!F7),"",'ONR 4'!F7)</f>
      </c>
      <c r="G29" s="200" t="str">
        <f>IF(ISBLANK('ONR 4'!G7),"",'ONR 4'!G7)</f>
      </c>
      <c r="H29" s="202" t="str">
        <f>IF(ISBLANK('ONR 4'!H7),"",'ONR 4'!H7)</f>
      </c>
      <c r="I29" s="225" t="str">
        <f>IF(ISBLANK('ONR 4'!I7),"",'ONR 4'!I7)</f>
      </c>
      <c r="J29" s="218" t="str">
        <f>IF(ISBLANK('ONR 4'!J7),"",'ONR 4'!J7)</f>
      </c>
      <c r="K29" s="227" t="str">
        <f>IF(ISBLANK('ONR 4'!K7),"",'ONR 4'!K7)</f>
      </c>
      <c r="L29" s="227" t="b">
        <f>IF(ISBLANK('ONR 4'!L7),"",'ONR 4'!L7)</f>
        <v>0</v>
      </c>
      <c r="M29" s="227" t="b">
        <f>IF(ISBLANK('ONR 4'!M7),"",'ONR 4'!M7)</f>
        <v>0</v>
      </c>
      <c r="N29" s="227" t="b">
        <f>IF(ISBLANK('ONR 4'!N7),"",'ONR 4'!N7)</f>
        <v>0</v>
      </c>
      <c r="O29" s="227" t="b">
        <f>IF(ISBLANK('ONR 4'!O7),"",'ONR 4'!O7)</f>
        <v>0</v>
      </c>
      <c r="P29" s="227" t="b">
        <f>IF(ISBLANK('ONR 4'!P7),"",'ONR 4'!P7)</f>
        <v>0</v>
      </c>
      <c r="Q29" s="227" t="b">
        <f>IF(ISBLANK('ONR 4'!Q7),"",'ONR 4'!Q7)</f>
        <v>0</v>
      </c>
      <c r="R29" s="227" t="b">
        <f>IF(ISBLANK('ONR 4'!R7),"",'ONR 4'!R7)</f>
        <v>0</v>
      </c>
      <c r="S29" s="228" t="str">
        <f>IF(ISBLANK('ONR 4'!S7),"",'ONR 4'!S7)</f>
      </c>
      <c r="T29" s="226" t="str">
        <f>IF(ISBLANK('ONR 4'!T7),"",'ONR 4'!T7)</f>
      </c>
      <c r="U29" s="242" t="str">
        <f>IF(ISBLANK('ONR 4'!U7),"",'ONR 4'!U7)</f>
      </c>
      <c r="V29" s="229" t="str">
        <f>IF(ISBLANK('ONR 4'!G7),"",'ONR 4'!G7)</f>
      </c>
      <c r="W29" s="203" t="str">
        <f>IF(ISBLANK('ONR 4'!V7),"",'ONR 4'!V7)</f>
      </c>
      <c r="X29" s="204" t="str">
        <f>IF(ISBLANK('ONR 4'!W7),"",'ONR 4'!W7)</f>
      </c>
      <c r="Y29" s="230" t="str">
        <f>IF(ISBLANK('ONR 4'!I7),"",'ONR 4'!I7)</f>
      </c>
      <c r="Z29" s="230" t="str">
        <f>IF(ISBLANK('ONR 4'!D7),"",'ONR 4'!D7)</f>
      </c>
      <c r="AE29" s="206" t="n">
        <f>IF(ISNUMBER(T29),0,1)</f>
        <v>1</v>
      </c>
      <c r="AF29" s="206" t="n">
        <f>IF(L29=TRUE,1,0)</f>
      </c>
      <c r="AG29" s="206" t="n">
        <f>IF(M29=TRUE,1,0)</f>
      </c>
      <c r="AH29" s="206" t="n">
        <f>IF(N29=TRUE,1,0)</f>
      </c>
      <c r="AI29" s="206" t="n">
        <f>IF(O29=TRUE,1,0)</f>
      </c>
      <c r="AJ29" s="206" t="n">
        <f>IF(P29=TRUE,1,0)</f>
      </c>
      <c r="AK29" s="206" t="n">
        <f>IF(Q29=TRUE,1,0)</f>
      </c>
      <c r="AL29" s="206" t="n">
        <f>IF(R29=TRUE,1,0)</f>
      </c>
      <c r="AM29" t="n">
        <f>IF(LEN(TRIM(W29))&gt;0,1,0)</f>
        <v>0</v>
      </c>
    </row>
    <row r="30" spans="1:38" s="205" customFormat="1" ht="57">
      <c r="A30" s="199"/>
      <c r="B30" s="219" t="str">
        <f>IF(ISBLANK('ONR 4'!B8),"",'ONR 4'!B8)</f>
        <v>4.2</v>
      </c>
      <c r="C30" s="219" t="str">
        <f>IF(ISBLANK('ONR 4'!C8),"",'ONR 4'!C8)</f>
        <v>Évaluer les services numériques au fil du temps, avec les usagers, et publier les résultats.</v>
      </c>
      <c r="D30" s="231" t="str">
        <f>IF(ISBLANK('ONR 4'!D8),"",'ONR 4'!D8)</f>
      </c>
      <c r="E30" s="268" t="str">
        <f>IF(ISBLANK('ONR 4'!E8),"",'ONR 4'!E8)</f>
      </c>
      <c r="F30" s="275" t="str">
        <f>IF(ISBLANK('ONR 4'!F8),"",'ONR 4'!F8)</f>
      </c>
      <c r="G30" s="207" t="str">
        <f>IF(ISBLANK('ONR 4'!G8),"",'ONR 4'!G8)</f>
      </c>
      <c r="H30" s="201" t="str">
        <f>IF(ISBLANK('ONR 4'!H8),"",'ONR 4'!H8)</f>
      </c>
      <c r="I30" s="224" t="str">
        <f>IF(ISBLANK('ONR 4'!I8),"",'ONR 4'!I8)</f>
      </c>
      <c r="J30" s="219" t="str">
        <f>IF(ISBLANK('ONR 4'!J8),"",'ONR 4'!J8)</f>
      </c>
      <c r="K30" s="233" t="str">
        <f>IF(ISBLANK('ONR 4'!K8),"",'ONR 4'!K8)</f>
      </c>
      <c r="L30" t="b" s="227">
        <f>IF(ISBLANK('ONR 4'!L8),"",'ONR 4'!L8)</f>
        <v>0</v>
      </c>
      <c r="M30" s="233" t="b">
        <f>IF(ISBLANK('ONR 4'!M8),"",'ONR 4'!M8)</f>
      </c>
      <c r="N30" s="233" t="b">
        <f>IF(ISBLANK('ONR 4'!N8),"",'ONR 4'!N8)</f>
      </c>
      <c r="O30" s="233" t="b">
        <f>IF(ISBLANK('ONR 4'!O8),"",'ONR 4'!O8)</f>
      </c>
      <c r="P30" s="233" t="b">
        <f>IF(ISBLANK('ONR 4'!P8),"",'ONR 4'!P8)</f>
      </c>
      <c r="Q30" s="233" t="b">
        <f>IF(ISBLANK('ONR 4'!Q8),"",'ONR 4'!Q8)</f>
      </c>
      <c r="R30" s="233" t="b">
        <f>IF(ISBLANK('ONR 4'!R8),"",'ONR 4'!R8)</f>
      </c>
      <c r="S30" s="234" t="str">
        <f>IF(ISBLANK('ONR 4'!S8),"",'ONR 4'!S8)</f>
      </c>
      <c r="T30" t="str" s="226">
        <f>IF(ISBLANK('ONR 4'!T8),"",'ONR 4'!T8)</f>
      </c>
      <c r="U30" t="str" s="242">
        <f>IF(ISBLANK('ONR 4'!U8),"",'ONR 4'!U8)</f>
      </c>
      <c r="V30" t="str" s="229">
        <f>IF(ISBLANK('ONR 4'!G8),"",'ONR 4'!G8)</f>
      </c>
      <c r="W30" s="142" t="str">
        <f>IF(ISBLANK('ONR 4'!V8),"",'ONR 4'!V8)</f>
      </c>
      <c r="X30" s="204" t="str">
        <f>IF(ISBLANK('ONR 4'!W8),"",'ONR 4'!W8)</f>
      </c>
      <c r="Y30" s="236" t="str">
        <f>IF(ISBLANK('ONR 4'!I8),"",'ONR 4'!I8)</f>
      </c>
      <c r="Z30" s="236" t="str">
        <f>IF(ISBLANK('ONR 4'!D8),"",'ONR 4'!D8)</f>
      </c>
      <c r="AE30" s="206" t="n">
        <f>IF(ISNUMBER(T30),0,1)</f>
        <v>1</v>
      </c>
      <c r="AF30" s="206" t="n">
        <f>IF(L30=TRUE,1,0)</f>
      </c>
      <c r="AG30" s="206" t="n">
        <f>IF(M30=TRUE,1,0)</f>
      </c>
      <c r="AH30" s="206" t="n">
        <f>IF(N30=TRUE,1,0)</f>
      </c>
      <c r="AI30" s="206" t="n">
        <f>IF(O30=TRUE,1,0)</f>
      </c>
      <c r="AJ30" s="206" t="n">
        <f>IF(P30=TRUE,1,0)</f>
      </c>
      <c r="AK30" s="206" t="n">
        <f>IF(Q30=TRUE,1,0)</f>
      </c>
      <c r="AL30" s="206" t="n">
        <f>IF(R30=TRUE,1,0)</f>
      </c>
      <c r="AM30" t="n">
        <f>IF(LEN(TRIM(W30))&gt;0,1,0)</f>
        <v>0</v>
      </c>
    </row>
    <row r="31" spans="1:38" s="205" customFormat="1" ht="57">
      <c r="A31" s="199"/>
      <c r="B31" s="219" t="str">
        <f>IF(ISBLANK('ONR 4'!B9),"",'ONR 4'!B9)</f>
        <v>4.3</v>
      </c>
      <c r="C31" s="219" t="str">
        <f>IF(ISBLANK('ONR 4'!C9),"",'ONR 4'!C9)</f>
        <v>Expérimenter de nouveaux outils numériques pour le territoire. Évaluer leurs effets avant de les généraliser, et expliquer les résultats aux habitants.</v>
      </c>
      <c r="D31" s="231" t="str">
        <f>IF(ISBLANK('ONR 4'!D9),"",'ONR 4'!D9)</f>
      </c>
      <c r="E31" s="268" t="str">
        <f>IF(ISBLANK('ONR 4'!E9),"",'ONR 4'!E9)</f>
      </c>
      <c r="F31" s="275" t="str">
        <f>IF(ISBLANK('ONR 4'!F9),"",'ONR 4'!F9)</f>
      </c>
      <c r="G31" s="207" t="str">
        <f>IF(ISBLANK('ONR 4'!G9),"",'ONR 4'!G9)</f>
      </c>
      <c r="H31" s="201" t="str">
        <f>IF(ISBLANK('ONR 4'!H9),"",'ONR 4'!H9)</f>
      </c>
      <c r="I31" s="224" t="str">
        <f>IF(ISBLANK('ONR 4'!I9),"",'ONR 4'!I9)</f>
      </c>
      <c r="J31" s="219" t="str">
        <f>IF(ISBLANK('ONR 4'!J9),"",'ONR 4'!J9)</f>
      </c>
      <c r="K31" s="233" t="str">
        <f>IF(ISBLANK('ONR 4'!K9),"",'ONR 4'!K9)</f>
      </c>
      <c r="L31" s="233" t="b">
        <f>IF(ISBLANK('ONR 4'!L9),"",'ONR 4'!L9)</f>
      </c>
      <c r="M31" s="233" t="b">
        <f>IF(ISBLANK('ONR 4'!M9),"",'ONR 4'!M9)</f>
      </c>
      <c r="N31" s="233" t="b">
        <f>IF(ISBLANK('ONR 4'!N9),"",'ONR 4'!N9)</f>
      </c>
      <c r="O31" s="233" t="b">
        <f>IF(ISBLANK('ONR 4'!O9),"",'ONR 4'!O9)</f>
      </c>
      <c r="P31" s="233" t="b">
        <f>IF(ISBLANK('ONR 4'!P9),"",'ONR 4'!P9)</f>
      </c>
      <c r="Q31" s="233" t="b">
        <f>IF(ISBLANK('ONR 4'!Q9),"",'ONR 4'!Q9)</f>
      </c>
      <c r="R31" s="233" t="b">
        <f>IF(ISBLANK('ONR 4'!R9),"",'ONR 4'!R9)</f>
      </c>
      <c r="S31" s="234" t="str">
        <f>IF(ISBLANK('ONR 4'!S9),"",'ONR 4'!S9)</f>
      </c>
      <c r="T31" s="232" t="str">
        <f>IF(ISBLANK('ONR 4'!T9),"",'ONR 4'!T9)</f>
      </c>
      <c r="U31" s="243" t="str">
        <f>IF(ISBLANK('ONR 4'!U9),"",'ONR 4'!U9)</f>
      </c>
      <c r="V31" s="235" t="str">
        <f>IF(ISBLANK('ONR 4'!G9),"",'ONR 4'!G9)</f>
      </c>
      <c r="W31" s="142" t="str">
        <f>IF(ISBLANK('ONR 4'!V9),"",'ONR 4'!V9)</f>
      </c>
      <c r="X31" s="204" t="str">
        <f>IF(ISBLANK('ONR 4'!W9),"",'ONR 4'!W9)</f>
      </c>
      <c r="Y31" s="236" t="str">
        <f>IF(ISBLANK('ONR 4'!I9),"",'ONR 4'!I9)</f>
      </c>
      <c r="Z31" s="236" t="str">
        <f>IF(ISBLANK('ONR 4'!D9),"",'ONR 4'!D9)</f>
      </c>
      <c r="AE31" s="206" t="n">
        <f>IF(ISNUMBER(T31),0,1)</f>
        <v>1</v>
      </c>
      <c r="AF31" s="206" t="n">
        <f>IF(L31=TRUE,1,0)</f>
      </c>
      <c r="AG31" s="206" t="n">
        <f>IF(M31=TRUE,1,0)</f>
      </c>
      <c r="AH31" s="206" t="n">
        <f>IF(N31=TRUE,1,0)</f>
      </c>
      <c r="AI31" s="206" t="n">
        <f>IF(O31=TRUE,1,0)</f>
      </c>
      <c r="AJ31" s="206" t="n">
        <f>IF(P31=TRUE,1,0)</f>
      </c>
      <c r="AK31" s="206" t="n">
        <f>IF(Q31=TRUE,1,0)</f>
      </c>
      <c r="AL31" s="206" t="n">
        <f>IF(R31=TRUE,1,0)</f>
      </c>
      <c r="AM31" t="n">
        <f>IF(LEN(TRIM(W31))&gt;0,1,0)</f>
        <v>0</v>
      </c>
    </row>
    <row r="32" spans="1:38" s="205" customFormat="1" ht="20" thickBot="1">
      <c r="A32" s="199"/>
      <c r="B32" s="219" t="str">
        <f>IF(ISBLANK('ONR 4'!B10),"",'ONR 4'!B10)</f>
        <v>4.4</v>
      </c>
      <c r="C32" s="219" t="str">
        <f>IF(ISBLANK('ONR 4'!C10),"",'ONR 4'!C10)</f>
        <v>Garder la maîtrise des données publiques, des outils et des choix techniques : solutions libres, hébergement de confiance, réversibilité des contrats.</v>
      </c>
      <c r="D32" s="231" t="str">
        <f>IF(ISBLANK('ONR 4'!D10),"",'ONR 4'!D10)</f>
      </c>
      <c r="E32" s="268" t="str">
        <f>IF(ISBLANK('ONR 4'!E10),"",'ONR 4'!E10)</f>
      </c>
      <c r="F32" s="275" t="str">
        <f>IF(ISBLANK('ONR 4'!F10),"",'ONR 4'!F10)</f>
      </c>
      <c r="G32" s="207" t="str">
        <f>IF(ISBLANK('ONR 4'!G10),"",'ONR 4'!G10)</f>
      </c>
      <c r="H32" s="201" t="str">
        <f>IF(ISBLANK('ONR 4'!H10),"",'ONR 4'!H10)</f>
      </c>
      <c r="I32" s="224" t="str">
        <f>IF(ISBLANK('ONR 4'!I10),"",'ONR 4'!I10)</f>
      </c>
      <c r="J32" s="219" t="n">
        <f>IF(ISBLANK('ONR 4'!J10),"",'ONR 4'!J10)</f>
      </c>
      <c r="K32" t="str" s="233">
        <f>IF(ISBLANK('ONR 4'!K10),"",'ONR 4'!K10)</f>
      </c>
      <c r="L32" t="b" s="233">
        <f>IF(ISBLANK('ONR 4'!L10),"",'ONR 4'!L10)</f>
        <v>0</v>
      </c>
      <c r="M32" t="b" s="233">
        <f>IF(ISBLANK('ONR 4'!M10),"",'ONR 4'!M10)</f>
        <v>0</v>
      </c>
      <c r="N32" t="b" s="233">
        <f>IF(ISBLANK('ONR 4'!N10),"",'ONR 4'!N10)</f>
        <v>0</v>
      </c>
      <c r="O32" t="b" s="233">
        <f>IF(ISBLANK('ONR 4'!O10),"",'ONR 4'!O10)</f>
        <v>0</v>
      </c>
      <c r="P32" t="b" s="233">
        <f>IF(ISBLANK('ONR 4'!P10),"",'ONR 4'!P10)</f>
        <v>0</v>
      </c>
      <c r="Q32" t="b" s="233">
        <f>IF(ISBLANK('ONR 4'!Q10),"",'ONR 4'!Q10)</f>
        <v>0</v>
      </c>
      <c r="R32" t="b" s="233">
        <f>IF(ISBLANK('ONR 4'!R10),"",'ONR 4'!R10)</f>
        <v>0</v>
      </c>
      <c r="S32" t="str" s="234">
        <f>IF(ISBLANK('ONR 4'!S10),"",'ONR 4'!S10)</f>
      </c>
      <c r="T32" t="str" s="232">
        <f>IF(ISBLANK('ONR 4'!T10),"",'ONR 4'!T10)</f>
      </c>
      <c r="U32" t="str" s="243">
        <f>IF(ISBLANK('ONR 4'!U10),"",'ONR 4'!U10)</f>
      </c>
      <c r="V32" t="str" s="235">
        <f>IF(ISBLANK('ONR 4'!G10),"",'ONR 4'!G10)</f>
      </c>
      <c r="W32" s="142" t="str">
        <f>IF(ISBLANK('ONR 4'!V10),"",'ONR 4'!V10)</f>
      </c>
      <c r="X32" s="204" t="str">
        <f>IF(ISBLANK('ONR 4'!W10),"",'ONR 4'!W10)</f>
      </c>
      <c r="Y32" s="236" t="str">
        <f>IF(ISBLANK('ONR 4'!I10),"",'ONR 4'!I10)</f>
      </c>
      <c r="Z32" s="236" t="str">
        <f>IF(ISBLANK('ONR 4'!D10),"",'ONR 4'!D10)</f>
      </c>
      <c r="AE32" s="206" t="n">
        <f>IF(ISNUMBER(T32),0,1)</f>
        <v>1</v>
      </c>
      <c r="AF32" s="206" t="n">
        <f>IF(L32=TRUE,1,0)</f>
      </c>
      <c r="AG32" s="206" t="n">
        <f>IF(M32=TRUE,1,0)</f>
      </c>
      <c r="AH32" s="206" t="n">
        <f>IF(N32=TRUE,1,0)</f>
      </c>
      <c r="AI32" s="206" t="n">
        <f>IF(O32=TRUE,1,0)</f>
      </c>
      <c r="AJ32" s="206" t="n">
        <f>IF(P32=TRUE,1,0)</f>
      </c>
      <c r="AK32" s="206" t="n">
        <f>IF(Q32=TRUE,1,0)</f>
      </c>
      <c r="AL32" s="206" t="n">
        <f>IF(R32=TRUE,1,0)</f>
      </c>
      <c r="AM32" t="n">
        <f>IF(LEN(TRIM(W32))&gt;0,1,0)</f>
        <v>0</v>
      </c>
    </row>
    <row r="33" spans="1:38" s="116" customFormat="1" ht="23" thickBot="1">
      <c r="A33" s="115"/>
      <c r="B33" s="362" t="str">
        <f>'ONR 5'!B2</f>
        <v>ONR 5 : Management · Donner du sens au travail et préserver les personnes et les ressources nécessaires à nos activités</v>
      </c>
      <c r="C33" s="363"/>
      <c r="D33" s="363"/>
      <c r="E33" s="363"/>
      <c r="F33" s="363"/>
      <c r="G33" s="363"/>
      <c r="H33" s="363"/>
      <c r="I33" s="363"/>
      <c r="J33" s="363"/>
      <c r="K33" s="363"/>
      <c r="L33" s="363"/>
      <c r="M33" s="363"/>
      <c r="N33" s="363"/>
      <c r="O33" s="363"/>
      <c r="P33" s="363"/>
      <c r="Q33" s="363"/>
      <c r="R33" s="363"/>
      <c r="S33" s="363"/>
      <c r="T33" s="363"/>
      <c r="U33" s="363"/>
      <c r="V33" s="363"/>
      <c r="W33" s="363"/>
      <c r="X33" s="363"/>
      <c r="Y33" s="363"/>
      <c r="Z33" s="364"/>
      <c r="AB33" s="116" t="str">
        <f>B33</f>
        <v>ONR 5 : Management · Donner du sens au travail et préserver les personnes et les ressources nécessaires à nos activités</v>
      </c>
      <c r="AC33" s="116" t="n">
        <f>COUNTA('ONR 5'!B7:B13)</f>
        <v>7</v>
      </c>
      <c r="AD33" s="116" t="n">
        <f>COUNT(T34:T40)</f>
        <v>0</v>
      </c>
      <c r="AE33" s="117" t="n">
        <f>SUM(AE34:AE40)</f>
        <v>7</v>
      </c>
      <c r="AF33" s="117" t="n">
        <f>SUM(AF34:AF40)</f>
        <v>0</v>
      </c>
      <c r="AG33" s="117" t="n">
        <f>SUM(AG34:AG40)</f>
        <v>0</v>
      </c>
      <c r="AH33" s="117" t="n">
        <f>SUM(AH34:AH40)</f>
        <v>0</v>
      </c>
      <c r="AI33" s="117" t="n">
        <f>SUM(AI34:AI40)</f>
        <v>0</v>
      </c>
      <c r="AJ33" s="117" t="n">
        <f>SUM(AJ34:AJ40)</f>
        <v>0</v>
      </c>
      <c r="AK33" s="117" t="n">
        <f>SUM(AK34:AK40)</f>
        <v>0</v>
      </c>
      <c r="AL33" s="117" t="n">
        <f>SUM(AL34:AL40)</f>
        <v>0</v>
      </c>
    </row>
    <row r="34" spans="1:38" s="205" customFormat="1" ht="38">
      <c r="A34" s="199"/>
      <c r="B34" s="218" t="str">
        <f>IF(ISBLANK('ONR 5'!B7),"",'ONR 5'!B7)</f>
        <v>5.1</v>
      </c>
      <c r="C34" s="218" t="str">
        <f>IF(ISBLANK('ONR 5'!C7),"",'ONR 5'!C7)</f>
        <v>Concevoir les services numériques comme des réponses aux besoins sociaux du territoire, avec les acteurs de l'action sociale et de la médiation.</v>
      </c>
      <c r="D34" s="223" t="str">
        <f>IF(ISBLANK('ONR 5'!D7),"",'ONR 5'!D7)</f>
      </c>
      <c r="E34" s="272" t="str">
        <f>IF(ISBLANK('ONR 5'!E7),"",'ONR 5'!E7)</f>
      </c>
      <c r="F34" s="279" t="str">
        <f>IF(ISBLANK('ONR 5'!F7),"",'ONR 5'!F7)</f>
      </c>
      <c r="G34" s="200" t="str">
        <f>IF(ISBLANK('ONR 5'!G7),"",'ONR 5'!G7)</f>
      </c>
      <c r="H34" s="216" t="str">
        <f>IF(ISBLANK('ONR 5'!H7),"",'ONR 5'!H7)</f>
      </c>
      <c r="I34" s="225" t="str">
        <f>IF(ISBLANK('ONR 5'!I7),"",'ONR 5'!I7)</f>
      </c>
      <c r="J34" s="220" t="str">
        <f>IF(ISBLANK('ONR 5'!J7),"",'ONR 5'!J7)</f>
      </c>
      <c r="K34" t="str" s="363">
        <f>IF(ISBLANK('ONR 5'!K7),"",'ONR 5'!K7)</f>
      </c>
      <c r="L34" s="227" t="b">
        <f>IF(ISBLANK('ONR 5'!L7),"",'ONR 5'!L7)</f>
        <v>0</v>
      </c>
      <c r="M34" s="227" t="b">
        <f>IF(ISBLANK('ONR 5'!M7),"",'ONR 5'!M7)</f>
        <v>0</v>
      </c>
      <c r="N34" s="227" t="b">
        <f>IF(ISBLANK('ONR 5'!N7),"",'ONR 5'!N7)</f>
        <v>0</v>
      </c>
      <c r="O34" s="227" t="b">
        <f>IF(ISBLANK('ONR 5'!O7),"",'ONR 5'!O7)</f>
        <v>0</v>
      </c>
      <c r="P34" s="227" t="b">
        <f>IF(ISBLANK('ONR 5'!P7),"",'ONR 5'!P7)</f>
        <v>0</v>
      </c>
      <c r="Q34" s="227" t="b">
        <f>IF(ISBLANK('ONR 5'!Q7),"",'ONR 5'!Q7)</f>
        <v>0</v>
      </c>
      <c r="R34" s="227" t="b">
        <f>IF(ISBLANK('ONR 5'!R7),"",'ONR 5'!R7)</f>
        <v>0</v>
      </c>
      <c r="S34" s="228" t="str">
        <f>IF(ISBLANK('ONR 5'!S7),"",'ONR 5'!S7)</f>
      </c>
      <c r="T34" s="226" t="str">
        <f>IF(ISBLANK('ONR 5'!T7),"",'ONR 5'!T7)</f>
      </c>
      <c r="U34" s="242" t="str">
        <f>IF(ISBLANK('ONR 5'!U7),"",'ONR 5'!U7)</f>
      </c>
      <c r="V34" s="229" t="str">
        <f>IF(ISBLANK('ONR 5'!G7),"",'ONR 5'!G7)</f>
      </c>
      <c r="W34" s="203" t="str">
        <f>IF(ISBLANK('ONR 5'!V7),"",'ONR 5'!V7)</f>
      </c>
      <c r="X34" s="204" t="str">
        <f>IF(ISBLANK('ONR 5'!W7),"",'ONR 5'!W7)</f>
      </c>
      <c r="Y34" s="257" t="str">
        <f>IF(ISBLANK('ONR 5'!I7),"",'ONR 5'!I7)</f>
      </c>
      <c r="Z34" s="256" t="str">
        <f>IF(ISBLANK('ONR 5'!D7),"",'ONR 5'!D7)</f>
      </c>
      <c r="AE34" s="206" t="n">
        <f>IF(ISNUMBER(T34),0,1)</f>
      </c>
      <c r="AF34" s="206" t="n">
        <f>IF(L34=TRUE,1,0)</f>
      </c>
      <c r="AG34" s="206" t="n">
        <f>IF(M34=TRUE,1,0)</f>
      </c>
      <c r="AH34" s="206" t="n">
        <f>IF(N34=TRUE,1,0)</f>
      </c>
      <c r="AI34" s="206" t="n">
        <f>IF(O34=TRUE,1,0)</f>
      </c>
      <c r="AJ34" s="206" t="n">
        <f>IF(P34=TRUE,1,0)</f>
      </c>
      <c r="AK34" s="206" t="n">
        <f>IF(Q34=TRUE,1,0)</f>
      </c>
      <c r="AL34" s="206" t="n">
        <f>IF(R34=TRUE,1,0)</f>
      </c>
      <c r="AM34" t="n">
        <f>IF(LEN(TRIM(W34))&gt;0,1,0)</f>
        <v>0</v>
      </c>
    </row>
    <row r="35" spans="1:38" s="205" customFormat="1" ht="38">
      <c r="A35" s="199"/>
      <c r="B35" s="219" t="str">
        <f>IF(ISBLANK('ONR 5'!B8),"",'ONR 5'!B8)</f>
        <v>5.2</v>
      </c>
      <c r="C35" s="218" t="str">
        <f>IF(ISBLANK('ONR 5'!C8),"",'ONR 5'!C8)</f>
        <v>Faire connaître et soutenir les initiatives des agents qui encouragent la coopération entre services et le bien-être au travail.</v>
      </c>
      <c r="D35" s="231" t="str">
        <f>IF(ISBLANK('ONR 5'!D8),"",'ONR 5'!D8)</f>
      </c>
      <c r="E35" s="272" t="str">
        <f>IF(ISBLANK('ONR 5'!E8),"",'ONR 5'!E8)</f>
      </c>
      <c r="F35" s="279" t="str">
        <f>IF(ISBLANK('ONR 5'!F8),"",'ONR 5'!F8)</f>
      </c>
      <c r="G35" s="207" t="str">
        <f>IF(ISBLANK('ONR 5'!G8),"",'ONR 5'!G8)</f>
      </c>
      <c r="H35" s="216" t="str">
        <f>IF(ISBLANK('ONR 5'!H8),"",'ONR 5'!H8)</f>
      </c>
      <c r="I35" s="224" t="str">
        <f>IF(ISBLANK('ONR 5'!I8),"",'ONR 5'!I8)</f>
      </c>
      <c r="J35" s="220" t="str">
        <f>IF(ISBLANK('ONR 5'!J8),"",'ONR 5'!J8)</f>
      </c>
      <c r="K35" s="233" t="str">
        <f>IF(ISBLANK('ONR 5'!K8),"",'ONR 5'!K8)</f>
      </c>
      <c r="L35" s="233" t="b">
        <f>IF(ISBLANK('ONR 5'!L8),"",'ONR 5'!L8)</f>
      </c>
      <c r="M35" s="233" t="b">
        <f>IF(ISBLANK('ONR 5'!M8),"",'ONR 5'!M8)</f>
      </c>
      <c r="N35" s="233" t="b">
        <f>IF(ISBLANK('ONR 5'!N8),"",'ONR 5'!N8)</f>
      </c>
      <c r="O35" s="233" t="b">
        <f>IF(ISBLANK('ONR 5'!O8),"",'ONR 5'!O8)</f>
      </c>
      <c r="P35" s="233" t="b">
        <f>IF(ISBLANK('ONR 5'!P8),"",'ONR 5'!P8)</f>
      </c>
      <c r="Q35" s="233" t="b">
        <f>IF(ISBLANK('ONR 5'!Q8),"",'ONR 5'!Q8)</f>
      </c>
      <c r="R35" s="233" t="b">
        <f>IF(ISBLANK('ONR 5'!R8),"",'ONR 5'!R8)</f>
      </c>
      <c r="S35" s="234" t="str">
        <f>IF(ISBLANK('ONR 5'!S8),"",'ONR 5'!S8)</f>
      </c>
      <c r="T35" s="232" t="str">
        <f>IF(ISBLANK('ONR 5'!T8),"",'ONR 5'!T8)</f>
      </c>
      <c r="U35" s="243" t="str">
        <f>IF(ISBLANK('ONR 5'!U8),"",'ONR 5'!U8)</f>
      </c>
      <c r="V35" s="235" t="str">
        <f>IF(ISBLANK('ONR 5'!G8),"",'ONR 5'!G8)</f>
      </c>
      <c r="W35" t="str" s="203">
        <f>IF(ISBLANK('ONR 5'!V8),"",'ONR 5'!V8)</f>
      </c>
      <c r="X35" s="204" t="str">
        <f>IF(ISBLANK('ONR 5'!W8),"",'ONR 5'!W8)</f>
      </c>
      <c r="Y35" s="258" t="str">
        <f>IF(ISBLANK('ONR 5'!I8),"",'ONR 5'!I8)</f>
      </c>
      <c r="Z35" t="str" s="256">
        <f>IF(ISBLANK('ONR 5'!D8),"",'ONR 5'!D8)</f>
      </c>
      <c r="AE35" s="206" t="n">
        <f>IF(ISNUMBER(T35),0,1)</f>
      </c>
      <c r="AF35" s="206" t="n">
        <f>IF(L35=TRUE,1,0)</f>
      </c>
      <c r="AG35" s="206" t="n">
        <f>IF(M35=TRUE,1,0)</f>
      </c>
      <c r="AH35" s="206" t="n">
        <f>IF(N35=TRUE,1,0)</f>
      </c>
      <c r="AI35" s="206" t="n">
        <f>IF(O35=TRUE,1,0)</f>
      </c>
      <c r="AJ35" s="206" t="n">
        <f>IF(P35=TRUE,1,0)</f>
      </c>
      <c r="AK35" s="206" t="n">
        <f>IF(Q35=TRUE,1,0)</f>
      </c>
      <c r="AL35" s="206" t="n">
        <f>IF(R35=TRUE,1,0)</f>
      </c>
      <c r="AM35" t="n">
        <f>IF(LEN(TRIM(W35))&gt;0,1,0)</f>
        <v>0</v>
      </c>
    </row>
    <row r="36" spans="1:38" s="205" customFormat="1" ht="38">
      <c r="A36" s="199"/>
      <c r="B36" s="219" t="str">
        <f>IF(ISBLANK('ONR 5'!B9),"",'ONR 5'!B9)</f>
        <v>5.3</v>
      </c>
      <c r="C36" s="218" t="str">
        <f>IF(ISBLANK('ONR 5'!C9),"",'ONR 5'!C9)</f>
        <v>Associer les habitants, les associations, les entreprises et les autres collectivités du territoire aux choix numériques, en s'appuyant sur leur expertise.</v>
      </c>
      <c r="D36" s="231" t="str">
        <f>IF(ISBLANK('ONR 5'!D9),"",'ONR 5'!D9)</f>
      </c>
      <c r="E36" s="272" t="str">
        <f>IF(ISBLANK('ONR 5'!E9),"",'ONR 5'!E9)</f>
      </c>
      <c r="F36" s="279" t="str">
        <f>IF(ISBLANK('ONR 5'!F9),"",'ONR 5'!F9)</f>
      </c>
      <c r="G36" s="207" t="str">
        <f>IF(ISBLANK('ONR 5'!G9),"",'ONR 5'!G9)</f>
      </c>
      <c r="H36" s="216" t="str">
        <f>IF(ISBLANK('ONR 5'!H9),"",'ONR 5'!H9)</f>
      </c>
      <c r="I36" s="224" t="str">
        <f>IF(ISBLANK('ONR 5'!I9),"",'ONR 5'!I9)</f>
      </c>
      <c r="J36" s="220" t="str">
        <f>IF(ISBLANK('ONR 5'!J9),"",'ONR 5'!J9)</f>
      </c>
      <c r="K36" t="str" s="233">
        <f>IF(ISBLANK('ONR 5'!K9),"",'ONR 5'!K9)</f>
      </c>
      <c r="L36" t="b" s="233">
        <f>IF(ISBLANK('ONR 5'!L9),"",'ONR 5'!L9)</f>
        <v>0</v>
      </c>
      <c r="M36" t="b" s="233">
        <f>IF(ISBLANK('ONR 5'!M9),"",'ONR 5'!M9)</f>
        <v>0</v>
      </c>
      <c r="N36" t="b" s="233">
        <f>IF(ISBLANK('ONR 5'!N9),"",'ONR 5'!N9)</f>
        <v>0</v>
      </c>
      <c r="O36" t="b" s="233">
        <f>IF(ISBLANK('ONR 5'!O9),"",'ONR 5'!O9)</f>
        <v>0</v>
      </c>
      <c r="P36" t="b" s="233">
        <f>IF(ISBLANK('ONR 5'!P9),"",'ONR 5'!P9)</f>
        <v>0</v>
      </c>
      <c r="Q36" t="b" s="233">
        <f>IF(ISBLANK('ONR 5'!Q9),"",'ONR 5'!Q9)</f>
        <v>0</v>
      </c>
      <c r="R36" t="b" s="233">
        <f>IF(ISBLANK('ONR 5'!R9),"",'ONR 5'!R9)</f>
        <v>0</v>
      </c>
      <c r="S36" t="str" s="234">
        <f>IF(ISBLANK('ONR 5'!S9),"",'ONR 5'!S9)</f>
      </c>
      <c r="T36" t="str" s="232">
        <f>IF(ISBLANK('ONR 5'!T9),"",'ONR 5'!T9)</f>
      </c>
      <c r="U36" t="str" s="243">
        <f>IF(ISBLANK('ONR 5'!U9),"",'ONR 5'!U9)</f>
      </c>
      <c r="V36" t="str" s="235">
        <f>IF(ISBLANK('ONR 5'!G9),"",'ONR 5'!G9)</f>
      </c>
      <c r="W36" t="str" s="142">
        <f>IF(ISBLANK('ONR 5'!V9),"",'ONR 5'!V9)</f>
      </c>
      <c r="X36" s="204" t="str">
        <f>IF(ISBLANK('ONR 5'!W9),"",'ONR 5'!W9)</f>
      </c>
      <c r="Y36" s="258" t="str">
        <f>IF(ISBLANK('ONR 5'!I9),"",'ONR 5'!I9)</f>
      </c>
      <c r="Z36" s="256" t="str">
        <f>IF(ISBLANK('ONR 5'!D9),"",'ONR 5'!D9)</f>
      </c>
      <c r="AE36" s="206" t="n">
        <f>IF(ISNUMBER(T36),0,1)</f>
      </c>
      <c r="AF36" s="206" t="n">
        <f>IF(L36=TRUE,1,0)</f>
      </c>
      <c r="AG36" s="206" t="n">
        <f>IF(M36=TRUE,1,0)</f>
      </c>
      <c r="AH36" s="206" t="n">
        <f>IF(N36=TRUE,1,0)</f>
      </c>
      <c r="AI36" s="206" t="n">
        <f>IF(O36=TRUE,1,0)</f>
      </c>
      <c r="AJ36" s="206" t="n">
        <f>IF(P36=TRUE,1,0)</f>
      </c>
      <c r="AK36" s="206" t="n">
        <f>IF(Q36=TRUE,1,0)</f>
      </c>
      <c r="AL36" s="206" t="n">
        <f>IF(R36=TRUE,1,0)</f>
      </c>
      <c r="AM36" t="n">
        <f>IF(LEN(TRIM(W36))&gt;0,1,0)</f>
        <v>0</v>
      </c>
    </row>
    <row r="37" spans="1:38" s="205" customFormat="1" ht="57">
      <c r="A37" s="199"/>
      <c r="B37" s="219" t="str">
        <f>IF(ISBLANK('ONR 5'!B10),"",'ONR 5'!B10)</f>
        <v>5.4</v>
      </c>
      <c r="C37" s="218" t="str">
        <f>IF(ISBLANK('ONR 5'!C10),"",'ONR 5'!C10)</f>
        <v>Préparer un territoire où les générations futures pourront innover, vivre ensemble et préserver les écosystèmes, notamment par l'éducation au numérique responsable dans les écoles.</v>
      </c>
      <c r="D37" s="231" t="str">
        <f>IF(ISBLANK('ONR 5'!D10),"",'ONR 5'!D10)</f>
      </c>
      <c r="E37" s="272" t="str">
        <f>IF(ISBLANK('ONR 5'!E10),"",'ONR 5'!E10)</f>
      </c>
      <c r="F37" s="279" t="str">
        <f>IF(ISBLANK('ONR 5'!F10),"",'ONR 5'!F10)</f>
      </c>
      <c r="G37" s="207" t="str">
        <f>IF(ISBLANK('ONR 5'!G10),"",'ONR 5'!G10)</f>
      </c>
      <c r="H37" s="216" t="str">
        <f>IF(ISBLANK('ONR 5'!H10),"",'ONR 5'!H10)</f>
      </c>
      <c r="I37" s="224" t="str">
        <f>IF(ISBLANK('ONR 5'!I10),"",'ONR 5'!I10)</f>
      </c>
      <c r="J37" s="220" t="str">
        <f>IF(ISBLANK('ONR 5'!J10),"",'ONR 5'!J10)</f>
      </c>
      <c r="K37" s="233" t="str">
        <f>IF(ISBLANK('ONR 5'!K10),"",'ONR 5'!K10)</f>
      </c>
      <c r="L37" s="233" t="b">
        <f>IF(ISBLANK('ONR 5'!L10),"",'ONR 5'!L10)</f>
      </c>
      <c r="M37" s="233" t="b">
        <f>IF(ISBLANK('ONR 5'!M10),"",'ONR 5'!M10)</f>
      </c>
      <c r="N37" s="233" t="b">
        <f>IF(ISBLANK('ONR 5'!N10),"",'ONR 5'!N10)</f>
      </c>
      <c r="O37" s="233" t="b">
        <f>IF(ISBLANK('ONR 5'!O10),"",'ONR 5'!O10)</f>
      </c>
      <c r="P37" s="233" t="b">
        <f>IF(ISBLANK('ONR 5'!P10),"",'ONR 5'!P10)</f>
      </c>
      <c r="Q37" s="233" t="b">
        <f>IF(ISBLANK('ONR 5'!Q10),"",'ONR 5'!Q10)</f>
      </c>
      <c r="R37" s="233" t="b">
        <f>IF(ISBLANK('ONR 5'!R10),"",'ONR 5'!R10)</f>
      </c>
      <c r="S37" s="234" t="str">
        <f>IF(ISBLANK('ONR 5'!S10),"",'ONR 5'!S10)</f>
      </c>
      <c r="T37" s="232" t="str">
        <f>IF(ISBLANK('ONR 5'!T10),"",'ONR 5'!T10)</f>
      </c>
      <c r="U37" s="243" t="str">
        <f>IF(ISBLANK('ONR 5'!U10),"",'ONR 5'!U10)</f>
      </c>
      <c r="V37" s="235" t="str">
        <f>IF(ISBLANK('ONR 5'!G10),"",'ONR 5'!G10)</f>
      </c>
      <c r="W37" s="142" t="str">
        <f>IF(ISBLANK('ONR 5'!V10),"",'ONR 5'!V10)</f>
      </c>
      <c r="X37" s="204" t="str">
        <f>IF(ISBLANK('ONR 5'!W10),"",'ONR 5'!W10)</f>
      </c>
      <c r="Y37" s="258" t="str">
        <f>IF(ISBLANK('ONR 5'!I10),"",'ONR 5'!I10)</f>
      </c>
      <c r="Z37" s="256" t="str">
        <f>IF(ISBLANK('ONR 5'!D10),"",'ONR 5'!D10)</f>
      </c>
      <c r="AE37" s="206" t="n">
        <f>IF(ISNUMBER(T37),0,1)</f>
      </c>
      <c r="AF37" s="206" t="n">
        <f>IF(L37=TRUE,1,0)</f>
      </c>
      <c r="AG37" s="206" t="n">
        <f>IF(M37=TRUE,1,0)</f>
      </c>
      <c r="AH37" s="206" t="n">
        <f>IF(N37=TRUE,1,0)</f>
      </c>
      <c r="AI37" s="206" t="n">
        <f>IF(O37=TRUE,1,0)</f>
      </c>
      <c r="AJ37" s="206" t="n">
        <f>IF(P37=TRUE,1,0)</f>
      </c>
      <c r="AK37" s="206" t="n">
        <f>IF(Q37=TRUE,1,0)</f>
      </c>
      <c r="AL37" s="206" t="n">
        <f>IF(R37=TRUE,1,0)</f>
      </c>
      <c r="AM37" t="n">
        <f>IF(LEN(TRIM(W37))&gt;0,1,0)</f>
        <v>0</v>
      </c>
    </row>
    <row r="38" spans="1:38" s="205" customFormat="1" ht="19">
      <c r="A38" s="199"/>
      <c r="B38" s="219" t="str">
        <f>IF(ISBLANK('ONR 5'!B11),"",'ONR 5'!B11)</f>
        <v>5.5</v>
      </c>
      <c r="C38" s="218" t="str">
        <f>IF(ISBLANK('ONR 5'!C11),"",'ONR 5'!C11)</f>
        <v>Suivre la stratégie numérique responsable de la collectivité avec quelques indicateurs, et en rendre compte aux élus.</v>
      </c>
      <c r="D38" s="231" t="str">
        <f>IF(ISBLANK('ONR 5'!D11),"",'ONR 5'!D11)</f>
      </c>
      <c r="E38" s="268" t="str">
        <f>IF(ISBLANK('ONR 5'!E11),"",'ONR 5'!E11)</f>
      </c>
      <c r="F38" s="275" t="str">
        <f>IF(ISBLANK('ONR 5'!F11),"",'ONR 5'!F11)</f>
      </c>
      <c r="G38" s="207" t="str">
        <f>IF(ISBLANK('ONR 5'!G11),"",'ONR 5'!G11)</f>
      </c>
      <c r="H38" s="201" t="str">
        <f>IF(ISBLANK('ONR 5'!H11),"",'ONR 5'!H11)</f>
      </c>
      <c r="I38" s="224" t="str">
        <f>IF(ISBLANK('ONR 5'!I11),"",'ONR 5'!I11)</f>
      </c>
      <c r="J38" s="219" t="str">
        <f>IF(ISBLANK('ONR 5'!J11),"",'ONR 5'!J11)</f>
      </c>
      <c r="K38" s="233" t="str">
        <f>IF(ISBLANK('ONR 5'!K11),"",'ONR 5'!K11)</f>
      </c>
      <c r="L38" s="233" t="b">
        <f>IF(ISBLANK('ONR 5'!L11),"",'ONR 5'!L11)</f>
      </c>
      <c r="M38" s="233" t="b">
        <f>IF(ISBLANK('ONR 5'!M11),"",'ONR 5'!M11)</f>
      </c>
      <c r="N38" s="233" t="b">
        <f>IF(ISBLANK('ONR 5'!N11),"",'ONR 5'!N11)</f>
      </c>
      <c r="O38" s="233" t="b">
        <f>IF(ISBLANK('ONR 5'!O11),"",'ONR 5'!O11)</f>
      </c>
      <c r="P38" s="233" t="b">
        <f>IF(ISBLANK('ONR 5'!P11),"",'ONR 5'!P11)</f>
      </c>
      <c r="Q38" s="233" t="b">
        <f>IF(ISBLANK('ONR 5'!Q11),"",'ONR 5'!Q11)</f>
      </c>
      <c r="R38" s="233" t="b">
        <f>IF(ISBLANK('ONR 5'!R11),"",'ONR 5'!R11)</f>
      </c>
      <c r="S38" s="234" t="str">
        <f>IF(ISBLANK('ONR 5'!S11),"",'ONR 5'!S11)</f>
      </c>
      <c r="T38" s="232" t="str">
        <f>IF(ISBLANK('ONR 5'!T11),"",'ONR 5'!T11)</f>
      </c>
      <c r="U38" s="243" t="str">
        <f>IF(ISBLANK('ONR 5'!U11),"",'ONR 5'!U11)</f>
      </c>
      <c r="V38" s="235" t="str">
        <f>IF(ISBLANK('ONR 5'!G11),"",'ONR 5'!G11)</f>
      </c>
      <c r="W38" s="142" t="str">
        <f>IF(ISBLANK('ONR 5'!V11),"",'ONR 5'!V11)</f>
      </c>
      <c r="X38" s="204" t="str">
        <f>IF(ISBLANK('ONR 5'!W11),"",'ONR 5'!W11)</f>
      </c>
      <c r="Y38" s="258" t="str">
        <f>IF(ISBLANK('ONR 5'!I11),"",'ONR 5'!I11)</f>
      </c>
      <c r="Z38" s="236" t="str">
        <f>IF(ISBLANK('ONR 5'!D11),"",'ONR 5'!D11)</f>
      </c>
      <c r="AE38" s="206" t="n">
        <f>IF(ISNUMBER(T38),0,1)</f>
      </c>
      <c r="AF38" s="206" t="n">
        <f>IF(L38=TRUE,1,0)</f>
      </c>
      <c r="AG38" s="206" t="n">
        <f>IF(M38=TRUE,1,0)</f>
      </c>
      <c r="AH38" s="206" t="n">
        <f>IF(N38=TRUE,1,0)</f>
      </c>
      <c r="AI38" s="206" t="n">
        <f>IF(O38=TRUE,1,0)</f>
      </c>
      <c r="AJ38" s="206" t="n">
        <f>IF(P38=TRUE,1,0)</f>
      </c>
      <c r="AK38" s="206" t="n">
        <f>IF(Q38=TRUE,1,0)</f>
      </c>
      <c r="AL38" s="206" t="n">
        <f>IF(R38=TRUE,1,0)</f>
      </c>
      <c r="AM38" t="n">
        <f>IF(LEN(TRIM(W38))&gt;0,1,0)</f>
        <v>0</v>
      </c>
    </row>
    <row r="39" spans="1:38" ht="38">
      <c r="B39" s="219" t="str">
        <f>IF(ISBLANK('ONR 5'!B12),"",'ONR 5'!B12)</f>
        <v>5.6</v>
      </c>
      <c r="C39" s="218" t="str">
        <f>IF(ISBLANK('ONR 5'!C12),"",'ONR 5'!C12)</f>
        <v>Proposer des améliorations pour un numérique responsable, y compris des solutions sans outil numérique, comme le maintien d'un accueil physique.</v>
      </c>
      <c r="D39" s="231" t="str">
        <f>IF(ISBLANK('ONR 5'!D12),"",'ONR 5'!D12)</f>
      </c>
      <c r="E39" s="268" t="str">
        <f>IF(ISBLANK('ONR 5'!E12),"",'ONR 5'!E12)</f>
      </c>
      <c r="F39" s="275" t="str">
        <f>IF(ISBLANK('ONR 5'!F12),"",'ONR 5'!F12)</f>
      </c>
      <c r="G39" s="207" t="str">
        <f>IF(ISBLANK('ONR 5'!G12),"",'ONR 5'!G12)</f>
      </c>
      <c r="H39" s="201" t="str">
        <f>IF(ISBLANK('ONR 5'!H12),"",'ONR 5'!H12)</f>
      </c>
      <c r="I39" s="224" t="str">
        <f>IF(ISBLANK('ONR 5'!I12),"",'ONR 5'!I12)</f>
      </c>
      <c r="J39" s="219" t="str">
        <f>IF(ISBLANK('ONR 5'!J12),"",'ONR 5'!J12)</f>
      </c>
      <c r="K39" s="233" t="str">
        <f>IF(ISBLANK('ONR 5'!K12),"",'ONR 5'!K12)</f>
      </c>
      <c r="L39" s="233" t="b">
        <f>IF(ISBLANK('ONR 5'!L12),"",'ONR 5'!L12)</f>
      </c>
      <c r="M39" s="233" t="b">
        <f>IF(ISBLANK('ONR 5'!M12),"",'ONR 5'!M12)</f>
      </c>
      <c r="N39" s="233" t="b">
        <f>IF(ISBLANK('ONR 5'!N12),"",'ONR 5'!N12)</f>
      </c>
      <c r="O39" s="233" t="b">
        <f>IF(ISBLANK('ONR 5'!O12),"",'ONR 5'!O12)</f>
      </c>
      <c r="P39" s="233" t="b">
        <f>IF(ISBLANK('ONR 5'!P12),"",'ONR 5'!P12)</f>
      </c>
      <c r="Q39" s="233" t="b">
        <f>IF(ISBLANK('ONR 5'!Q12),"",'ONR 5'!Q12)</f>
      </c>
      <c r="R39" s="233" t="b">
        <f>IF(ISBLANK('ONR 5'!R12),"",'ONR 5'!R12)</f>
      </c>
      <c r="S39" s="234" t="str">
        <f>IF(ISBLANK('ONR 5'!S12),"",'ONR 5'!S12)</f>
      </c>
      <c r="T39" s="232" t="str">
        <f>IF(ISBLANK('ONR 5'!T12),"",'ONR 5'!T12)</f>
      </c>
      <c r="U39" s="243" t="str">
        <f>IF(ISBLANK('ONR 5'!U12),"",'ONR 5'!U12)</f>
      </c>
      <c r="V39" s="235" t="str">
        <f>IF(ISBLANK('ONR 5'!G12),"",'ONR 5'!G12)</f>
      </c>
      <c r="W39" s="142" t="str">
        <f>IF(ISBLANK('ONR 5'!V12),"",'ONR 5'!V12)</f>
      </c>
      <c r="X39" s="204" t="str">
        <f>IF(ISBLANK('ONR 5'!W12),"",'ONR 5'!W12)</f>
      </c>
      <c r="Y39" s="258" t="str">
        <f>IF(ISBLANK('ONR 5'!I12),"",'ONR 5'!I12)</f>
      </c>
      <c r="Z39" s="236" t="str">
        <f>IF(ISBLANK('ONR 5'!D12),"",'ONR 5'!D12)</f>
      </c>
      <c r="AE39" s="206" t="n">
        <f>IF(ISNUMBER(T39),0,1)</f>
      </c>
      <c r="AF39" s="206" t="n">
        <f>IF(L39=TRUE,1,0)</f>
      </c>
      <c r="AG39" s="206" t="n">
        <f>IF(M39=TRUE,1,0)</f>
      </c>
      <c r="AH39" s="206" t="n">
        <f>IF(N39=TRUE,1,0)</f>
      </c>
      <c r="AI39" s="206" t="n">
        <f>IF(O39=TRUE,1,0)</f>
      </c>
      <c r="AJ39" s="206" t="n">
        <f>IF(P39=TRUE,1,0)</f>
      </c>
      <c r="AK39" s="206" t="n">
        <f>IF(Q39=TRUE,1,0)</f>
      </c>
      <c r="AL39" s="206" t="n">
        <f>IF(R39=TRUE,1,0)</f>
      </c>
      <c r="AM39" t="n">
        <f>IF(LEN(TRIM(W39))&gt;0,1,0)</f>
        <v>0</v>
      </c>
    </row>
    <row r="40" spans="1:38" ht="38">
      <c r="B40" s="219" t="str">
        <f>IF(ISBLANK('ONR 5'!B13),"",'ONR 5'!B13)</f>
        <v>5.7</v>
      </c>
      <c r="C40" s="218" t="str">
        <f>IF(ISBLANK('ONR 5'!C13),"",'ONR 5'!C13)</f>
        <v>Décider avec les agents et leurs représentants comment utiliser l'intelligence artificielle. Les former à ses limites et préserver le sens du service public.</v>
      </c>
      <c r="D40" s="231" t="str">
        <f>IF(ISBLANK('ONR 5'!D13),"",'ONR 5'!D13)</f>
      </c>
      <c r="E40" s="268" t="str">
        <f>IF(ISBLANK('ONR 5'!E13),"",'ONR 5'!E13)</f>
      </c>
      <c r="F40" s="275" t="str">
        <f>IF(ISBLANK('ONR 5'!F13),"",'ONR 5'!F13)</f>
      </c>
      <c r="G40" s="207" t="str">
        <f>IF(ISBLANK('ONR 5'!G13),"",'ONR 5'!G13)</f>
      </c>
      <c r="H40" s="201" t="str">
        <f>IF(ISBLANK('ONR 5'!H13),"",'ONR 5'!H13)</f>
      </c>
      <c r="I40" s="224" t="str">
        <f>IF(ISBLANK('ONR 5'!I13),"",'ONR 5'!I13)</f>
      </c>
      <c r="J40" s="219" t="n">
        <f>IF(ISBLANK('ONR 5'!J13),"",'ONR 5'!J13)</f>
        <v>0</v>
      </c>
      <c r="K40" s="233" t="str">
        <f>IF(ISBLANK('ONR 5'!K13),"",'ONR 5'!K13)</f>
      </c>
      <c r="L40" s="233" t="b">
        <f>IF(ISBLANK('ONR 5'!L13),"",'ONR 5'!L13)</f>
        <v>0</v>
      </c>
      <c r="M40" s="233" t="b">
        <f>IF(ISBLANK('ONR 5'!M13),"",'ONR 5'!M13)</f>
        <v>0</v>
      </c>
      <c r="N40" s="233" t="b">
        <f>IF(ISBLANK('ONR 5'!N13),"",'ONR 5'!N13)</f>
        <v>0</v>
      </c>
      <c r="O40" s="233" t="b">
        <f>IF(ISBLANK('ONR 5'!O13),"",'ONR 5'!O13)</f>
        <v>0</v>
      </c>
      <c r="P40" s="233" t="b">
        <f>IF(ISBLANK('ONR 5'!P13),"",'ONR 5'!P13)</f>
        <v>0</v>
      </c>
      <c r="Q40" s="233" t="b">
        <f>IF(ISBLANK('ONR 5'!Q13),"",'ONR 5'!Q13)</f>
        <v>0</v>
      </c>
      <c r="R40" s="233" t="b">
        <f>IF(ISBLANK('ONR 5'!R13),"",'ONR 5'!R13)</f>
        <v>0</v>
      </c>
      <c r="S40" s="234" t="str">
        <f>IF(ISBLANK('ONR 5'!S13),"",'ONR 5'!S13)</f>
      </c>
      <c r="T40" s="232" t="str">
        <f>IF(ISBLANK('ONR 5'!T13),"",'ONR 5'!T13)</f>
      </c>
      <c r="U40" s="243" t="str">
        <f>IF(ISBLANK('ONR 5'!U13),"",'ONR 5'!U13)</f>
      </c>
      <c r="V40" s="235" t="str">
        <f>IF(ISBLANK('ONR 5'!G13),"",'ONR 5'!G13)</f>
      </c>
      <c r="W40" s="142" t="str">
        <f>IF(ISBLANK('ONR 5'!V13),"",'ONR 5'!V13)</f>
      </c>
      <c r="X40" s="204" t="str">
        <f>IF(ISBLANK('ONR 5'!W13),"",'ONR 5'!W13)</f>
      </c>
      <c r="Y40" s="258" t="str">
        <f>IF(ISBLANK('ONR 5'!I13),"",'ONR 5'!I13)</f>
      </c>
      <c r="Z40" s="236" t="str">
        <f>IF(ISBLANK('ONR 5'!D13),"",'ONR 5'!D13)</f>
      </c>
      <c r="AE40" s="206" t="n">
        <f>IF(ISNUMBER(T40),0,1)</f>
        <v>1</v>
      </c>
      <c r="AF40" s="206" t="n">
        <f>IF(L40=TRUE,1,0)</f>
        <v>0</v>
      </c>
      <c r="AG40" s="206" t="n">
        <f>IF(M40=TRUE,1,0)</f>
        <v>0</v>
      </c>
      <c r="AH40" s="206" t="n">
        <f>IF(N40=TRUE,1,0)</f>
        <v>0</v>
      </c>
      <c r="AI40" s="206" t="n">
        <f>IF(O40=TRUE,1,0)</f>
        <v>0</v>
      </c>
      <c r="AJ40" s="206" t="n">
        <f>IF(P40=TRUE,1,0)</f>
        <v>0</v>
      </c>
      <c r="AK40" s="206" t="n">
        <f>IF(Q40=TRUE,1,0)</f>
        <v>0</v>
      </c>
      <c r="AL40" s="206" t="n">
        <f>IF(R40=TRUE,1,0)</f>
        <v>0</v>
      </c>
      <c r="AM40" t="n">
        <f>IF(LEN(TRIM(W40))&gt;0,1,0)</f>
        <v>0</v>
      </c>
    </row>
  </sheetData>
  <mergeCells count="11">
    <mergeCell ref="B33:Z33"/>
    <mergeCell ref="Y2:Z2"/>
    <mergeCell ref="B2:C3"/>
    <mergeCell ref="D2:E2"/>
    <mergeCell ref="F2:G2"/>
    <mergeCell ref="H2:I2"/>
    <mergeCell ref="V2:X2"/>
    <mergeCell ref="B28:Z28"/>
    <mergeCell ref="B19:Z19"/>
    <mergeCell ref="B13:Z13"/>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2 D14:D18 D36:D40">
    <cfRule type="expression" dxfId="80" priority="5235">
      <formula>FIND("Conforter",F5)</formula>
    </cfRule>
  </conditionalFormatting>
  <conditionalFormatting sqref="D5:D12 D36:D40 V20:Z27 V29:Z32 D14:D18">
    <cfRule type="expression" dxfId="79" priority="5234" stopIfTrue="1">
      <formula>ISTEXT(D5)</formula>
    </cfRule>
  </conditionalFormatting>
  <conditionalFormatting sqref="D7:D12">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4:D18 I14:I18 D20:D27 I20:I27 D29:D32 I29:I32 D34:D40 I34:I40">
    <cfRule type="expression" dxfId="74" priority="5554">
      <formula>FIND("Réagir",E13)</formula>
    </cfRule>
    <cfRule type="expression" dxfId="73" priority="5553">
      <formula>FIND("Agir",E13)</formula>
    </cfRule>
  </conditionalFormatting>
  <conditionalFormatting sqref="D20">
    <cfRule type="expression" dxfId="72" priority="5129">
      <formula>FIND("Conforter",F18)</formula>
    </cfRule>
    <cfRule type="expression" dxfId="71" priority="5128" stopIfTrue="1">
      <formula>ISTEXT(D18)</formula>
    </cfRule>
  </conditionalFormatting>
  <conditionalFormatting sqref="D20:D27 D29:D32 D34:D40">
    <cfRule type="expression" dxfId="70" priority="5497">
      <formula>FIND("Conforter",F18)</formula>
    </cfRule>
  </conditionalFormatting>
  <conditionalFormatting sqref="D20:D27">
    <cfRule type="expression" dxfId="69" priority="5118" stopIfTrue="1">
      <formula>ISTEXT(D18)</formula>
    </cfRule>
    <cfRule type="expression" dxfId="68" priority="5119">
      <formula>FIND("Conforter",F18)</formula>
    </cfRule>
  </conditionalFormatting>
  <conditionalFormatting sqref="D22:D25">
    <cfRule type="expression" dxfId="67" priority="5121">
      <formula>FIND("Conforter",F20)</formula>
    </cfRule>
    <cfRule type="expression" dxfId="66" priority="5120" stopIfTrue="1">
      <formula>ISTEXT(D20)</formula>
    </cfRule>
  </conditionalFormatting>
  <conditionalFormatting sqref="D23">
    <cfRule type="expression" dxfId="65" priority="4990" stopIfTrue="1">
      <formula>ISTEXT(D21)</formula>
    </cfRule>
    <cfRule type="expression" dxfId="64" priority="4991">
      <formula>FIND("Conforter",F21)</formula>
    </cfRule>
  </conditionalFormatting>
  <conditionalFormatting sqref="D29">
    <cfRule type="expression" dxfId="63" priority="4860" stopIfTrue="1">
      <formula>ISTEXT(D26)</formula>
    </cfRule>
    <cfRule type="expression" dxfId="62" priority="4861">
      <formula>FIND("Conforter",F26)</formula>
    </cfRule>
  </conditionalFormatting>
  <conditionalFormatting sqref="D34">
    <cfRule type="expression" dxfId="61" priority="4573">
      <formula>FIND("Conforter",F31)</formula>
    </cfRule>
    <cfRule type="expression" dxfId="60" priority="4572" stopIfTrue="1">
      <formula>ISTEXT(D31)</formula>
    </cfRule>
  </conditionalFormatting>
  <conditionalFormatting sqref="D34:D40 D20:D27 D29:D32">
    <cfRule type="expression" dxfId="59" priority="5496" stopIfTrue="1">
      <formula>ISTEXT(D18)</formula>
    </cfRule>
  </conditionalFormatting>
  <conditionalFormatting sqref="D38:D40">
    <cfRule type="expression" dxfId="58" priority="4435">
      <formula>FIND("Conforter",F35)</formula>
    </cfRule>
    <cfRule type="expression" dxfId="57" priority="4434" stopIfTrue="1">
      <formula>ISTEXT(D35)</formula>
    </cfRule>
  </conditionalFormatting>
  <conditionalFormatting sqref="F14:H18 F34:H40">
    <cfRule type="expression" dxfId="56" priority="7">
      <formula>FIND("Conforter",I13)</formula>
    </cfRule>
  </conditionalFormatting>
  <conditionalFormatting sqref="F20:H27 F29:H32">
    <cfRule type="expression" dxfId="55" priority="5547" stopIfTrue="1">
      <formula>ISTEXT(F18)</formula>
    </cfRule>
    <cfRule type="expression" dxfId="54" priority="5548">
      <formula>FIND("Conforter",I18)</formula>
    </cfRule>
  </conditionalFormatting>
  <conditionalFormatting sqref="F34:H40 F14:H18">
    <cfRule type="expression" dxfId="53" priority="6" stopIfTrue="1">
      <formula>ISTEXT(F13)</formula>
    </cfRule>
  </conditionalFormatting>
  <conditionalFormatting sqref="G14:H18 G29:H32 G34:H40 G20:H27">
    <cfRule type="expression" dxfId="52" priority="5545">
      <formula>FIND("Agir",I13)</formula>
    </cfRule>
    <cfRule type="expression" dxfId="51" priority="5546">
      <formula>FIND("Réagir",I13)</formula>
    </cfRule>
  </conditionalFormatting>
  <conditionalFormatting sqref="G20:H27">
    <cfRule type="expression" dxfId="50" priority="5150" stopIfTrue="1">
      <formula>ISTEXT(G18)</formula>
    </cfRule>
    <cfRule type="expression" dxfId="49" priority="5151">
      <formula>FIND("Conforter",J18)</formula>
    </cfRule>
  </conditionalFormatting>
  <conditionalFormatting sqref="G34:H40 G14:H18 G29:H32">
    <cfRule type="expression" dxfId="48" priority="5544" stopIfTrue="1">
      <formula>ISTEXT(G13)</formula>
    </cfRule>
  </conditionalFormatting>
  <conditionalFormatting sqref="G36:H40">
    <cfRule type="expression" dxfId="47" priority="5393">
      <formula>FIND("Conforter",J33)</formula>
    </cfRule>
  </conditionalFormatting>
  <conditionalFormatting sqref="G38:H40">
    <cfRule type="expression" dxfId="46" priority="4437">
      <formula>FIND("Conforter",J35)</formula>
    </cfRule>
  </conditionalFormatting>
  <conditionalFormatting sqref="G20:I27">
    <cfRule type="expression" dxfId="45" priority="5152" stopIfTrue="1">
      <formula>ISTEXT(G18)</formula>
    </cfRule>
  </conditionalFormatting>
  <conditionalFormatting sqref="G36:I40">
    <cfRule type="expression" dxfId="44" priority="4594" stopIfTrue="1">
      <formula>ISTEXT(G33)</formula>
    </cfRule>
  </conditionalFormatting>
  <conditionalFormatting sqref="G38:I40">
    <cfRule type="expression" dxfId="43" priority="4436" stopIfTrue="1">
      <formula>ISTEXT(G35)</formula>
    </cfRule>
  </conditionalFormatting>
  <conditionalFormatting sqref="H14:H18">
    <cfRule type="expression" dxfId="42" priority="5327" stopIfTrue="1">
      <formula>ISTEXT(H13)</formula>
    </cfRule>
    <cfRule type="expression" dxfId="41" priority="5328">
      <formula>FIND("Conforter",J13)</formula>
    </cfRule>
  </conditionalFormatting>
  <conditionalFormatting sqref="H29">
    <cfRule type="expression" dxfId="40" priority="4838">
      <formula>FIND("Conforter",J26)</formula>
    </cfRule>
    <cfRule type="expression" dxfId="39" priority="4837" stopIfTrue="1">
      <formula>ISTEXT(H26)</formula>
    </cfRule>
  </conditionalFormatting>
  <conditionalFormatting sqref="H34:H40">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2">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4:I18 I20:I27 I29:I32 I34:I40 D20:D27 D29:D32 D34:D40 D14:D18">
    <cfRule type="expression" dxfId="31" priority="5552" stopIfTrue="1">
      <formula>ISTEXT(D13)</formula>
    </cfRule>
  </conditionalFormatting>
  <conditionalFormatting sqref="I20:I27">
    <cfRule type="expression" dxfId="30" priority="5153">
      <formula>FIND("Agir",J18)</formula>
    </cfRule>
    <cfRule type="expression" dxfId="29" priority="5154">
      <formula>FIND("Réagir",J18)</formula>
    </cfRule>
  </conditionalFormatting>
  <conditionalFormatting sqref="I30:I32">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5">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8:I40">
    <cfRule type="expression" dxfId="22" priority="4439">
      <formula>FIND("Agir",J35)</formula>
    </cfRule>
    <cfRule type="expression" dxfId="21" priority="4440">
      <formula>FIND("Réagir",J35)</formula>
    </cfRule>
  </conditionalFormatting>
  <conditionalFormatting sqref="I5:J12 I20:J27 I29:J32 I34:J40 V20:Z27 V29:Z32 V3:Z3 V5:Z12 V14:Z18 V34:Y40 V1:V2 I3:J3 I14:I18">
    <cfRule type="containsText" dxfId="20" priority="5549" stopIfTrue="1" operator="containsText" text="Première">
      <formula>NOT(ISERROR(SEARCH("Première",I1)))</formula>
    </cfRule>
  </conditionalFormatting>
  <conditionalFormatting sqref="J5:J12 J14:J18 J20:J27 J29:J32 J34:J40">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2 J20:J27 J29:J32 J34:J40">
    <cfRule type="containsText" dxfId="12" priority="5541" stopIfTrue="1" operator="containsText" text="Non">
      <formula>NOT(ISERROR(SEARCH("Non",J6)))</formula>
    </cfRule>
  </conditionalFormatting>
  <conditionalFormatting sqref="V1:V2 I3:J3 I5:J12 I14:I18 I20:J27 I29:J32 I34:J40">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2 V14:Z18 V20:Z27 V29:Z32 V34:Y40">
    <cfRule type="containsText" dxfId="9" priority="94" stopIfTrue="1" operator="containsText" text="Terme">
      <formula>NOT(ISERROR(SEARCH("Terme",V3)))</formula>
    </cfRule>
  </conditionalFormatting>
  <conditionalFormatting sqref="V20:Z27 V29:Z32 V5:Z12 V14:Z18 V34:Y40 V3:Z3">
    <cfRule type="containsText" dxfId="6" priority="93" stopIfTrue="1" operator="containsText" text="Seconde">
      <formula>NOT(ISERROR(SEARCH("Seconde",V3)))</formula>
    </cfRule>
  </conditionalFormatting>
  <conditionalFormatting sqref="V34:Z40 V5:Z12 V14:Z18">
    <cfRule type="expression" dxfId="3" priority="83" stopIfTrue="1">
      <formula>ISTEXT(V5)</formula>
    </cfRule>
  </conditionalFormatting>
  <conditionalFormatting sqref="Z34:Z40">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custom" allowBlank="1" showInputMessage="1" showErrorMessage="0" errorTitle="Valeur invalide" error="La valeur doit être contenue entre 1 et 4" promptTitle="Compétences mobilisées" prompt="Valeur calculée. Modifier la note dans l’onglet ONR correspondant.&#10;1 : équipe NR / RSE&#10;2 : NR / RSE et DSI&#10;3 : NR / RSE et équipe hors DSI&#10;4 : intervention extérieure" sqref="H29 H14:H18" xr:uid="{00000000-0002-0000-1400-000000000000}">
      <formula1>TRUE</formula1>
    </dataValidation>
    <dataValidation type="custom" allowBlank="1" showInputMessage="1" showErrorMessage="0" errorTitle="Valeur invalide" error="La valeur doit être contenue entre 1 et 4" promptTitle="Performance actuelle" prompt="Valeur calculée. Modifier la note dans l’onglet ONR correspondant.&#10;1 : pas du tout atteinte&#10;2 : atteinte en partie&#10;3 : en voie d’être atteinte&#10;4 : atteinte&#10;Laisser vide si non évaluée ou non applicable." sqref="F14:F18 F20:F27 F29:F40 F5:F12" xr:uid="{00000000-0002-0000-1400-000001000000}">
      <formula1>TRUE</formula1>
    </dataValidation>
    <dataValidation type="custom" allowBlank="1" showInputMessage="1" showErrorMessage="0" errorTitle="Valeur invalide" error="Les valeurs permises pour l'importance sont 0, 1, 2 ou 3" promptTitle="Importance de la cible" prompt="Valeur calculée. Modifier la note dans l’onglet ONR correspondant.&#10;0 : non applicable&#10;1 : peu importante&#10;2 : importante&#10;3 : très importante&#10;Si 0, la performance peut rester vide." sqref="E14:E18 E20:E27 E29:E40 E5:E12" xr:uid="{00000000-0002-0000-1400-000002000000}">
      <formula1>TRUE</formula1>
    </dataValidation>
  </dataValidations>
  <pageMargins left="0.70866141732283472" right="0.70866141732283472" top="0.74803149606299213" bottom="0.74803149606299213" header="0.31496062992125984" footer="0.31496062992125984"/>
  <pageSetup paperSize="5" scale="42" fitToHeight="20" orientation="landscape" r:id="rId1"/>
  <drawing r:id="logoINR20261007"/>
  <legacyDrawing r:id="rId2"/>
</worksheet>
</file>

<file path=xl/worksheets/sheet11.xml><?xml version="1.0" encoding="utf-8"?>
<x:worksheet xmlns:x="http://schemas.openxmlformats.org/spreadsheetml/2006/main">
  <x:sheetPr>
    <x:pageSetUpPr fitToPage="1"/>
  </x:sheetPr>
  <x:sheetViews>
    <x:sheetView showGridLines="0" workbookViewId="0" zoomScale="85" topLeftCell="A1"/>
  </x:sheetViews>
  <x:sheetFormatPr baseColWidth="10" defaultColWidth="11.5" defaultRowHeight="13"/>
  <x:cols>
    <x:col min="1" max="1" width="3" hidden="0" customWidth="1"/>
    <x:col min="2" max="2" width="25" hidden="0" customWidth="1"/>
    <x:col min="3" max="3" width="12" hidden="0" customWidth="1"/>
    <x:col min="4" max="4" width="12.6640625" hidden="0" customWidth="1"/>
    <x:col min="5" max="5" width="12.6640625" hidden="0" customWidth="1"/>
    <x:col min="6" max="6" width="12" hidden="0" customWidth="1"/>
    <x:col min="7" max="7" width="12.6640625" hidden="0" customWidth="1"/>
    <x:col min="8" max="8" width="12.6640625" hidden="0" customWidth="1"/>
    <x:col min="9" max="9" width="12.6640625" hidden="0" customWidth="1"/>
    <x:col min="10" max="10" width="12.6640625" hidden="0" customWidth="1"/>
    <x:col min="11" max="11" width="12.6640625" hidden="0" customWidth="1"/>
    <x:col min="12" max="12" width="12.6640625" hidden="0" customWidth="1"/>
    <x:col min="13" max="13" width="12.6640625" hidden="0" customWidth="1"/>
    <x:col min="14" max="14" width="3" style="1211" hidden="1" customWidth="1"/>
    <x:col min="15" max="15" width="11.5" style="1211" hidden="1" customWidth="0"/>
    <x:col min="16" max="16" width="11.5" style="1211" hidden="1" customWidth="0"/>
    <x:col min="17" max="17" width="11.5" style="1211" hidden="1" customWidth="0"/>
    <x:col min="18" max="18" width="11.5" style="1211" hidden="1" customWidth="0"/>
    <x:col min="19" max="19" width="11.5" style="1211" hidden="1" customWidth="0"/>
    <x:col min="20" max="20" width="11.5" style="1211" hidden="1" customWidth="0"/>
    <x:col min="21" max="21" width="11.5" style="1211" hidden="1" customWidth="0"/>
    <x:col min="22" max="22" width="11.5" style="1211" hidden="1" customWidth="0"/>
    <x:col min="23" max="23" width="11.5" style="1211" hidden="1" customWidth="0"/>
    <x:col min="24" max="24" width="11.5" style="1211" hidden="1" customWidth="0"/>
    <x:col min="25" max="25" width="11.5" style="1211" hidden="1" customWidth="0"/>
    <x:col min="26" max="26" width="11.5" style="1211" hidden="1" customWidth="0"/>
    <x:col min="27" max="27" width="11.5" style="1211" hidden="1" customWidth="0"/>
    <x:col min="28" max="28" width="11.5" style="1211" hidden="1" customWidth="0"/>
    <x:col min="29" max="29" width="11.5" style="1211" hidden="1" customWidth="0"/>
    <x:col min="30" max="30" width="11.5" style="1211" hidden="1" customWidth="0"/>
    <x:col min="31" max="31" width="11.5" style="1211" hidden="1" customWidth="0"/>
    <x:col min="32" max="32" width="11.5" style="1211" hidden="1" customWidth="0"/>
    <x:col width="8.43" customWidth="1" min="33" max="33" hidden="1"/>
    <x:col width="8.43" customWidth="1" min="34" max="34" hidden="1"/>
    <x:col width="8.43" customWidth="1" min="35" max="35" hidden="1"/>
    <x:col width="8.43" customWidth="1" min="36" max="36" hidden="1"/>
    <x:col width="8.43" customWidth="1" min="37" max="37" hidden="1"/>
    <x:col width="8.43" customWidth="1" min="38" max="38" hidden="1"/>
    <x:col width="8.43" customWidth="1" min="39" max="39" hidden="1"/>
    <x:col width="8.43" customWidth="1" min="40" max="40" hidden="1"/>
    <x:col width="8.43" customWidth="1" min="41" max="41" hidden="1"/>
    <x:col width="8.43" customWidth="1" min="42" max="42" hidden="1"/>
    <x:col width="8.43" customWidth="1" min="43" max="43" hidden="1"/>
    <x:col width="8.43" customWidth="1" min="44" max="44" hidden="1"/>
    <x:col width="8.43" customWidth="1" min="45" max="45" hidden="1"/>
  </x:cols>
  <x:sheetData>
    <x:row r="1" s="1271" customFormat="1" ht="24" customHeight="1">
      <x:c r="A1"/>
      <x:c r="B1"/>
      <x:c r="C1"/>
      <x:c r="D1"/>
      <x:c r="E1"/>
      <x:c r="F1"/>
      <x:c r="G1"/>
      <x:c r="H1"/>
      <x:c r="I1"/>
      <x:c r="J1"/>
      <x:c r="K1"/>
      <x:c r="L1"/>
      <x:c r="M1"/>
      <x:c r="N1"/>
      <x:c r="O1"/>
      <x:c r="P1"/>
      <x:c r="Q1"/>
      <x:c r="R1"/>
      <x:c r="S1"/>
      <x:c r="T1"/>
      <x:c r="U1"/>
      <x:c r="V1"/>
      <x:c r="W1"/>
      <x:c r="X1"/>
      <x:c r="Y1"/>
      <x:c r="Z1"/>
      <x:c r="AA1"/>
      <x:c r="AB1"/>
      <x:c r="AC1"/>
      <x:c r="AD1"/>
      <x:c r="AE1"/>
      <x:c r="AF1"/>
    </x:row>
    <x:row r="2" ht="44" customHeight="1">
      <x:c r="A2"/>
      <x:c r="B2" s="1928" t="str">
        <x:v>Résultats de synthèse</x:v>
      </x:c>
      <x:c r="C2" s="1929"/>
      <x:c r="D2" s="1929"/>
      <x:c r="E2" s="1929"/>
      <x:c r="F2" s="1929"/>
      <x:c r="G2" s="1929"/>
      <x:c r="H2" s="1929"/>
      <x:c r="I2" s="1929"/>
      <x:c r="J2" s="1930"/>
      <x:c r="K2" s="1923"/>
      <x:c r="L2" s="1923"/>
      <x:c r="M2" s="1923"/>
    </x:row>
    <x:row r="3" ht="30" customHeight="1">
      <x:c r="A3"/>
      <x:c r="B3" s="1931" t="str">
        <x:v>Vue d’ensemble des 32 cibles. Saisir les informations dans les onglets ONR 1 à 5.</x:v>
      </x:c>
      <x:c r="C3" s="1931"/>
      <x:c r="D3" s="1931">
        <x:f t="shared" ref="D3:M3" si="0">SUM(D4:D8)</x:f>
      </x:c>
      <x:c r="E3" s="1931">
        <x:f t="shared" si="0"/>
      </x:c>
      <x:c r="F3" s="1931">
        <x:f t="shared" si="0"/>
      </x:c>
      <x:c r="G3" s="1931">
        <x:f t="shared" si="0"/>
      </x:c>
      <x:c r="H3" s="1931">
        <x:f t="shared" si="0"/>
      </x:c>
      <x:c r="I3" s="1931">
        <x:f t="shared" si="0"/>
      </x:c>
      <x:c r="J3" s="1931">
        <x:f t="shared" si="0"/>
      </x:c>
      <x:c r="K3" s="1923">
        <x:f t="shared" si="0"/>
      </x:c>
      <x:c r="L3" s="1923">
        <x:f t="shared" si="0"/>
      </x:c>
      <x:c r="M3" s="1923">
        <x:f t="shared" si="0"/>
      </x:c>
    </x:row>
    <x:row r="4" ht="24" customHeight="1">
      <x:c r="A4"/>
      <x:c r="B4" s="1923"/>
      <x:c r="C4" s="1923"/>
      <x:c r="D4" s="1923"/>
      <x:c r="E4" s="1923"/>
      <x:c r="F4" s="1923"/>
      <x:c r="G4" s="1923"/>
      <x:c r="H4" s="1923"/>
      <x:c r="I4" s="1923"/>
      <x:c r="J4" s="1923"/>
      <x:c r="K4" s="1923"/>
      <x:c r="L4" s="1923"/>
      <x:c r="M4" s="1923"/>
    </x:row>
    <x:row r="5" ht="38" customHeight="1">
      <x:c r="A5"/>
      <x:c r="B5" s="1932" t="str">
        <x:v>Cibles à évaluer</x:v>
      </x:c>
      <x:c r="C5" s="1932"/>
      <x:c r="D5" s="1932" t="str">
        <x:v>Cibles évaluées</x:v>
      </x:c>
      <x:c r="E5" s="1932"/>
      <x:c r="F5" s="1932" t="str">
        <x:v>Part évaluée</x:v>
      </x:c>
      <x:c r="G5" s="1932"/>
      <x:c r="H5" s="1937" t="str">
        <x:v>Urgentes ou prioritaires</x:v>
      </x:c>
      <x:c r="I5" s="1937"/>
      <x:c r="J5" s="1941" t="str">
        <x:v>Part des cibles atteintes</x:v>
      </x:c>
      <x:c r="K5" s="1941"/>
      <x:c r="L5" s="1946" t="str">
        <x:v>Priorités avec une action proposée</x:v>
      </x:c>
      <x:c r="M5" s="1946"/>
      <x:c r="AA5" t="str">
        <x:v>ONR</x:v>
      </x:c>
      <x:c r="AB5" t="str">
        <x:v>Score de priorité</x:v>
      </x:c>
      <x:c r="AC5" t="str">
        <x:v>Clé de classement</x:v>
      </x:c>
      <x:c r="AD5" t="str">
        <x:v>Cible</x:v>
      </x:c>
      <x:c r="AE5" t="str">
        <x:v>Texte de la cible</x:v>
      </x:c>
      <x:c r="AF5" t="str">
        <x:v>Importance</x:v>
      </x:c>
      <x:c r="AG5" t="str">
        <x:v>Niveau atteint</x:v>
      </x:c>
      <x:c r="AH5" t="str">
        <x:v>Compétences</x:v>
      </x:c>
      <x:c r="AI5" t="str">
        <x:v>Action proposée</x:v>
      </x:c>
      <x:c r="AJ5" t="str">
        <x:v>Action renseignée</x:v>
      </x:c>
      <x:c r="AK5" t="str">
        <x:v>Justification renseignée</x:v>
      </x:c>
      <x:c r="AL5" t="str">
        <x:v>Note hors échelle</x:v>
      </x:c>
      <x:c r="AM5" t="str">
        <x:v>Justification manquante</x:v>
      </x:c>
      <x:c r="AN5" t="str">
        <x:v>Ligne source</x:v>
      </x:c>
      <x:c r="AO5" t="str">
        <x:v>Applicabilité</x:v>
      </x:c>
      <x:c r="AP5" t="str">
        <x:v>Compétences à préciser</x:v>
      </x:c>
      <x:c r="AQ5" t="str">
        <x:v>Priorité sans action</x:v>
      </x:c>
      <x:c r="AR5" t="str">
        <x:v>Cible évaluée</x:v>
      </x:c>
    </x:row>
    <x:row r="6" ht="38" customHeight="1">
      <x:c r="A6"/>
      <x:c r="B6" s="1933" t="n">
        <x:f>E16</x:f>
        <x:v>32</x:v>
      </x:c>
      <x:c r="C6" s="1933"/>
      <x:c r="D6" s="1933" t="n">
        <x:f>D16</x:f>
        <x:v>0</x:v>
      </x:c>
      <x:c r="E6" s="1933"/>
      <x:c r="F6" s="1934" t="n">
        <x:f>F16</x:f>
        <x:v>0</x:v>
      </x:c>
      <x:c r="G6" s="1933"/>
      <x:c r="H6" s="1938" t="n">
        <x:f>H16+I16</x:f>
        <x:v>0</x:v>
      </x:c>
      <x:c r="I6" s="1938"/>
      <x:c r="J6" s="1943" t="n">
        <x:f>J16</x:f>
        <x:v>0</x:v>
      </x:c>
      <x:c r="K6" s="1942"/>
      <x:c r="L6" s="1948" t="n">
        <x:f>K16</x:f>
        <x:v>0</x:v>
      </x:c>
      <x:c r="M6" s="1947"/>
      <x:c r="AA6" t="n">
        <x:v>1</x:v>
      </x:c>
      <x:c r="AB6" t="str">
        <x:f>IF(ISNUMBER('Résultats détaillés'!T5),'Résultats détaillés'!T5,"")</x:f>
      </x:c>
      <x:c r="AC6" t="n">
        <x:f>IF(AND(ISNUMBER(AB6),AB6&gt;=5),AB6*100+32,0)</x:f>
        <x:v>0</x:v>
      </x:c>
      <x:c r="AD6" t="str">
        <x:f>IF(ISBLANK('Résultats détaillés'!B5),"",'Résultats détaillés'!B5)</x:f>
        <x:v>1.1</x:v>
      </x:c>
      <x:c r="AE6" t="str">
        <x:f>IF(ISBLANK('Résultats détaillés'!C5),"",'Résultats détaillés'!C5)</x:f>
        <x:v>Prendre en compte toute la vie des équipements et des logiciels de la collectivité, de l'achat à la fin de vie, y compris ceux des écoles et des services aux habitants.</x:v>
      </x:c>
      <x:c r="AF6" t="str">
        <x:f>IF(ISBLANK('Résultats détaillés'!E5),"",'Résultats détaillés'!E5)</x:f>
      </x:c>
      <x:c r="AG6" t="str">
        <x:f>IF(ISBLANK('Résultats détaillés'!F5),"",'Résultats détaillés'!F5)</x:f>
      </x:c>
      <x:c r="AH6" t="n">
        <x:f>IF(ISNUMBER('Résultats détaillés'!H5),IF(AND('Résultats détaillés'!H5&gt;=1,'Résultats détaillés'!H5&lt;=4,MOD('Résultats détaillés'!H5,1)=0),'Résultats détaillés'!H5,0),0)</x:f>
        <x:v>0</x:v>
      </x:c>
      <x:c r="AI6" t="str">
        <x:f>IF(ISBLANK('Résultats détaillés'!W5),"",'Résultats détaillés'!W5)</x:f>
      </x:c>
      <x:c r="AJ6" t="n">
        <x:f>IF(LEN(TRIM(AI6))&gt;0,1,0)</x:f>
        <x:v>0</x:v>
      </x:c>
      <x:c r="AK6" t="n">
        <x:f>IF(LEN(TRIM('Résultats détaillés'!G5))&gt;0,1,0)</x:f>
        <x:v>0</x:v>
      </x:c>
      <x:c r="AL6" t="n">
        <x:f>IF(OR(IF(LEN('Résultats détaillés'!E5)=0,FALSE,NOT(IF(ISNUMBER('Résultats détaillés'!E5),AND('Résultats détaillés'!E5&gt;=0,'Résultats détaillés'!E5&lt;=3,MOD('Résultats détaillés'!E5,1)=0),FALSE))),IF(LEN('Résultats détaillés'!F5)=0,FALSE,NOT(IF(ISNUMBER('Résultats détaillés'!F5),AND('Résultats détaillés'!F5&gt;=1,'Résultats détaillés'!F5&lt;=4,MOD('Résultats détaillés'!F5,1)=0),FALSE))),IF(LEN('Résultats détaillés'!H5)=0,FALSE,NOT(IF(ISNUMBER('Résultats détaillés'!H5),AND('Résultats détaillés'!H5&gt;=1,'Résultats détaillés'!H5&lt;=4,MOD('Résultats détaillés'!H5,1)=0),FALSE)))),1,0)</x:f>
        <x:v>0</x:v>
      </x:c>
      <x:c r="AM6" t="n">
        <x:f>IF(AND(ISNUMBER(AB6),AB6&gt;0,AK6=0),1,0)</x:f>
        <x:v>0</x:v>
      </x:c>
      <x:c r="AN6" t="n">
        <x:v>5</x:v>
      </x:c>
      <x:c r="AO6" t="n">
        <x:f>IF(AND(ISNUMBER(AB6),AB6&gt;0),1,0)</x:f>
        <x:v>0</x:v>
      </x:c>
      <x:c r="AP6" t="n">
        <x:f>IF(AND(AC6&gt;0,AH6=0),1,0)</x:f>
        <x:v>0</x:v>
      </x:c>
      <x:c r="AQ6" t="n">
        <x:f>IF(AND(AC6&gt;0,AJ6=0),1,0)</x:f>
        <x:v>0</x:v>
      </x:c>
      <x:c r="AR6" t="n">
        <x:f>IF(ISNUMBER(AB6),1,0)</x:f>
        <x:v>0</x:v>
      </x:c>
    </x:row>
    <x:row r="7" ht="24" customHeight="1">
      <x:c r="A7"/>
      <x:c r="B7" s="1949" t="str">
        <x:v>Les taux d’atteinte portent sur les cibles applicables évaluées. Une action proposée ne signifie pas qu’elle a été réalisée.</x:v>
      </x:c>
      <x:c r="C7" s="1949"/>
      <x:c r="D7" s="1949"/>
      <x:c r="E7" s="1949"/>
      <x:c r="F7" s="1949"/>
      <x:c r="G7" s="1949"/>
      <x:c r="H7" s="1949"/>
      <x:c r="I7" s="1949"/>
      <x:c r="J7" s="1949"/>
      <x:c r="K7" s="1949"/>
      <x:c r="L7" s="1949"/>
      <x:c r="M7" s="1949"/>
      <x:c r="AA7" t="n">
        <x:v>1</x:v>
      </x:c>
      <x:c r="AB7" t="str">
        <x:f>IF(ISNUMBER('Résultats détaillés'!T6),'Résultats détaillés'!T6,"")</x:f>
      </x:c>
      <x:c r="AC7" t="n">
        <x:f>IF(AND(ISNUMBER(AB7),AB7&gt;=5),AB7*100+31,0)</x:f>
        <x:v>0</x:v>
      </x:c>
      <x:c r="AD7" t="str">
        <x:f>IF(ISBLANK('Résultats détaillés'!B6),"",'Résultats détaillés'!B6)</x:f>
        <x:v>1.2</x:v>
      </x:c>
      <x:c r="AE7" t="str">
        <x:f>IF(ISBLANK('Résultats détaillés'!C6),"",'Résultats détaillés'!C6)</x:f>
        <x:v>Utiliser plus longtemps les équipements des agents, des élus et des écoles, même après leur amortissement, en organisant leur réparation et leur réaffectation entre services.</x:v>
      </x:c>
      <x:c r="AF7" t="str">
        <x:f>IF(ISBLANK('Résultats détaillés'!E6),"",'Résultats détaillés'!E6)</x:f>
      </x:c>
      <x:c r="AG7" t="str">
        <x:f>IF(ISBLANK('Résultats détaillés'!F6),"",'Résultats détaillés'!F6)</x:f>
      </x:c>
      <x:c r="AH7" t="n">
        <x:f>IF(ISNUMBER('Résultats détaillés'!H6),IF(AND('Résultats détaillés'!H6&gt;=1,'Résultats détaillés'!H6&lt;=4,MOD('Résultats détaillés'!H6,1)=0),'Résultats détaillés'!H6,0),0)</x:f>
        <x:v>0</x:v>
      </x:c>
      <x:c r="AI7" t="str">
        <x:f>IF(ISBLANK('Résultats détaillés'!W6),"",'Résultats détaillés'!W6)</x:f>
      </x:c>
      <x:c r="AJ7" t="n">
        <x:f>IF(LEN(TRIM(AI7))&gt;0,1,0)</x:f>
        <x:v>0</x:v>
      </x:c>
      <x:c r="AK7" t="n">
        <x:f>IF(LEN(TRIM('Résultats détaillés'!G6))&gt;0,1,0)</x:f>
        <x:v>0</x:v>
      </x:c>
      <x:c r="AL7" t="n">
        <x:f>IF(OR(IF(LEN('Résultats détaillés'!E6)=0,FALSE,NOT(IF(ISNUMBER('Résultats détaillés'!E6),AND('Résultats détaillés'!E6&gt;=0,'Résultats détaillés'!E6&lt;=3,MOD('Résultats détaillés'!E6,1)=0),FALSE))),IF(LEN('Résultats détaillés'!F6)=0,FALSE,NOT(IF(ISNUMBER('Résultats détaillés'!F6),AND('Résultats détaillés'!F6&gt;=1,'Résultats détaillés'!F6&lt;=4,MOD('Résultats détaillés'!F6,1)=0),FALSE))),IF(LEN('Résultats détaillés'!H6)=0,FALSE,NOT(IF(ISNUMBER('Résultats détaillés'!H6),AND('Résultats détaillés'!H6&gt;=1,'Résultats détaillés'!H6&lt;=4,MOD('Résultats détaillés'!H6,1)=0),FALSE)))),1,0)</x:f>
        <x:v>0</x:v>
      </x:c>
      <x:c r="AM7" t="n">
        <x:f>IF(AND(ISNUMBER(AB7),AB7&gt;0,AK7=0),1,0)</x:f>
        <x:v>0</x:v>
      </x:c>
      <x:c r="AN7" t="n">
        <x:v>6</x:v>
      </x:c>
      <x:c r="AO7" t="n">
        <x:f>IF(AND(ISNUMBER(AB7),AB7&gt;0),1,0)</x:f>
        <x:v>0</x:v>
      </x:c>
      <x:c r="AP7" t="n">
        <x:f>IF(AND(AC7&gt;0,AH7=0),1,0)</x:f>
        <x:v>0</x:v>
      </x:c>
      <x:c r="AQ7" t="n">
        <x:f>IF(AND(AC7&gt;0,AJ7=0),1,0)</x:f>
        <x:v>0</x:v>
      </x:c>
      <x:c r="AR7" t="n">
        <x:f>IF(ISNUMBER(AB7),1,0)</x:f>
        <x:v>0</x:v>
      </x:c>
    </x:row>
    <x:row r="8" ht="24" customHeight="1">
      <x:c r="A8"/>
      <x:c r="B8" s="1923"/>
      <x:c r="C8" s="1923"/>
      <x:c r="D8" s="1923"/>
      <x:c r="E8" s="1923"/>
      <x:c r="F8" s="1923"/>
      <x:c r="G8" s="1923"/>
      <x:c r="H8" s="1923"/>
      <x:c r="I8" s="1923"/>
      <x:c r="J8" s="1923"/>
      <x:c r="K8" s="1923"/>
      <x:c r="L8" s="1923"/>
      <x:c r="M8" s="1923"/>
      <x:c r="AA8" t="n">
        <x:v>1</x:v>
      </x:c>
      <x:c r="AB8" t="str">
        <x:f>IF(ISNUMBER('Résultats détaillés'!T7),'Résultats détaillés'!T7,"")</x:f>
      </x:c>
      <x:c r="AC8" t="n">
        <x:f>IF(AND(ISNUMBER(AB8),AB8&gt;=5),AB8*100+30,0)</x:f>
        <x:v>0</x:v>
      </x:c>
      <x:c r="AD8" t="str">
        <x:f>IF(ISBLANK('Résultats détaillés'!B7),"",'Résultats détaillés'!B7)</x:f>
        <x:v>1.3</x:v>
      </x:c>
      <x:c r="AE8" t="str">
        <x:f>IF(ISBLANK('Résultats détaillés'!C7),"",'Résultats détaillés'!C7)</x:f>
        <x:v>Concevoir des sites, des téléservices et des applications de la collectivité qui limitent leurs effets sur l'environnement, en suivant le RGESN, et choisir des technologies qui contribuent aux ODD.</x:v>
      </x:c>
      <x:c r="AF8" t="str">
        <x:f>IF(ISBLANK('Résultats détaillés'!E7),"",'Résultats détaillés'!E7)</x:f>
      </x:c>
      <x:c r="AG8" t="str">
        <x:f>IF(ISBLANK('Résultats détaillés'!F7),"",'Résultats détaillés'!F7)</x:f>
      </x:c>
      <x:c r="AH8" t="n">
        <x:f>IF(ISNUMBER('Résultats détaillés'!H7),IF(AND('Résultats détaillés'!H7&gt;=1,'Résultats détaillés'!H7&lt;=4,MOD('Résultats détaillés'!H7,1)=0),'Résultats détaillés'!H7,0),0)</x:f>
        <x:v>0</x:v>
      </x:c>
      <x:c r="AI8" t="str">
        <x:f>IF(ISBLANK('Résultats détaillés'!W7),"",'Résultats détaillés'!W7)</x:f>
      </x:c>
      <x:c r="AJ8" t="n">
        <x:f>IF(LEN(TRIM(AI8))&gt;0,1,0)</x:f>
        <x:v>0</x:v>
      </x:c>
      <x:c r="AK8" t="n">
        <x:f>IF(LEN(TRIM('Résultats détaillés'!G7))&gt;0,1,0)</x:f>
        <x:v>0</x:v>
      </x:c>
      <x:c r="AL8" t="n">
        <x:f>IF(OR(IF(LEN('Résultats détaillés'!E7)=0,FALSE,NOT(IF(ISNUMBER('Résultats détaillés'!E7),AND('Résultats détaillés'!E7&gt;=0,'Résultats détaillés'!E7&lt;=3,MOD('Résultats détaillés'!E7,1)=0),FALSE))),IF(LEN('Résultats détaillés'!F7)=0,FALSE,NOT(IF(ISNUMBER('Résultats détaillés'!F7),AND('Résultats détaillés'!F7&gt;=1,'Résultats détaillés'!F7&lt;=4,MOD('Résultats détaillés'!F7,1)=0),FALSE))),IF(LEN('Résultats détaillés'!H7)=0,FALSE,NOT(IF(ISNUMBER('Résultats détaillés'!H7),AND('Résultats détaillés'!H7&gt;=1,'Résultats détaillés'!H7&lt;=4,MOD('Résultats détaillés'!H7,1)=0),FALSE)))),1,0)</x:f>
        <x:v>0</x:v>
      </x:c>
      <x:c r="AM8" t="n">
        <x:f>IF(AND(ISNUMBER(AB8),AB8&gt;0,AK8=0),1,0)</x:f>
        <x:v>0</x:v>
      </x:c>
      <x:c r="AN8" t="n">
        <x:v>7</x:v>
      </x:c>
      <x:c r="AO8" t="n">
        <x:f>IF(AND(ISNUMBER(AB8),AB8&gt;0),1,0)</x:f>
        <x:v>0</x:v>
      </x:c>
      <x:c r="AP8" t="n">
        <x:f>IF(AND(AC8&gt;0,AH8=0),1,0)</x:f>
        <x:v>0</x:v>
      </x:c>
      <x:c r="AQ8" t="n">
        <x:f>IF(AND(AC8&gt;0,AJ8=0),1,0)</x:f>
        <x:v>0</x:v>
      </x:c>
      <x:c r="AR8" t="n">
        <x:f>IF(ISNUMBER(AB8),1,0)</x:f>
        <x:v>0</x:v>
      </x:c>
    </x:row>
    <x:row r="9" s="1211" customFormat="1" ht="30" customHeight="1">
      <x:c r="A9"/>
      <x:c r="B9" s="1950" t="str">
        <x:v>Comparaison des cinq ONR</x:v>
      </x:c>
      <x:c r="C9" s="1951"/>
      <x:c r="D9" s="1951"/>
      <x:c r="E9" s="1951"/>
      <x:c r="F9" s="1951"/>
      <x:c r="G9" s="1951"/>
      <x:c r="H9" s="1951"/>
      <x:c r="I9" s="1951"/>
      <x:c r="J9" s="1951"/>
      <x:c r="K9" s="1951"/>
      <x:c r="L9" s="1951"/>
      <x:c r="M9" s="1952"/>
      <x:c r="AA9" t="n">
        <x:v>1</x:v>
      </x:c>
      <x:c r="AB9" t="str">
        <x:f>IF(ISNUMBER('Résultats détaillés'!T8),'Résultats détaillés'!T8,"")</x:f>
      </x:c>
      <x:c r="AC9" t="n">
        <x:f>IF(AND(ISNUMBER(AB9),AB9&gt;=5),AB9*100+29,0)</x:f>
        <x:v>0</x:v>
      </x:c>
      <x:c r="AD9" t="str">
        <x:f>IF(ISBLANK('Résultats détaillés'!B8),"",'Résultats détaillés'!B8)</x:f>
        <x:v>1.4</x:v>
      </x:c>
      <x:c r="AE9" t="str">
        <x:f>IF(ISBLANK('Résultats détaillés'!C8),"",'Résultats détaillés'!C8)</x:f>
        <x:v>Adopter, dans les services et les assemblées, des pratiques qui consomment moins de matériel, d'énergie, de papier et d'impressions.</x:v>
      </x:c>
      <x:c r="AF9" t="str">
        <x:f>IF(ISBLANK('Résultats détaillés'!E8),"",'Résultats détaillés'!E8)</x:f>
      </x:c>
      <x:c r="AG9" t="str">
        <x:f>IF(ISBLANK('Résultats détaillés'!F8),"",'Résultats détaillés'!F8)</x:f>
      </x:c>
      <x:c r="AH9" t="n">
        <x:f>IF(ISNUMBER('Résultats détaillés'!H8),IF(AND('Résultats détaillés'!H8&gt;=1,'Résultats détaillés'!H8&lt;=4,MOD('Résultats détaillés'!H8,1)=0),'Résultats détaillés'!H8,0),0)</x:f>
        <x:v>0</x:v>
      </x:c>
      <x:c r="AI9" t="str">
        <x:f>IF(ISBLANK('Résultats détaillés'!W8),"",'Résultats détaillés'!W8)</x:f>
      </x:c>
      <x:c r="AJ9" t="n">
        <x:f>IF(LEN(TRIM(AI9))&gt;0,1,0)</x:f>
        <x:v>0</x:v>
      </x:c>
      <x:c r="AK9" t="n">
        <x:f>IF(LEN(TRIM('Résultats détaillés'!G8))&gt;0,1,0)</x:f>
        <x:v>0</x:v>
      </x:c>
      <x:c r="AL9" t="n">
        <x:f>IF(OR(IF(LEN('Résultats détaillés'!E8)=0,FALSE,NOT(IF(ISNUMBER('Résultats détaillés'!E8),AND('Résultats détaillés'!E8&gt;=0,'Résultats détaillés'!E8&lt;=3,MOD('Résultats détaillés'!E8,1)=0),FALSE))),IF(LEN('Résultats détaillés'!F8)=0,FALSE,NOT(IF(ISNUMBER('Résultats détaillés'!F8),AND('Résultats détaillés'!F8&gt;=1,'Résultats détaillés'!F8&lt;=4,MOD('Résultats détaillés'!F8,1)=0),FALSE))),IF(LEN('Résultats détaillés'!H8)=0,FALSE,NOT(IF(ISNUMBER('Résultats détaillés'!H8),AND('Résultats détaillés'!H8&gt;=1,'Résultats détaillés'!H8&lt;=4,MOD('Résultats détaillés'!H8,1)=0),FALSE)))),1,0)</x:f>
        <x:v>0</x:v>
      </x:c>
      <x:c r="AM9" t="n">
        <x:f>IF(AND(ISNUMBER(AB9),AB9&gt;0,AK9=0),1,0)</x:f>
        <x:v>0</x:v>
      </x:c>
      <x:c r="AN9" t="n">
        <x:v>8</x:v>
      </x:c>
      <x:c r="AO9" t="n">
        <x:f>IF(AND(ISNUMBER(AB9),AB9&gt;0),1,0)</x:f>
        <x:v>0</x:v>
      </x:c>
      <x:c r="AP9" t="n">
        <x:f>IF(AND(AC9&gt;0,AH9=0),1,0)</x:f>
        <x:v>0</x:v>
      </x:c>
      <x:c r="AQ9" t="n">
        <x:f>IF(AND(AC9&gt;0,AJ9=0),1,0)</x:f>
        <x:v>0</x:v>
      </x:c>
      <x:c r="AR9" t="n">
        <x:f>IF(ISNUMBER(AB9),1,0)</x:f>
        <x:v>0</x:v>
      </x:c>
    </x:row>
    <x:row r="10" s="1211" customFormat="1" ht="58" customHeight="1">
      <x:c r="A10"/>
      <x:c r="B10" s="1957" t="str">
        <x:v>ONR</x:v>
      </x:c>
      <x:c r="C10" s="1957" t="str">
        <x:v>Total</x:v>
      </x:c>
      <x:c r="D10" s="1957" t="str">
        <x:v>Évaluées</x:v>
      </x:c>
      <x:c r="E10" s="1957" t="str">
        <x:v>À évaluer</x:v>
      </x:c>
      <x:c r="F10" s="1957" t="str">
        <x:v>Part évaluée</x:v>
      </x:c>
      <x:c r="G10" s="1958" t="str">
        <x:v>Applicables évaluées</x:v>
      </x:c>
      <x:c r="H10" s="1959" t="str">
        <x:v>Urgentes</x:v>
      </x:c>
      <x:c r="I10" s="1959" t="str">
        <x:v>Prioritaires</x:v>
      </x:c>
      <x:c r="J10" s="1958" t="str">
        <x:v>Part atteinte</x:v>
      </x:c>
      <x:c r="K10" s="1960" t="str">
        <x:v>Priorités avec action</x:v>
      </x:c>
      <x:c r="L10" s="1960" t="str">
        <x:v>Priorités sans action</x:v>
      </x:c>
      <x:c r="M10" s="1957" t="str">
        <x:v>Part prioritaire</x:v>
      </x:c>
      <x:c r="AA10" t="n">
        <x:v>1</x:v>
      </x:c>
      <x:c r="AB10" t="str">
        <x:f>IF(ISNUMBER('Résultats détaillés'!T9),'Résultats détaillés'!T9,"")</x:f>
      </x:c>
      <x:c r="AC10" t="n">
        <x:f>IF(AND(ISNUMBER(AB10),AB10&gt;=5),AB10*100+28,0)</x:f>
        <x:v>0</x:v>
      </x:c>
      <x:c r="AD10" t="str">
        <x:f>IF(ISBLANK('Résultats détaillés'!B9),"",'Résultats détaillés'!B9)</x:f>
        <x:v>1.5</x:v>
      </x:c>
      <x:c r="AE10" t="str">
        <x:f>IF(ISBLANK('Résultats détaillés'!C9),"",'Résultats détaillés'!C9)</x:f>
        <x:v>Confier les équipements en fin d'usage à des structures locales de réemploi et de l'économie sociale et solidaire, et suivre ce qu'ils deviennent.</x:v>
      </x:c>
      <x:c r="AF10" t="str">
        <x:f>IF(ISBLANK('Résultats détaillés'!E9),"",'Résultats détaillés'!E9)</x:f>
      </x:c>
      <x:c r="AG10" t="str">
        <x:f>IF(ISBLANK('Résultats détaillés'!F9),"",'Résultats détaillés'!F9)</x:f>
      </x:c>
      <x:c r="AH10" t="n">
        <x:f>IF(ISNUMBER('Résultats détaillés'!H9),IF(AND('Résultats détaillés'!H9&gt;=1,'Résultats détaillés'!H9&lt;=4,MOD('Résultats détaillés'!H9,1)=0),'Résultats détaillés'!H9,0),0)</x:f>
        <x:v>0</x:v>
      </x:c>
      <x:c r="AI10" t="str">
        <x:f>IF(ISBLANK('Résultats détaillés'!W9),"",'Résultats détaillés'!W9)</x:f>
      </x:c>
      <x:c r="AJ10" t="n">
        <x:f>IF(LEN(TRIM(AI10))&gt;0,1,0)</x:f>
        <x:v>0</x:v>
      </x:c>
      <x:c r="AK10" t="n">
        <x:f>IF(LEN(TRIM('Résultats détaillés'!G9))&gt;0,1,0)</x:f>
        <x:v>0</x:v>
      </x:c>
      <x:c r="AL10" t="n">
        <x:f>IF(OR(IF(LEN('Résultats détaillés'!E9)=0,FALSE,NOT(IF(ISNUMBER('Résultats détaillés'!E9),AND('Résultats détaillés'!E9&gt;=0,'Résultats détaillés'!E9&lt;=3,MOD('Résultats détaillés'!E9,1)=0),FALSE))),IF(LEN('Résultats détaillés'!F9)=0,FALSE,NOT(IF(ISNUMBER('Résultats détaillés'!F9),AND('Résultats détaillés'!F9&gt;=1,'Résultats détaillés'!F9&lt;=4,MOD('Résultats détaillés'!F9,1)=0),FALSE))),IF(LEN('Résultats détaillés'!H9)=0,FALSE,NOT(IF(ISNUMBER('Résultats détaillés'!H9),AND('Résultats détaillés'!H9&gt;=1,'Résultats détaillés'!H9&lt;=4,MOD('Résultats détaillés'!H9,1)=0),FALSE)))),1,0)</x:f>
        <x:v>0</x:v>
      </x:c>
      <x:c r="AM10" t="n">
        <x:f>IF(AND(ISNUMBER(AB10),AB10&gt;0,AK10=0),1,0)</x:f>
        <x:v>0</x:v>
      </x:c>
      <x:c r="AN10" t="n">
        <x:v>9</x:v>
      </x:c>
      <x:c r="AO10" t="n">
        <x:f>IF(AND(ISNUMBER(AB10),AB10&gt;0),1,0)</x:f>
        <x:v>0</x:v>
      </x:c>
      <x:c r="AP10" t="n">
        <x:f>IF(AND(AC10&gt;0,AH10=0),1,0)</x:f>
        <x:v>0</x:v>
      </x:c>
      <x:c r="AQ10" t="n">
        <x:f>IF(AND(AC10&gt;0,AJ10=0),1,0)</x:f>
        <x:v>0</x:v>
      </x:c>
      <x:c r="AR10" t="n">
        <x:f>IF(ISNUMBER(AB10),1,0)</x:f>
        <x:v>0</x:v>
      </x:c>
    </x:row>
    <x:row r="11" s="1211" customFormat="1" ht="32" customHeight="1">
      <x:c r="A11"/>
      <x:c r="B11" s="1972" t="str">
        <x:v>1. Sobriété</x:v>
      </x:c>
      <x:c r="C11" s="1973" t="n">
        <x:f>'Résultats détaillés'!AC4</x:f>
        <x:v>8</x:v>
      </x:c>
      <x:c r="D11" s="1973" t="n">
        <x:f>'Résultats détaillés'!AD4</x:f>
        <x:v>0</x:v>
      </x:c>
      <x:c r="E11" s="1973" t="n">
        <x:f>C11-D11</x:f>
        <x:v>8</x:v>
      </x:c>
      <x:c r="F11" s="1983" t="n">
        <x:f>D11/C11</x:f>
        <x:v>0</x:v>
      </x:c>
      <x:c r="G11" s="1973" t="n">
        <x:f>SUMIFS($AO$6:$AO$37,$AA$6:$AA$37,1)</x:f>
        <x:v>0</x:v>
      </x:c>
      <x:c r="H11" s="1973" t="n">
        <x:f>'Résultats détaillés'!AF4</x:f>
        <x:v>0</x:v>
      </x:c>
      <x:c r="I11" s="1973" t="n">
        <x:f>'Résultats détaillés'!AG4</x:f>
        <x:v>0</x:v>
      </x:c>
      <x:c r="J11" s="1983" t="str">
        <x:f>IF(G11=0,"",COUNTIFS($AA$6:$AA$37,1,$AO$6:$AO$37,1,$AG$6:$AG$37,4)/G11)</x:f>
      </x:c>
      <x:c r="K11" s="1983" t="str">
        <x:f>IF(H11+I11=0,"",SUMIFS($AJ$6:$AJ$37,$AA$6:$AA$37,1,$AC$6:$AC$37,"&gt;0")/(H11+I11))</x:f>
      </x:c>
      <x:c r="L11" s="1973" t="n">
        <x:f>SUMIFS($AQ$6:$AQ$37,$AA$6:$AA$37,1)</x:f>
        <x:v>0</x:v>
      </x:c>
      <x:c r="M11" s="1983" t="str">
        <x:f>IF(G11=0,"",(H11+I11)/G11)</x:f>
      </x:c>
      <x:c r="AA11" t="n">
        <x:v>1</x:v>
      </x:c>
      <x:c r="AB11" t="str">
        <x:f>IF(ISNUMBER('Résultats détaillés'!T10),'Résultats détaillés'!T10,"")</x:f>
      </x:c>
      <x:c r="AC11" t="n">
        <x:f>IF(AND(ISNUMBER(AB11),AB11&gt;=5),AB11*100+27,0)</x:f>
        <x:v>0</x:v>
      </x:c>
      <x:c r="AD11" t="str">
        <x:f>IF(ISBLANK('Résultats détaillés'!B10),"",'Résultats détaillés'!B10)</x:f>
        <x:v>1.6</x:v>
      </x:c>
      <x:c r="AE11" t="str">
        <x:f>IF(ISBLANK('Résultats détaillés'!C10),"",'Résultats détaillés'!C10)</x:f>
        <x:v>Alimenter les bâtiments, les salles serveurs et les services hébergés avec des énergies renouvelables, et favoriser leur production sur le territoire.</x:v>
      </x:c>
      <x:c r="AF11" t="str">
        <x:f>IF(ISBLANK('Résultats détaillés'!E10),"",'Résultats détaillés'!E10)</x:f>
      </x:c>
      <x:c r="AG11" t="str">
        <x:f>IF(ISBLANK('Résultats détaillés'!F10),"",'Résultats détaillés'!F10)</x:f>
      </x:c>
      <x:c r="AH11" t="n">
        <x:f>IF(ISNUMBER('Résultats détaillés'!H10),IF(AND('Résultats détaillés'!H10&gt;=1,'Résultats détaillés'!H10&lt;=4,MOD('Résultats détaillés'!H10,1)=0),'Résultats détaillés'!H10,0),0)</x:f>
        <x:v>0</x:v>
      </x:c>
      <x:c r="AI11" t="str">
        <x:f>IF(ISBLANK('Résultats détaillés'!W10),"",'Résultats détaillés'!W10)</x:f>
      </x:c>
      <x:c r="AJ11" t="n">
        <x:f>IF(LEN(TRIM(AI11))&gt;0,1,0)</x:f>
        <x:v>0</x:v>
      </x:c>
      <x:c r="AK11" t="n">
        <x:f>IF(LEN(TRIM('Résultats détaillés'!G10))&gt;0,1,0)</x:f>
        <x:v>0</x:v>
      </x:c>
      <x:c r="AL11" t="n">
        <x:f>IF(OR(IF(LEN('Résultats détaillés'!E10)=0,FALSE,NOT(IF(ISNUMBER('Résultats détaillés'!E10),AND('Résultats détaillés'!E10&gt;=0,'Résultats détaillés'!E10&lt;=3,MOD('Résultats détaillés'!E10,1)=0),FALSE))),IF(LEN('Résultats détaillés'!F10)=0,FALSE,NOT(IF(ISNUMBER('Résultats détaillés'!F10),AND('Résultats détaillés'!F10&gt;=1,'Résultats détaillés'!F10&lt;=4,MOD('Résultats détaillés'!F10,1)=0),FALSE))),IF(LEN('Résultats détaillés'!H10)=0,FALSE,NOT(IF(ISNUMBER('Résultats détaillés'!H10),AND('Résultats détaillés'!H10&gt;=1,'Résultats détaillés'!H10&lt;=4,MOD('Résultats détaillés'!H10,1)=0),FALSE)))),1,0)</x:f>
        <x:v>0</x:v>
      </x:c>
      <x:c r="AM11" t="n">
        <x:f>IF(AND(ISNUMBER(AB11),AB11&gt;0,AK11=0),1,0)</x:f>
        <x:v>0</x:v>
      </x:c>
      <x:c r="AN11" t="n">
        <x:v>10</x:v>
      </x:c>
      <x:c r="AO11" t="n">
        <x:f>IF(AND(ISNUMBER(AB11),AB11&gt;0),1,0)</x:f>
        <x:v>0</x:v>
      </x:c>
      <x:c r="AP11" t="n">
        <x:f>IF(AND(AC11&gt;0,AH11=0),1,0)</x:f>
        <x:v>0</x:v>
      </x:c>
      <x:c r="AQ11" t="n">
        <x:f>IF(AND(AC11&gt;0,AJ11=0),1,0)</x:f>
        <x:v>0</x:v>
      </x:c>
      <x:c r="AR11" t="n">
        <x:f>IF(ISNUMBER(AB11),1,0)</x:f>
        <x:v>0</x:v>
      </x:c>
    </x:row>
    <x:row r="12" s="1211" customFormat="1" ht="32" customHeight="1">
      <x:c r="A12"/>
      <x:c r="B12" s="1974" t="str">
        <x:v>2. Inclusion</x:v>
      </x:c>
      <x:c r="C12" s="1973" t="n">
        <x:f>'Résultats détaillés'!AC13</x:f>
        <x:v>5</x:v>
      </x:c>
      <x:c r="D12" s="1973" t="n">
        <x:f>'Résultats détaillés'!AD13</x:f>
        <x:v>0</x:v>
      </x:c>
      <x:c r="E12" s="1973" t="n">
        <x:f>C12-D12</x:f>
        <x:v>5</x:v>
      </x:c>
      <x:c r="F12" s="1983" t="n">
        <x:f>D12/C12</x:f>
        <x:v>0</x:v>
      </x:c>
      <x:c r="G12" s="1973" t="n">
        <x:f>SUMIFS($AO$6:$AO$37,$AA$6:$AA$37,2)</x:f>
        <x:v>0</x:v>
      </x:c>
      <x:c r="H12" s="1973" t="n">
        <x:f>'Résultats détaillés'!AF13</x:f>
        <x:v>0</x:v>
      </x:c>
      <x:c r="I12" s="1973" t="n">
        <x:f>'Résultats détaillés'!AG13</x:f>
        <x:v>0</x:v>
      </x:c>
      <x:c r="J12" s="1983" t="str">
        <x:f>IF(G12=0,"",COUNTIFS($AA$6:$AA$37,2,$AO$6:$AO$37,1,$AG$6:$AG$37,4)/G12)</x:f>
      </x:c>
      <x:c r="K12" s="1983" t="str">
        <x:f>IF(H12+I12=0,"",SUMIFS($AJ$6:$AJ$37,$AA$6:$AA$37,2,$AC$6:$AC$37,"&gt;0")/(H12+I12))</x:f>
      </x:c>
      <x:c r="L12" s="1973" t="n">
        <x:f>SUMIFS($AQ$6:$AQ$37,$AA$6:$AA$37,2)</x:f>
        <x:v>0</x:v>
      </x:c>
      <x:c r="M12" s="1983" t="str">
        <x:f>IF(G12=0,"",(H12+I12)/G12)</x:f>
      </x:c>
      <x:c r="AA12" t="n">
        <x:v>1</x:v>
      </x:c>
      <x:c r="AB12" t="str">
        <x:f>IF(ISNUMBER('Résultats détaillés'!T11),'Résultats détaillés'!T11,"")</x:f>
      </x:c>
      <x:c r="AC12" t="n">
        <x:f>IF(AND(ISNUMBER(AB12),AB12&gt;=5),AB12*100+26,0)</x:f>
        <x:v>0</x:v>
      </x:c>
      <x:c r="AD12" t="str">
        <x:f>IF(ISBLANK('Résultats détaillés'!B11),"",'Résultats détaillés'!B11)</x:f>
        <x:v>1.7</x:v>
      </x:c>
      <x:c r="AE12" t="str">
        <x:f>IF(ISBLANK('Résultats détaillés'!C11),"",'Résultats détaillés'!C11)</x:f>
        <x:v>Réserver l'intelligence artificielle aux besoins du service public qui la justifient, et choisir des solutions sobres.</x:v>
      </x:c>
      <x:c r="AF12" t="str">
        <x:f>IF(ISBLANK('Résultats détaillés'!E11),"",'Résultats détaillés'!E11)</x:f>
      </x:c>
      <x:c r="AG12" t="str">
        <x:f>IF(ISBLANK('Résultats détaillés'!F11),"",'Résultats détaillés'!F11)</x:f>
      </x:c>
      <x:c r="AH12" t="n">
        <x:f>IF(ISNUMBER('Résultats détaillés'!H11),IF(AND('Résultats détaillés'!H11&gt;=1,'Résultats détaillés'!H11&lt;=4,MOD('Résultats détaillés'!H11,1)=0),'Résultats détaillés'!H11,0),0)</x:f>
        <x:v>0</x:v>
      </x:c>
      <x:c r="AI12" t="str">
        <x:f>IF(ISBLANK('Résultats détaillés'!W11),"",'Résultats détaillés'!W11)</x:f>
      </x:c>
      <x:c r="AJ12" t="n">
        <x:f>IF(LEN(TRIM(AI12))&gt;0,1,0)</x:f>
        <x:v>0</x:v>
      </x:c>
      <x:c r="AK12" t="n">
        <x:f>IF(LEN(TRIM('Résultats détaillés'!G11))&gt;0,1,0)</x:f>
        <x:v>0</x:v>
      </x:c>
      <x:c r="AL12" t="n">
        <x:f>IF(OR(IF(LEN('Résultats détaillés'!E11)=0,FALSE,NOT(IF(ISNUMBER('Résultats détaillés'!E11),AND('Résultats détaillés'!E11&gt;=0,'Résultats détaillés'!E11&lt;=3,MOD('Résultats détaillés'!E11,1)=0),FALSE))),IF(LEN('Résultats détaillés'!F11)=0,FALSE,NOT(IF(ISNUMBER('Résultats détaillés'!F11),AND('Résultats détaillés'!F11&gt;=1,'Résultats détaillés'!F11&lt;=4,MOD('Résultats détaillés'!F11,1)=0),FALSE))),IF(LEN('Résultats détaillés'!H11)=0,FALSE,NOT(IF(ISNUMBER('Résultats détaillés'!H11),AND('Résultats détaillés'!H11&gt;=1,'Résultats détaillés'!H11&lt;=4,MOD('Résultats détaillés'!H11,1)=0),FALSE)))),1,0)</x:f>
        <x:v>0</x:v>
      </x:c>
      <x:c r="AM12" t="n">
        <x:f>IF(AND(ISNUMBER(AB12),AB12&gt;0,AK12=0),1,0)</x:f>
        <x:v>0</x:v>
      </x:c>
      <x:c r="AN12" t="n">
        <x:v>11</x:v>
      </x:c>
      <x:c r="AO12" t="n">
        <x:f>IF(AND(ISNUMBER(AB12),AB12&gt;0),1,0)</x:f>
        <x:v>0</x:v>
      </x:c>
      <x:c r="AP12" t="n">
        <x:f>IF(AND(AC12&gt;0,AH12=0),1,0)</x:f>
        <x:v>0</x:v>
      </x:c>
      <x:c r="AQ12" t="n">
        <x:f>IF(AND(AC12&gt;0,AJ12=0),1,0)</x:f>
        <x:v>0</x:v>
      </x:c>
      <x:c r="AR12" t="n">
        <x:f>IF(ISNUMBER(AB12),1,0)</x:f>
        <x:v>0</x:v>
      </x:c>
    </x:row>
    <x:row r="13" s="1211" customFormat="1" ht="32" customHeight="1">
      <x:c r="A13"/>
      <x:c r="B13" s="1975" t="str">
        <x:v>3. RSE et éthique</x:v>
      </x:c>
      <x:c r="C13" s="1973" t="n">
        <x:f>'Résultats détaillés'!AC19</x:f>
        <x:v>8</x:v>
      </x:c>
      <x:c r="D13" s="1973" t="n">
        <x:f>'Résultats détaillés'!AD19</x:f>
        <x:v>0</x:v>
      </x:c>
      <x:c r="E13" s="1973" t="n">
        <x:f>C13-D13</x:f>
        <x:v>8</x:v>
      </x:c>
      <x:c r="F13" s="1983" t="n">
        <x:f>D13/C13</x:f>
        <x:v>0</x:v>
      </x:c>
      <x:c r="G13" s="1973" t="n">
        <x:f>SUMIFS($AO$6:$AO$37,$AA$6:$AA$37,3)</x:f>
        <x:v>0</x:v>
      </x:c>
      <x:c r="H13" s="1973" t="n">
        <x:f>'Résultats détaillés'!AF19</x:f>
        <x:v>0</x:v>
      </x:c>
      <x:c r="I13" s="1973" t="n">
        <x:f>'Résultats détaillés'!AG19</x:f>
        <x:v>0</x:v>
      </x:c>
      <x:c r="J13" s="1983" t="str">
        <x:f>IF(G13=0,"",COUNTIFS($AA$6:$AA$37,3,$AO$6:$AO$37,1,$AG$6:$AG$37,4)/G13)</x:f>
      </x:c>
      <x:c r="K13" s="1983" t="str">
        <x:f>IF(H13+I13=0,"",SUMIFS($AJ$6:$AJ$37,$AA$6:$AA$37,3,$AC$6:$AC$37,"&gt;0")/(H13+I13))</x:f>
      </x:c>
      <x:c r="L13" s="1973" t="n">
        <x:f>SUMIFS($AQ$6:$AQ$37,$AA$6:$AA$37,3)</x:f>
        <x:v>0</x:v>
      </x:c>
      <x:c r="M13" s="1983" t="str">
        <x:f>IF(G13=0,"",(H13+I13)/G13)</x:f>
      </x:c>
      <x:c r="AA13" t="n">
        <x:v>1</x:v>
      </x:c>
      <x:c r="AB13" t="str">
        <x:f>IF(ISNUMBER('Résultats détaillés'!T12),'Résultats détaillés'!T12,"")</x:f>
      </x:c>
      <x:c r="AC13" t="n">
        <x:f>IF(AND(ISNUMBER(AB13),AB13&gt;=5),AB13*100+25,0)</x:f>
        <x:v>0</x:v>
      </x:c>
      <x:c r="AD13" t="str">
        <x:f>IF(ISBLANK('Résultats détaillés'!B12),"",'Résultats détaillés'!B12)</x:f>
        <x:v>1.8</x:v>
      </x:c>
      <x:c r="AE13" t="str">
        <x:f>IF(ISBLANK('Résultats détaillés'!C12),"",'Résultats détaillés'!C12)</x:f>
        <x:v>Mesurer et réduire ce que consomment les outils d'intelligence artificielle utilisés par la collectivité et ses prestataires.</x:v>
      </x:c>
      <x:c r="AF13" t="str">
        <x:f>IF(ISBLANK('Résultats détaillés'!E12),"",'Résultats détaillés'!E12)</x:f>
      </x:c>
      <x:c r="AG13" t="str">
        <x:f>IF(ISBLANK('Résultats détaillés'!F12),"",'Résultats détaillés'!F12)</x:f>
      </x:c>
      <x:c r="AH13" t="n">
        <x:f>IF(ISNUMBER('Résultats détaillés'!H12),IF(AND('Résultats détaillés'!H12&gt;=1,'Résultats détaillés'!H12&lt;=4,MOD('Résultats détaillés'!H12,1)=0),'Résultats détaillés'!H12,0),0)</x:f>
        <x:v>0</x:v>
      </x:c>
      <x:c r="AI13" t="str">
        <x:f>IF(ISBLANK('Résultats détaillés'!W12),"",'Résultats détaillés'!W12)</x:f>
      </x:c>
      <x:c r="AJ13" t="n">
        <x:f>IF(LEN(TRIM(AI13))&gt;0,1,0)</x:f>
        <x:v>0</x:v>
      </x:c>
      <x:c r="AK13" t="n">
        <x:f>IF(LEN(TRIM('Résultats détaillés'!G12))&gt;0,1,0)</x:f>
        <x:v>0</x:v>
      </x:c>
      <x:c r="AL13" t="n">
        <x:f>IF(OR(IF(LEN('Résultats détaillés'!E12)=0,FALSE,NOT(IF(ISNUMBER('Résultats détaillés'!E12),AND('Résultats détaillés'!E12&gt;=0,'Résultats détaillés'!E12&lt;=3,MOD('Résultats détaillés'!E12,1)=0),FALSE))),IF(LEN('Résultats détaillés'!F12)=0,FALSE,NOT(IF(ISNUMBER('Résultats détaillés'!F12),AND('Résultats détaillés'!F12&gt;=1,'Résultats détaillés'!F12&lt;=4,MOD('Résultats détaillés'!F12,1)=0),FALSE))),IF(LEN('Résultats détaillés'!H12)=0,FALSE,NOT(IF(ISNUMBER('Résultats détaillés'!H12),AND('Résultats détaillés'!H12&gt;=1,'Résultats détaillés'!H12&lt;=4,MOD('Résultats détaillés'!H12,1)=0),FALSE)))),1,0)</x:f>
        <x:v>0</x:v>
      </x:c>
      <x:c r="AM13" t="n">
        <x:f>IF(AND(ISNUMBER(AB13),AB13&gt;0,AK13=0),1,0)</x:f>
        <x:v>0</x:v>
      </x:c>
      <x:c r="AN13" t="n">
        <x:v>12</x:v>
      </x:c>
      <x:c r="AO13" t="n">
        <x:f>IF(AND(ISNUMBER(AB13),AB13&gt;0),1,0)</x:f>
        <x:v>0</x:v>
      </x:c>
      <x:c r="AP13" t="n">
        <x:f>IF(AND(AC13&gt;0,AH13=0),1,0)</x:f>
        <x:v>0</x:v>
      </x:c>
      <x:c r="AQ13" t="n">
        <x:f>IF(AND(AC13&gt;0,AJ13=0),1,0)</x:f>
        <x:v>0</x:v>
      </x:c>
      <x:c r="AR13" t="n">
        <x:f>IF(ISNUMBER(AB13),1,0)</x:f>
        <x:v>0</x:v>
      </x:c>
    </x:row>
    <x:row r="14" s="1211" customFormat="1" ht="32" customHeight="1">
      <x:c r="A14"/>
      <x:c r="B14" s="1976" t="str">
        <x:v>4. Résilience</x:v>
      </x:c>
      <x:c r="C14" s="1973" t="n">
        <x:f>'Résultats détaillés'!AC28</x:f>
        <x:v>4</x:v>
      </x:c>
      <x:c r="D14" s="1973" t="n">
        <x:f>'Résultats détaillés'!AD28</x:f>
        <x:v>0</x:v>
      </x:c>
      <x:c r="E14" s="1973" t="n">
        <x:f>C14-D14</x:f>
        <x:v>4</x:v>
      </x:c>
      <x:c r="F14" s="1983" t="n">
        <x:f>D14/C14</x:f>
        <x:v>0</x:v>
      </x:c>
      <x:c r="G14" s="1973" t="n">
        <x:f>SUMIFS($AO$6:$AO$37,$AA$6:$AA$37,4)</x:f>
        <x:v>0</x:v>
      </x:c>
      <x:c r="H14" s="1973" t="n">
        <x:f>'Résultats détaillés'!AF28</x:f>
        <x:v>0</x:v>
      </x:c>
      <x:c r="I14" s="1973" t="n">
        <x:f>'Résultats détaillés'!AG28</x:f>
        <x:v>0</x:v>
      </x:c>
      <x:c r="J14" s="1983" t="str">
        <x:f>IF(G14=0,"",COUNTIFS($AA$6:$AA$37,4,$AO$6:$AO$37,1,$AG$6:$AG$37,4)/G14)</x:f>
      </x:c>
      <x:c r="K14" s="1983" t="str">
        <x:f>IF(H14+I14=0,"",SUMIFS($AJ$6:$AJ$37,$AA$6:$AA$37,4,$AC$6:$AC$37,"&gt;0")/(H14+I14))</x:f>
      </x:c>
      <x:c r="L14" s="1973" t="n">
        <x:f>SUMIFS($AQ$6:$AQ$37,$AA$6:$AA$37,4)</x:f>
        <x:v>0</x:v>
      </x:c>
      <x:c r="M14" s="1983" t="str">
        <x:f>IF(G14=0,"",(H14+I14)/G14)</x:f>
      </x:c>
      <x:c r="AA14" t="n">
        <x:v>2</x:v>
      </x:c>
      <x:c r="AB14" t="str">
        <x:f>IF(ISNUMBER('Résultats détaillés'!T14),'Résultats détaillés'!T14,"")</x:f>
      </x:c>
      <x:c r="AC14" t="n">
        <x:f>IF(AND(ISNUMBER(AB14),AB14&gt;=5),AB14*100+24,0)</x:f>
        <x:v>0</x:v>
      </x:c>
      <x:c r="AD14" t="str">
        <x:f>IF(ISBLANK('Résultats détaillés'!B14),"",'Résultats détaillés'!B14)</x:f>
        <x:v>2.1</x:v>
      </x:c>
      <x:c r="AE14" t="str">
        <x:f>IF(ISBLANK('Résultats détaillés'!C14),"",'Résultats détaillés'!C14)</x:f>
        <x:v>Intégrer dans les marchés publics du numérique des clauses sociales et environnementales, et des critères de durabilité, de réparabilité et de réemploi.</x:v>
      </x:c>
      <x:c r="AF14" t="str">
        <x:f>IF(ISBLANK('Résultats détaillés'!E14),"",'Résultats détaillés'!E14)</x:f>
      </x:c>
      <x:c r="AG14" t="str">
        <x:f>IF(ISBLANK('Résultats détaillés'!F14),"",'Résultats détaillés'!F14)</x:f>
      </x:c>
      <x:c r="AH14" t="n">
        <x:f>IF(ISNUMBER('Résultats détaillés'!H14),IF(AND('Résultats détaillés'!H14&gt;=1,'Résultats détaillés'!H14&lt;=4,MOD('Résultats détaillés'!H14,1)=0),'Résultats détaillés'!H14,0),0)</x:f>
        <x:v>0</x:v>
      </x:c>
      <x:c r="AI14" t="str">
        <x:f>IF(ISBLANK('Résultats détaillés'!W14),"",'Résultats détaillés'!W14)</x:f>
      </x:c>
      <x:c r="AJ14" t="n">
        <x:f>IF(LEN(TRIM(AI14))&gt;0,1,0)</x:f>
        <x:v>0</x:v>
      </x:c>
      <x:c r="AK14" t="n">
        <x:f>IF(LEN(TRIM('Résultats détaillés'!G14))&gt;0,1,0)</x:f>
        <x:v>0</x:v>
      </x:c>
      <x:c r="AL14" t="n">
        <x:f>IF(OR(IF(LEN('Résultats détaillés'!E14)=0,FALSE,NOT(IF(ISNUMBER('Résultats détaillés'!E14),AND('Résultats détaillés'!E14&gt;=0,'Résultats détaillés'!E14&lt;=3,MOD('Résultats détaillés'!E14,1)=0),FALSE))),IF(LEN('Résultats détaillés'!F14)=0,FALSE,NOT(IF(ISNUMBER('Résultats détaillés'!F14),AND('Résultats détaillés'!F14&gt;=1,'Résultats détaillés'!F14&lt;=4,MOD('Résultats détaillés'!F14,1)=0),FALSE))),IF(LEN('Résultats détaillés'!H14)=0,FALSE,NOT(IF(ISNUMBER('Résultats détaillés'!H14),AND('Résultats détaillés'!H14&gt;=1,'Résultats détaillés'!H14&lt;=4,MOD('Résultats détaillés'!H14,1)=0),FALSE)))),1,0)</x:f>
        <x:v>0</x:v>
      </x:c>
      <x:c r="AM14" t="n">
        <x:f>IF(AND(ISNUMBER(AB14),AB14&gt;0,AK14=0),1,0)</x:f>
        <x:v>0</x:v>
      </x:c>
      <x:c r="AN14" t="n">
        <x:v>14</x:v>
      </x:c>
      <x:c r="AO14" t="n">
        <x:f>IF(AND(ISNUMBER(AB14),AB14&gt;0),1,0)</x:f>
        <x:v>0</x:v>
      </x:c>
      <x:c r="AP14" t="n">
        <x:f>IF(AND(AC14&gt;0,AH14=0),1,0)</x:f>
        <x:v>0</x:v>
      </x:c>
      <x:c r="AQ14" t="n">
        <x:f>IF(AND(AC14&gt;0,AJ14=0),1,0)</x:f>
        <x:v>0</x:v>
      </x:c>
      <x:c r="AR14" t="n">
        <x:f>IF(ISNUMBER(AB14),1,0)</x:f>
        <x:v>0</x:v>
      </x:c>
    </x:row>
    <x:row r="15" s="1211" customFormat="1" ht="32" customHeight="1">
      <x:c r="A15"/>
      <x:c r="B15" s="1977" t="str">
        <x:v>5. Management</x:v>
      </x:c>
      <x:c r="C15" s="1973" t="n">
        <x:f>'Résultats détaillés'!AC33</x:f>
        <x:v>7</x:v>
      </x:c>
      <x:c r="D15" s="1973" t="n">
        <x:f>'Résultats détaillés'!AD33</x:f>
        <x:v>0</x:v>
      </x:c>
      <x:c r="E15" s="1973" t="n">
        <x:f>C15-D15</x:f>
        <x:v>7</x:v>
      </x:c>
      <x:c r="F15" s="1983" t="n">
        <x:f>D15/C15</x:f>
        <x:v>0</x:v>
      </x:c>
      <x:c r="G15" s="1973" t="n">
        <x:f>SUMIFS($AO$6:$AO$37,$AA$6:$AA$37,5)</x:f>
        <x:v>0</x:v>
      </x:c>
      <x:c r="H15" s="1973" t="n">
        <x:f>'Résultats détaillés'!AF33</x:f>
        <x:v>0</x:v>
      </x:c>
      <x:c r="I15" s="1973" t="n">
        <x:f>'Résultats détaillés'!AG33</x:f>
        <x:v>0</x:v>
      </x:c>
      <x:c r="J15" s="1983" t="str">
        <x:f>IF(G15=0,"",COUNTIFS($AA$6:$AA$37,5,$AO$6:$AO$37,1,$AG$6:$AG$37,4)/G15)</x:f>
      </x:c>
      <x:c r="K15" s="1983" t="str">
        <x:f>IF(H15+I15=0,"",SUMIFS($AJ$6:$AJ$37,$AA$6:$AA$37,5,$AC$6:$AC$37,"&gt;0")/(H15+I15))</x:f>
      </x:c>
      <x:c r="L15" s="1973" t="n">
        <x:f>SUMIFS($AQ$6:$AQ$37,$AA$6:$AA$37,5)</x:f>
        <x:v>0</x:v>
      </x:c>
      <x:c r="M15" s="1983" t="str">
        <x:f>IF(G15=0,"",(H15+I15)/G15)</x:f>
      </x:c>
      <x:c r="AA15" t="n">
        <x:v>2</x:v>
      </x:c>
      <x:c r="AB15" t="str">
        <x:f>IF(ISNUMBER('Résultats détaillés'!T15),'Résultats détaillés'!T15,"")</x:f>
      </x:c>
      <x:c r="AC15" t="n">
        <x:f>IF(AND(ISNUMBER(AB15),AB15&gt;=5),AB15*100+23,0)</x:f>
        <x:v>0</x:v>
      </x:c>
      <x:c r="AD15" t="str">
        <x:f>IF(ISBLANK('Résultats détaillés'!B15),"",'Résultats détaillés'!B15)</x:f>
        <x:v>2.2</x:v>
      </x:c>
      <x:c r="AE15" t="str">
        <x:f>IF(ISBLANK('Résultats détaillés'!C15),"",'Résultats détaillés'!C15)</x:f>
        <x:v>Rendre accessibles à toutes et tous les sites, les téléservices et les documents de la collectivité. Publier la déclaration d'accessibilité et le schéma pluriannuel prévus par le RGAA.</x:v>
      </x:c>
      <x:c r="AF15" t="str">
        <x:f>IF(ISBLANK('Résultats détaillés'!E15),"",'Résultats détaillés'!E15)</x:f>
      </x:c>
      <x:c r="AG15" t="str">
        <x:f>IF(ISBLANK('Résultats détaillés'!F15),"",'Résultats détaillés'!F15)</x:f>
      </x:c>
      <x:c r="AH15" t="n">
        <x:f>IF(ISNUMBER('Résultats détaillés'!H15),IF(AND('Résultats détaillés'!H15&gt;=1,'Résultats détaillés'!H15&lt;=4,MOD('Résultats détaillés'!H15,1)=0),'Résultats détaillés'!H15,0),0)</x:f>
        <x:v>0</x:v>
      </x:c>
      <x:c r="AI15" t="str">
        <x:f>IF(ISBLANK('Résultats détaillés'!W15),"",'Résultats détaillés'!W15)</x:f>
      </x:c>
      <x:c r="AJ15" t="n">
        <x:f>IF(LEN(TRIM(AI15))&gt;0,1,0)</x:f>
        <x:v>0</x:v>
      </x:c>
      <x:c r="AK15" t="n">
        <x:f>IF(LEN(TRIM('Résultats détaillés'!G15))&gt;0,1,0)</x:f>
        <x:v>0</x:v>
      </x:c>
      <x:c r="AL15" t="n">
        <x:f>IF(OR(IF(LEN('Résultats détaillés'!E15)=0,FALSE,NOT(IF(ISNUMBER('Résultats détaillés'!E15),AND('Résultats détaillés'!E15&gt;=0,'Résultats détaillés'!E15&lt;=3,MOD('Résultats détaillés'!E15,1)=0),FALSE))),IF(LEN('Résultats détaillés'!F15)=0,FALSE,NOT(IF(ISNUMBER('Résultats détaillés'!F15),AND('Résultats détaillés'!F15&gt;=1,'Résultats détaillés'!F15&lt;=4,MOD('Résultats détaillés'!F15,1)=0),FALSE))),IF(LEN('Résultats détaillés'!H15)=0,FALSE,NOT(IF(ISNUMBER('Résultats détaillés'!H15),AND('Résultats détaillés'!H15&gt;=1,'Résultats détaillés'!H15&lt;=4,MOD('Résultats détaillés'!H15,1)=0),FALSE)))),1,0)</x:f>
        <x:v>0</x:v>
      </x:c>
      <x:c r="AM15" t="n">
        <x:f>IF(AND(ISNUMBER(AB15),AB15&gt;0,AK15=0),1,0)</x:f>
        <x:v>0</x:v>
      </x:c>
      <x:c r="AN15" t="n">
        <x:v>15</x:v>
      </x:c>
      <x:c r="AO15" t="n">
        <x:f>IF(AND(ISNUMBER(AB15),AB15&gt;0),1,0)</x:f>
        <x:v>0</x:v>
      </x:c>
      <x:c r="AP15" t="n">
        <x:f>IF(AND(AC15&gt;0,AH15=0),1,0)</x:f>
        <x:v>0</x:v>
      </x:c>
      <x:c r="AQ15" t="n">
        <x:f>IF(AND(AC15&gt;0,AJ15=0),1,0)</x:f>
        <x:v>0</x:v>
      </x:c>
      <x:c r="AR15" t="n">
        <x:f>IF(ISNUMBER(AB15),1,0)</x:f>
        <x:v>0</x:v>
      </x:c>
    </x:row>
    <x:row r="16" s="1211" customFormat="1" ht="32" customHeight="1">
      <x:c r="A16"/>
      <x:c r="B16" s="1981" t="str">
        <x:v>TOTAL</x:v>
      </x:c>
      <x:c r="C16" s="1982" t="n">
        <x:f>SUM(C11:C15)</x:f>
        <x:v>32</x:v>
      </x:c>
      <x:c r="D16" s="1982" t="n">
        <x:f>SUM(D11:D15)</x:f>
        <x:v>0</x:v>
      </x:c>
      <x:c r="E16" s="1982" t="n">
        <x:f>SUM(E11:E15)</x:f>
        <x:v>32</x:v>
      </x:c>
      <x:c r="F16" s="1984" t="n">
        <x:f>D16/C16</x:f>
        <x:v>0</x:v>
      </x:c>
      <x:c r="G16" s="1982" t="n">
        <x:f>SUM(G11:G15)</x:f>
        <x:v>0</x:v>
      </x:c>
      <x:c r="H16" s="1982" t="n">
        <x:f>SUM(H11:H15)</x:f>
        <x:v>0</x:v>
      </x:c>
      <x:c r="I16" s="1982" t="n">
        <x:f>SUM(I11:I15)</x:f>
        <x:v>0</x:v>
      </x:c>
      <x:c r="J16" s="1984" t="str">
        <x:f>IF(G16=0,"",COUNTIFS($AO$6:$AO$37,1,$AG$6:$AG$37,4)/G16)</x:f>
      </x:c>
      <x:c r="K16" s="1984" t="str">
        <x:f>IF(H16+I16=0,"",SUMIFS($AJ$6:$AJ$37,$AC$6:$AC$37,"&gt;0")/(H16+I16))</x:f>
      </x:c>
      <x:c r="L16" s="1982" t="n">
        <x:f>SUM(L11:L15)</x:f>
        <x:v>0</x:v>
      </x:c>
      <x:c r="M16" s="1984" t="str">
        <x:f>IF(G16=0,"",(H16+I16)/G16)</x:f>
      </x:c>
      <x:c r="AA16" t="n">
        <x:v>2</x:v>
      </x:c>
      <x:c r="AB16" t="str">
        <x:f>IF(ISNUMBER('Résultats détaillés'!T16),'Résultats détaillés'!T16,"")</x:f>
      </x:c>
      <x:c r="AC16" t="n">
        <x:f>IF(AND(ISNUMBER(AB16),AB16&gt;=5),AB16*100+22,0)</x:f>
        <x:v>0</x:v>
      </x:c>
      <x:c r="AD16" t="str">
        <x:f>IF(ISBLANK('Résultats détaillés'!B16),"",'Résultats détaillés'!B16)</x:f>
        <x:v>2.3</x:v>
      </x:c>
      <x:c r="AE16" t="str">
        <x:f>IF(ISBLANK('Résultats détaillés'!C16),"",'Résultats détaillés'!C16)</x:f>
        <x:v>Proposer des téléservices utiles, faciles à utiliser et réellement utilisés par les habitants, avec une démarche simple de bout en bout.</x:v>
      </x:c>
      <x:c r="AF16" t="str">
        <x:f>IF(ISBLANK('Résultats détaillés'!E16),"",'Résultats détaillés'!E16)</x:f>
      </x:c>
      <x:c r="AG16" t="str">
        <x:f>IF(ISBLANK('Résultats détaillés'!F16),"",'Résultats détaillés'!F16)</x:f>
      </x:c>
      <x:c r="AH16" t="n">
        <x:f>IF(ISNUMBER('Résultats détaillés'!H16),IF(AND('Résultats détaillés'!H16&gt;=1,'Résultats détaillés'!H16&lt;=4,MOD('Résultats détaillés'!H16,1)=0),'Résultats détaillés'!H16,0),0)</x:f>
        <x:v>0</x:v>
      </x:c>
      <x:c r="AI16" t="str">
        <x:f>IF(ISBLANK('Résultats détaillés'!W16),"",'Résultats détaillés'!W16)</x:f>
      </x:c>
      <x:c r="AJ16" t="n">
        <x:f>IF(LEN(TRIM(AI16))&gt;0,1,0)</x:f>
        <x:v>0</x:v>
      </x:c>
      <x:c r="AK16" t="n">
        <x:f>IF(LEN(TRIM('Résultats détaillés'!G16))&gt;0,1,0)</x:f>
        <x:v>0</x:v>
      </x:c>
      <x:c r="AL16" t="n">
        <x:f>IF(OR(IF(LEN('Résultats détaillés'!E16)=0,FALSE,NOT(IF(ISNUMBER('Résultats détaillés'!E16),AND('Résultats détaillés'!E16&gt;=0,'Résultats détaillés'!E16&lt;=3,MOD('Résultats détaillés'!E16,1)=0),FALSE))),IF(LEN('Résultats détaillés'!F16)=0,FALSE,NOT(IF(ISNUMBER('Résultats détaillés'!F16),AND('Résultats détaillés'!F16&gt;=1,'Résultats détaillés'!F16&lt;=4,MOD('Résultats détaillés'!F16,1)=0),FALSE))),IF(LEN('Résultats détaillés'!H16)=0,FALSE,NOT(IF(ISNUMBER('Résultats détaillés'!H16),AND('Résultats détaillés'!H16&gt;=1,'Résultats détaillés'!H16&lt;=4,MOD('Résultats détaillés'!H16,1)=0),FALSE)))),1,0)</x:f>
        <x:v>0</x:v>
      </x:c>
      <x:c r="AM16" t="n">
        <x:f>IF(AND(ISNUMBER(AB16),AB16&gt;0,AK16=0),1,0)</x:f>
        <x:v>0</x:v>
      </x:c>
      <x:c r="AN16" t="n">
        <x:v>16</x:v>
      </x:c>
      <x:c r="AO16" t="n">
        <x:f>IF(AND(ISNUMBER(AB16),AB16&gt;0),1,0)</x:f>
        <x:v>0</x:v>
      </x:c>
      <x:c r="AP16" t="n">
        <x:f>IF(AND(AC16&gt;0,AH16=0),1,0)</x:f>
        <x:v>0</x:v>
      </x:c>
      <x:c r="AQ16" t="n">
        <x:f>IF(AND(AC16&gt;0,AJ16=0),1,0)</x:f>
        <x:v>0</x:v>
      </x:c>
      <x:c r="AR16" t="n">
        <x:f>IF(ISNUMBER(AB16),1,0)</x:f>
        <x:v>0</x:v>
      </x:c>
    </x:row>
    <x:row r="17" s="1211" customFormat="1" ht="24" customHeight="1">
      <x:c r="A17"/>
      <x:c r="B17" s="1923"/>
      <x:c r="C17" s="1923"/>
      <x:c r="D17" s="1923"/>
      <x:c r="E17" s="1923"/>
      <x:c r="F17" s="1923"/>
      <x:c r="G17" s="1923"/>
      <x:c r="H17" s="1923"/>
      <x:c r="I17" s="1923"/>
      <x:c r="J17" s="1923"/>
      <x:c r="K17" s="1923"/>
      <x:c r="L17" s="1923"/>
      <x:c r="M17" s="1923"/>
      <x:c r="AA17" t="n">
        <x:v>2</x:v>
      </x:c>
      <x:c r="AB17" t="str">
        <x:f>IF(ISNUMBER('Résultats détaillés'!T17),'Résultats détaillés'!T17,"")</x:f>
      </x:c>
      <x:c r="AC17" t="n">
        <x:f>IF(AND(ISNUMBER(AB17),AB17&gt;=5),AB17*100+21,0)</x:f>
        <x:v>0</x:v>
      </x:c>
      <x:c r="AD17" t="str">
        <x:f>IF(ISBLANK('Résultats détaillés'!B17),"",'Résultats détaillés'!B17)</x:f>
        <x:v>2.4</x:v>
      </x:c>
      <x:c r="AE17" t="str">
        <x:f>IF(ISBLANK('Résultats détaillés'!C17),"",'Résultats détaillés'!C17)</x:f>
        <x:v>Concevoir les services numériques avec les habitants, les agents d'accueil et les associations, en partant de leurs besoins réels.</x:v>
      </x:c>
      <x:c r="AF17" t="str">
        <x:f>IF(ISBLANK('Résultats détaillés'!E17),"",'Résultats détaillés'!E17)</x:f>
      </x:c>
      <x:c r="AG17" t="str">
        <x:f>IF(ISBLANK('Résultats détaillés'!F17),"",'Résultats détaillés'!F17)</x:f>
      </x:c>
      <x:c r="AH17" t="n">
        <x:f>IF(ISNUMBER('Résultats détaillés'!H17),IF(AND('Résultats détaillés'!H17&gt;=1,'Résultats détaillés'!H17&lt;=4,MOD('Résultats détaillés'!H17,1)=0),'Résultats détaillés'!H17,0),0)</x:f>
        <x:v>0</x:v>
      </x:c>
      <x:c r="AI17" t="str">
        <x:f>IF(ISBLANK('Résultats détaillés'!W17),"",'Résultats détaillés'!W17)</x:f>
      </x:c>
      <x:c r="AJ17" t="n">
        <x:f>IF(LEN(TRIM(AI17))&gt;0,1,0)</x:f>
        <x:v>0</x:v>
      </x:c>
      <x:c r="AK17" t="n">
        <x:f>IF(LEN(TRIM('Résultats détaillés'!G17))&gt;0,1,0)</x:f>
        <x:v>0</x:v>
      </x:c>
      <x:c r="AL17" t="n">
        <x:f>IF(OR(IF(LEN('Résultats détaillés'!E17)=0,FALSE,NOT(IF(ISNUMBER('Résultats détaillés'!E17),AND('Résultats détaillés'!E17&gt;=0,'Résultats détaillés'!E17&lt;=3,MOD('Résultats détaillés'!E17,1)=0),FALSE))),IF(LEN('Résultats détaillés'!F17)=0,FALSE,NOT(IF(ISNUMBER('Résultats détaillés'!F17),AND('Résultats détaillés'!F17&gt;=1,'Résultats détaillés'!F17&lt;=4,MOD('Résultats détaillés'!F17,1)=0),FALSE))),IF(LEN('Résultats détaillés'!H17)=0,FALSE,NOT(IF(ISNUMBER('Résultats détaillés'!H17),AND('Résultats détaillés'!H17&gt;=1,'Résultats détaillés'!H17&lt;=4,MOD('Résultats détaillés'!H17,1)=0),FALSE)))),1,0)</x:f>
        <x:v>0</x:v>
      </x:c>
      <x:c r="AM17" t="n">
        <x:f>IF(AND(ISNUMBER(AB17),AB17&gt;0,AK17=0),1,0)</x:f>
        <x:v>0</x:v>
      </x:c>
      <x:c r="AN17" t="n">
        <x:v>17</x:v>
      </x:c>
      <x:c r="AO17" t="n">
        <x:f>IF(AND(ISNUMBER(AB17),AB17&gt;0),1,0)</x:f>
        <x:v>0</x:v>
      </x:c>
      <x:c r="AP17" t="n">
        <x:f>IF(AND(AC17&gt;0,AH17=0),1,0)</x:f>
        <x:v>0</x:v>
      </x:c>
      <x:c r="AQ17" t="n">
        <x:f>IF(AND(AC17&gt;0,AJ17=0),1,0)</x:f>
        <x:v>0</x:v>
      </x:c>
      <x:c r="AR17" t="n">
        <x:f>IF(ISNUMBER(AB17),1,0)</x:f>
        <x:v>0</x:v>
      </x:c>
    </x:row>
    <x:row r="18" s="1211" customFormat="1" ht="24" customHeight="1">
      <x:c r="A18"/>
      <x:c r="B18" s="1949" t="str">
        <x:v>Part prioritaire = urgentes + prioritaires / applicables évaluées. « Avec action » = une proposition écrite pour ces priorités.</x:v>
      </x:c>
      <x:c r="C18" s="1949"/>
      <x:c r="D18" s="1949"/>
      <x:c r="E18" s="1949"/>
      <x:c r="F18" s="1949"/>
      <x:c r="G18" s="1949"/>
      <x:c r="H18" s="1949"/>
      <x:c r="I18" s="1949"/>
      <x:c r="J18" s="1949"/>
      <x:c r="K18" s="1949"/>
      <x:c r="L18" s="1949"/>
      <x:c r="M18" s="1949"/>
      <x:c r="AA18" t="n">
        <x:v>2</x:v>
      </x:c>
      <x:c r="AB18" t="str">
        <x:f>IF(ISNUMBER('Résultats détaillés'!T18),'Résultats détaillés'!T18,"")</x:f>
      </x:c>
      <x:c r="AC18" t="n">
        <x:f>IF(AND(ISNUMBER(AB18),AB18&gt;=5),AB18*100+20,0)</x:f>
        <x:v>0</x:v>
      </x:c>
      <x:c r="AD18" t="str">
        <x:f>IF(ISBLANK('Résultats détaillés'!B18),"",'Résultats détaillés'!B18)</x:f>
        <x:v>2.5</x:v>
      </x:c>
      <x:c r="AE18" t="str">
        <x:f>IF(ISBLANK('Résultats détaillés'!C18),"",'Résultats détaillés'!C18)</x:f>
        <x:v>Vérifier que l'intelligence artificielle utilisée dans les services publics ne discrimine aucun habitant et reste utilisable par toutes et tous.</x:v>
      </x:c>
      <x:c r="AF18" t="str">
        <x:f>IF(ISBLANK('Résultats détaillés'!E18),"",'Résultats détaillés'!E18)</x:f>
      </x:c>
      <x:c r="AG18" t="str">
        <x:f>IF(ISBLANK('Résultats détaillés'!F18),"",'Résultats détaillés'!F18)</x:f>
      </x:c>
      <x:c r="AH18" t="n">
        <x:f>IF(ISNUMBER('Résultats détaillés'!H18),IF(AND('Résultats détaillés'!H18&gt;=1,'Résultats détaillés'!H18&lt;=4,MOD('Résultats détaillés'!H18,1)=0),'Résultats détaillés'!H18,0),0)</x:f>
        <x:v>0</x:v>
      </x:c>
      <x:c r="AI18" t="str">
        <x:f>IF(ISBLANK('Résultats détaillés'!W18),"",'Résultats détaillés'!W18)</x:f>
      </x:c>
      <x:c r="AJ18" t="n">
        <x:f>IF(LEN(TRIM(AI18))&gt;0,1,0)</x:f>
        <x:v>0</x:v>
      </x:c>
      <x:c r="AK18" t="n">
        <x:f>IF(LEN(TRIM('Résultats détaillés'!G18))&gt;0,1,0)</x:f>
        <x:v>0</x:v>
      </x:c>
      <x:c r="AL18" t="n">
        <x:f>IF(OR(IF(LEN('Résultats détaillés'!E18)=0,FALSE,NOT(IF(ISNUMBER('Résultats détaillés'!E18),AND('Résultats détaillés'!E18&gt;=0,'Résultats détaillés'!E18&lt;=3,MOD('Résultats détaillés'!E18,1)=0),FALSE))),IF(LEN('Résultats détaillés'!F18)=0,FALSE,NOT(IF(ISNUMBER('Résultats détaillés'!F18),AND('Résultats détaillés'!F18&gt;=1,'Résultats détaillés'!F18&lt;=4,MOD('Résultats détaillés'!F18,1)=0),FALSE))),IF(LEN('Résultats détaillés'!H18)=0,FALSE,NOT(IF(ISNUMBER('Résultats détaillés'!H18),AND('Résultats détaillés'!H18&gt;=1,'Résultats détaillés'!H18&lt;=4,MOD('Résultats détaillés'!H18,1)=0),FALSE)))),1,0)</x:f>
        <x:v>0</x:v>
      </x:c>
      <x:c r="AM18" t="n">
        <x:f>IF(AND(ISNUMBER(AB18),AB18&gt;0,AK18=0),1,0)</x:f>
        <x:v>0</x:v>
      </x:c>
      <x:c r="AN18" t="n">
        <x:v>18</x:v>
      </x:c>
      <x:c r="AO18" t="n">
        <x:f>IF(AND(ISNUMBER(AB18),AB18&gt;0),1,0)</x:f>
        <x:v>0</x:v>
      </x:c>
      <x:c r="AP18" t="n">
        <x:f>IF(AND(AC18&gt;0,AH18=0),1,0)</x:f>
        <x:v>0</x:v>
      </x:c>
      <x:c r="AQ18" t="n">
        <x:f>IF(AND(AC18&gt;0,AJ18=0),1,0)</x:f>
        <x:v>0</x:v>
      </x:c>
      <x:c r="AR18" t="n">
        <x:f>IF(ISNUMBER(AB18),1,0)</x:f>
        <x:v>0</x:v>
      </x:c>
    </x:row>
    <x:row r="19" s="1211" customFormat="1" ht="24" customHeight="1">
      <x:c r="A19"/>
      <x:c r="B19" s="1949" t="str">
        <x:f>IF(D16=0,"Commencer par renseigner les notes dans les onglets ONR.",E16&amp;" cibles restent à évaluer. "&amp;(D16-G16)&amp;" sont non applicables. Les résultats portent sur "&amp;G16&amp;" cibles applicables évaluées.")</x:f>
        <x:v>Commencer par renseigner les notes dans les onglets ONR.</x:v>
      </x:c>
      <x:c r="C19" s="1949"/>
      <x:c r="D19" s="1949"/>
      <x:c r="E19" s="1949"/>
      <x:c r="F19" s="1949"/>
      <x:c r="G19" s="1949"/>
      <x:c r="H19" s="1949"/>
      <x:c r="I19" s="1949"/>
      <x:c r="J19" s="1949"/>
      <x:c r="K19" s="1949"/>
      <x:c r="L19" s="1949"/>
      <x:c r="M19" s="1949"/>
      <x:c r="AA19" t="n">
        <x:v>3</x:v>
      </x:c>
      <x:c r="AB19" t="str">
        <x:f>IF(ISNUMBER('Résultats détaillés'!T20),'Résultats détaillés'!T20,"")</x:f>
      </x:c>
      <x:c r="AC19" t="n">
        <x:f>IF(AND(ISNUMBER(AB19),AB19&gt;=5),AB19*100+19,0)</x:f>
        <x:v>0</x:v>
      </x:c>
      <x:c r="AD19" t="str">
        <x:f>IF(ISBLANK('Résultats détaillés'!B20),"",'Résultats détaillés'!B20)</x:f>
        <x:v>3.1</x:v>
      </x:c>
      <x:c r="AE19" t="str">
        <x:f>IF(ISBLANK('Résultats détaillés'!C20),"",'Résultats détaillés'!C20)</x:f>
        <x:v>Utiliser les données du territoire et des habitants avec mesure, au service de l'intérêt général, en respectant les personnes et l'environnement.</x:v>
      </x:c>
      <x:c r="AF19" t="str">
        <x:f>IF(ISBLANK('Résultats détaillés'!E20),"",'Résultats détaillés'!E20)</x:f>
      </x:c>
      <x:c r="AG19" t="str">
        <x:f>IF(ISBLANK('Résultats détaillés'!F20),"",'Résultats détaillés'!F20)</x:f>
      </x:c>
      <x:c r="AH19" t="n">
        <x:f>IF(ISNUMBER('Résultats détaillés'!H20),IF(AND('Résultats détaillés'!H20&gt;=1,'Résultats détaillés'!H20&lt;=4,MOD('Résultats détaillés'!H20,1)=0),'Résultats détaillés'!H20,0),0)</x:f>
        <x:v>0</x:v>
      </x:c>
      <x:c r="AI19" t="str">
        <x:f>IF(ISBLANK('Résultats détaillés'!W20),"",'Résultats détaillés'!W20)</x:f>
      </x:c>
      <x:c r="AJ19" t="n">
        <x:f>IF(LEN(TRIM(AI19))&gt;0,1,0)</x:f>
        <x:v>0</x:v>
      </x:c>
      <x:c r="AK19" t="n">
        <x:f>IF(LEN(TRIM('Résultats détaillés'!G20))&gt;0,1,0)</x:f>
        <x:v>0</x:v>
      </x:c>
      <x:c r="AL19" t="n">
        <x:f>IF(OR(IF(LEN('Résultats détaillés'!E20)=0,FALSE,NOT(IF(ISNUMBER('Résultats détaillés'!E20),AND('Résultats détaillés'!E20&gt;=0,'Résultats détaillés'!E20&lt;=3,MOD('Résultats détaillés'!E20,1)=0),FALSE))),IF(LEN('Résultats détaillés'!F20)=0,FALSE,NOT(IF(ISNUMBER('Résultats détaillés'!F20),AND('Résultats détaillés'!F20&gt;=1,'Résultats détaillés'!F20&lt;=4,MOD('Résultats détaillés'!F20,1)=0),FALSE))),IF(LEN('Résultats détaillés'!H20)=0,FALSE,NOT(IF(ISNUMBER('Résultats détaillés'!H20),AND('Résultats détaillés'!H20&gt;=1,'Résultats détaillés'!H20&lt;=4,MOD('Résultats détaillés'!H20,1)=0),FALSE)))),1,0)</x:f>
        <x:v>0</x:v>
      </x:c>
      <x:c r="AM19" t="n">
        <x:f>IF(AND(ISNUMBER(AB19),AB19&gt;0,AK19=0),1,0)</x:f>
        <x:v>0</x:v>
      </x:c>
      <x:c r="AN19" t="n">
        <x:v>20</x:v>
      </x:c>
      <x:c r="AO19" t="n">
        <x:f>IF(AND(ISNUMBER(AB19),AB19&gt;0),1,0)</x:f>
        <x:v>0</x:v>
      </x:c>
      <x:c r="AP19" t="n">
        <x:f>IF(AND(AC19&gt;0,AH19=0),1,0)</x:f>
        <x:v>0</x:v>
      </x:c>
      <x:c r="AQ19" t="n">
        <x:f>IF(AND(AC19&gt;0,AJ19=0),1,0)</x:f>
        <x:v>0</x:v>
      </x:c>
      <x:c r="AR19" t="n">
        <x:f>IF(ISNUMBER(AB19),1,0)</x:f>
        <x:v>0</x:v>
      </x:c>
    </x:row>
    <x:row r="20" s="1211" customFormat="1" ht="24" customHeight="1">
      <x:c r="A20"/>
      <x:c r="B20" s="1923"/>
      <x:c r="C20" s="1923"/>
      <x:c r="D20" s="1923"/>
      <x:c r="E20" s="1923"/>
      <x:c r="F20" s="1923"/>
      <x:c r="G20" s="1923"/>
      <x:c r="H20" s="1923"/>
      <x:c r="I20" s="1923"/>
      <x:c r="J20" s="1923"/>
      <x:c r="K20" s="1923"/>
      <x:c r="L20" s="1923"/>
      <x:c r="M20" s="1923"/>
      <x:c r="AA20" t="n">
        <x:v>3</x:v>
      </x:c>
      <x:c r="AB20" t="str">
        <x:f>IF(ISNUMBER('Résultats détaillés'!T21),'Résultats détaillés'!T21,"")</x:f>
      </x:c>
      <x:c r="AC20" t="n">
        <x:f>IF(AND(ISNUMBER(AB20),AB20&gt;=5),AB20*100+18,0)</x:f>
        <x:v>0</x:v>
      </x:c>
      <x:c r="AD20" t="str">
        <x:f>IF(ISBLANK('Résultats détaillés'!B21),"",'Résultats détaillés'!B21)</x:f>
        <x:v>3.2</x:v>
      </x:c>
      <x:c r="AE20" t="str">
        <x:f>IF(ISBLANK('Résultats détaillés'!C21),"",'Résultats détaillés'!C21)</x:f>
        <x:v>Supprimer des sites et des téléservices de la collectivité les interfaces qui trompent ou poussent les usagers (« dark patterns »), et respecter la réglementation.</x:v>
      </x:c>
      <x:c r="AF20" t="str">
        <x:f>IF(ISBLANK('Résultats détaillés'!E21),"",'Résultats détaillés'!E21)</x:f>
      </x:c>
      <x:c r="AG20" t="str">
        <x:f>IF(ISBLANK('Résultats détaillés'!F21),"",'Résultats détaillés'!F21)</x:f>
      </x:c>
      <x:c r="AH20" t="n">
        <x:f>IF(ISNUMBER('Résultats détaillés'!H21),IF(AND('Résultats détaillés'!H21&gt;=1,'Résultats détaillés'!H21&lt;=4,MOD('Résultats détaillés'!H21,1)=0),'Résultats détaillés'!H21,0),0)</x:f>
        <x:v>0</x:v>
      </x:c>
      <x:c r="AI20" t="str">
        <x:f>IF(ISBLANK('Résultats détaillés'!W21),"",'Résultats détaillés'!W21)</x:f>
      </x:c>
      <x:c r="AJ20" t="n">
        <x:f>IF(LEN(TRIM(AI20))&gt;0,1,0)</x:f>
        <x:v>0</x:v>
      </x:c>
      <x:c r="AK20" t="n">
        <x:f>IF(LEN(TRIM('Résultats détaillés'!G21))&gt;0,1,0)</x:f>
        <x:v>0</x:v>
      </x:c>
      <x:c r="AL20" t="n">
        <x:f>IF(OR(IF(LEN('Résultats détaillés'!E21)=0,FALSE,NOT(IF(ISNUMBER('Résultats détaillés'!E21),AND('Résultats détaillés'!E21&gt;=0,'Résultats détaillés'!E21&lt;=3,MOD('Résultats détaillés'!E21,1)=0),FALSE))),IF(LEN('Résultats détaillés'!F21)=0,FALSE,NOT(IF(ISNUMBER('Résultats détaillés'!F21),AND('Résultats détaillés'!F21&gt;=1,'Résultats détaillés'!F21&lt;=4,MOD('Résultats détaillés'!F21,1)=0),FALSE))),IF(LEN('Résultats détaillés'!H21)=0,FALSE,NOT(IF(ISNUMBER('Résultats détaillés'!H21),AND('Résultats détaillés'!H21&gt;=1,'Résultats détaillés'!H21&lt;=4,MOD('Résultats détaillés'!H21,1)=0),FALSE)))),1,0)</x:f>
        <x:v>0</x:v>
      </x:c>
      <x:c r="AM20" t="n">
        <x:f>IF(AND(ISNUMBER(AB20),AB20&gt;0,AK20=0),1,0)</x:f>
        <x:v>0</x:v>
      </x:c>
      <x:c r="AN20" t="n">
        <x:v>21</x:v>
      </x:c>
      <x:c r="AO20" t="n">
        <x:f>IF(AND(ISNUMBER(AB20),AB20&gt;0),1,0)</x:f>
        <x:v>0</x:v>
      </x:c>
      <x:c r="AP20" t="n">
        <x:f>IF(AND(AC20&gt;0,AH20=0),1,0)</x:f>
        <x:v>0</x:v>
      </x:c>
      <x:c r="AQ20" t="n">
        <x:f>IF(AND(AC20&gt;0,AJ20=0),1,0)</x:f>
        <x:v>0</x:v>
      </x:c>
      <x:c r="AR20" t="n">
        <x:f>IF(ISNUMBER(AB20),1,0)</x:f>
        <x:v>0</x:v>
      </x:c>
    </x:row>
    <x:row r="21" s="1211" customFormat="1" ht="30" customHeight="1">
      <x:c r="A21"/>
      <x:c r="B21" s="1950" t="str">
        <x:v>Où concentrer les efforts ?</x:v>
      </x:c>
      <x:c r="C21" s="1951"/>
      <x:c r="D21" s="1951"/>
      <x:c r="E21" s="1951"/>
      <x:c r="F21" s="1951"/>
      <x:c r="G21" s="1951"/>
      <x:c r="H21" s="1951"/>
      <x:c r="I21" s="1951"/>
      <x:c r="J21" s="1951"/>
      <x:c r="K21" s="1951"/>
      <x:c r="L21" s="1951"/>
      <x:c r="M21" s="1952"/>
      <x:c r="AA21" t="n">
        <x:v>3</x:v>
      </x:c>
      <x:c r="AB21" t="str">
        <x:f>IF(ISNUMBER('Résultats détaillés'!T22),'Résultats détaillés'!T22,"")</x:f>
      </x:c>
      <x:c r="AC21" t="n">
        <x:f>IF(AND(ISNUMBER(AB21),AB21&gt;=5),AB21*100+17,0)</x:f>
        <x:v>0</x:v>
      </x:c>
      <x:c r="AD21" t="str">
        <x:f>IF(ISBLANK('Résultats détaillés'!B22),"",'Résultats détaillés'!B22)</x:f>
        <x:v>3.3</x:v>
      </x:c>
      <x:c r="AE21" t="str">
        <x:f>IF(ISBLANK('Résultats détaillés'!C22),"",'Résultats détaillés'!C22)</x:f>
        <x:v>Collecter seulement les données nécessaires à chaque démarche, tenir à jour le registre des traitements et respecter le RGPD avec l'appui du délégué à la protection des données.</x:v>
      </x:c>
      <x:c r="AF21" t="str">
        <x:f>IF(ISBLANK('Résultats détaillés'!E22),"",'Résultats détaillés'!E22)</x:f>
      </x:c>
      <x:c r="AG21" t="str">
        <x:f>IF(ISBLANK('Résultats détaillés'!F22),"",'Résultats détaillés'!F22)</x:f>
      </x:c>
      <x:c r="AH21" t="n">
        <x:f>IF(ISNUMBER('Résultats détaillés'!H22),IF(AND('Résultats détaillés'!H22&gt;=1,'Résultats détaillés'!H22&lt;=4,MOD('Résultats détaillés'!H22,1)=0),'Résultats détaillés'!H22,0),0)</x:f>
        <x:v>0</x:v>
      </x:c>
      <x:c r="AI21" t="str">
        <x:f>IF(ISBLANK('Résultats détaillés'!W22),"",'Résultats détaillés'!W22)</x:f>
      </x:c>
      <x:c r="AJ21" t="n">
        <x:f>IF(LEN(TRIM(AI21))&gt;0,1,0)</x:f>
        <x:v>0</x:v>
      </x:c>
      <x:c r="AK21" t="n">
        <x:f>IF(LEN(TRIM('Résultats détaillés'!G22))&gt;0,1,0)</x:f>
        <x:v>0</x:v>
      </x:c>
      <x:c r="AL21" t="n">
        <x:f>IF(OR(IF(LEN('Résultats détaillés'!E22)=0,FALSE,NOT(IF(ISNUMBER('Résultats détaillés'!E22),AND('Résultats détaillés'!E22&gt;=0,'Résultats détaillés'!E22&lt;=3,MOD('Résultats détaillés'!E22,1)=0),FALSE))),IF(LEN('Résultats détaillés'!F22)=0,FALSE,NOT(IF(ISNUMBER('Résultats détaillés'!F22),AND('Résultats détaillés'!F22&gt;=1,'Résultats détaillés'!F22&lt;=4,MOD('Résultats détaillés'!F22,1)=0),FALSE))),IF(LEN('Résultats détaillés'!H22)=0,FALSE,NOT(IF(ISNUMBER('Résultats détaillés'!H22),AND('Résultats détaillés'!H22&gt;=1,'Résultats détaillés'!H22&lt;=4,MOD('Résultats détaillés'!H22,1)=0),FALSE)))),1,0)</x:f>
        <x:v>0</x:v>
      </x:c>
      <x:c r="AM21" t="n">
        <x:f>IF(AND(ISNUMBER(AB21),AB21&gt;0,AK21=0),1,0)</x:f>
        <x:v>0</x:v>
      </x:c>
      <x:c r="AN21" t="n">
        <x:v>22</x:v>
      </x:c>
      <x:c r="AO21" t="n">
        <x:f>IF(AND(ISNUMBER(AB21),AB21&gt;0),1,0)</x:f>
        <x:v>0</x:v>
      </x:c>
      <x:c r="AP21" t="n">
        <x:f>IF(AND(AC21&gt;0,AH21=0),1,0)</x:f>
        <x:v>0</x:v>
      </x:c>
      <x:c r="AQ21" t="n">
        <x:f>IF(AND(AC21&gt;0,AJ21=0),1,0)</x:f>
        <x:v>0</x:v>
      </x:c>
      <x:c r="AR21" t="n">
        <x:f>IF(ISNUMBER(AB21),1,0)</x:f>
        <x:v>0</x:v>
      </x:c>
    </x:row>
    <x:row r="22" s="1211" customFormat="1" ht="24" customHeight="1">
      <x:c r="A22"/>
      <x:c r="B22" s="1923"/>
      <x:c r="C22" s="1923"/>
      <x:c r="D22" s="1923"/>
      <x:c r="E22" s="1923"/>
      <x:c r="F22" s="1923"/>
      <x:c r="G22" s="1923"/>
      <x:c r="H22" s="1923"/>
      <x:c r="I22" s="1923"/>
      <x:c r="J22" s="1923"/>
      <x:c r="K22" s="1923"/>
      <x:c r="L22" s="1923"/>
      <x:c r="M22" s="1923"/>
      <x:c r="AA22" t="n">
        <x:v>3</x:v>
      </x:c>
      <x:c r="AB22" t="str">
        <x:f>IF(ISNUMBER('Résultats détaillés'!T23),'Résultats détaillés'!T23,"")</x:f>
      </x:c>
      <x:c r="AC22" t="n">
        <x:f>IF(AND(ISNUMBER(AB22),AB22&gt;=5),AB22*100+16,0)</x:f>
        <x:v>0</x:v>
      </x:c>
      <x:c r="AD22" t="str">
        <x:f>IF(ISBLANK('Résultats détaillés'!B23),"",'Résultats détaillés'!B23)</x:f>
        <x:v>3.4</x:v>
      </x:c>
      <x:c r="AE22" t="str">
        <x:f>IF(ISBLANK('Résultats détaillés'!C23),"",'Résultats détaillés'!C23)</x:f>
        <x:v>Diversifier les recrutements dans les métiers du numérique de la collectivité : femmes, reconversions, apprentissage, personnes en situation de handicap.</x:v>
      </x:c>
      <x:c r="AF22" t="str">
        <x:f>IF(ISBLANK('Résultats détaillés'!E23),"",'Résultats détaillés'!E23)</x:f>
      </x:c>
      <x:c r="AG22" t="str">
        <x:f>IF(ISBLANK('Résultats détaillés'!F23),"",'Résultats détaillés'!F23)</x:f>
      </x:c>
      <x:c r="AH22" t="n">
        <x:f>IF(ISNUMBER('Résultats détaillés'!H23),IF(AND('Résultats détaillés'!H23&gt;=1,'Résultats détaillés'!H23&lt;=4,MOD('Résultats détaillés'!H23,1)=0),'Résultats détaillés'!H23,0),0)</x:f>
        <x:v>0</x:v>
      </x:c>
      <x:c r="AI22" t="str">
        <x:f>IF(ISBLANK('Résultats détaillés'!W23),"",'Résultats détaillés'!W23)</x:f>
      </x:c>
      <x:c r="AJ22" t="n">
        <x:f>IF(LEN(TRIM(AI22))&gt;0,1,0)</x:f>
        <x:v>0</x:v>
      </x:c>
      <x:c r="AK22" t="n">
        <x:f>IF(LEN(TRIM('Résultats détaillés'!G23))&gt;0,1,0)</x:f>
        <x:v>0</x:v>
      </x:c>
      <x:c r="AL22" t="n">
        <x:f>IF(OR(IF(LEN('Résultats détaillés'!E23)=0,FALSE,NOT(IF(ISNUMBER('Résultats détaillés'!E23),AND('Résultats détaillés'!E23&gt;=0,'Résultats détaillés'!E23&lt;=3,MOD('Résultats détaillés'!E23,1)=0),FALSE))),IF(LEN('Résultats détaillés'!F23)=0,FALSE,NOT(IF(ISNUMBER('Résultats détaillés'!F23),AND('Résultats détaillés'!F23&gt;=1,'Résultats détaillés'!F23&lt;=4,MOD('Résultats détaillés'!F23,1)=0),FALSE))),IF(LEN('Résultats détaillés'!H23)=0,FALSE,NOT(IF(ISNUMBER('Résultats détaillés'!H23),AND('Résultats détaillés'!H23&gt;=1,'Résultats détaillés'!H23&lt;=4,MOD('Résultats détaillés'!H23,1)=0),FALSE)))),1,0)</x:f>
        <x:v>0</x:v>
      </x:c>
      <x:c r="AM22" t="n">
        <x:f>IF(AND(ISNUMBER(AB22),AB22&gt;0,AK22=0),1,0)</x:f>
        <x:v>0</x:v>
      </x:c>
      <x:c r="AN22" t="n">
        <x:v>23</x:v>
      </x:c>
      <x:c r="AO22" t="n">
        <x:f>IF(AND(ISNUMBER(AB22),AB22&gt;0),1,0)</x:f>
        <x:v>0</x:v>
      </x:c>
      <x:c r="AP22" t="n">
        <x:f>IF(AND(AC22&gt;0,AH22=0),1,0)</x:f>
        <x:v>0</x:v>
      </x:c>
      <x:c r="AQ22" t="n">
        <x:f>IF(AND(AC22&gt;0,AJ22=0),1,0)</x:f>
        <x:v>0</x:v>
      </x:c>
      <x:c r="AR22" t="n">
        <x:f>IF(ISNUMBER(AB22),1,0)</x:f>
        <x:v>0</x:v>
      </x:c>
    </x:row>
    <x:row r="23" s="1211" customFormat="1" ht="24" customHeight="1">
      <x:c r="A23"/>
      <x:c r="B23" s="1923"/>
      <x:c r="C23" s="1923"/>
      <x:c r="D23" s="1923"/>
      <x:c r="E23" s="1923"/>
      <x:c r="F23" s="1923"/>
      <x:c r="G23" s="1923"/>
      <x:c r="H23" s="1923"/>
      <x:c r="I23" s="1923"/>
      <x:c r="J23" s="1923"/>
      <x:c r="K23" s="1923"/>
      <x:c r="L23" s="1923"/>
      <x:c r="M23" s="1923"/>
      <x:c r="AA23" t="n">
        <x:v>3</x:v>
      </x:c>
      <x:c r="AB23" t="str">
        <x:f>IF(ISNUMBER('Résultats détaillés'!T24),'Résultats détaillés'!T24,"")</x:f>
      </x:c>
      <x:c r="AC23" t="n">
        <x:f>IF(AND(ISNUMBER(AB23),AB23&gt;=5),AB23*100+15,0)</x:f>
        <x:v>0</x:v>
      </x:c>
      <x:c r="AD23" t="str">
        <x:f>IF(ISBLANK('Résultats détaillés'!B24),"",'Résultats détaillés'!B24)</x:f>
        <x:v>3.5</x:v>
      </x:c>
      <x:c r="AE23" t="str">
        <x:f>IF(ISBLANK('Résultats détaillés'!C24),"",'Résultats détaillés'!C24)</x:f>
        <x:v>Améliorer les conditions de travail des agents du numérique et exiger de bonnes conditions de travail chez les prestataires.</x:v>
      </x:c>
      <x:c r="AF23" t="str">
        <x:f>IF(ISBLANK('Résultats détaillés'!E24),"",'Résultats détaillés'!E24)</x:f>
      </x:c>
      <x:c r="AG23" t="str">
        <x:f>IF(ISBLANK('Résultats détaillés'!F24),"",'Résultats détaillés'!F24)</x:f>
      </x:c>
      <x:c r="AH23" t="n">
        <x:f>IF(ISNUMBER('Résultats détaillés'!H24),IF(AND('Résultats détaillés'!H24&gt;=1,'Résultats détaillés'!H24&lt;=4,MOD('Résultats détaillés'!H24,1)=0),'Résultats détaillés'!H24,0),0)</x:f>
        <x:v>0</x:v>
      </x:c>
      <x:c r="AI23" t="str">
        <x:f>IF(ISBLANK('Résultats détaillés'!W24),"",'Résultats détaillés'!W24)</x:f>
      </x:c>
      <x:c r="AJ23" t="n">
        <x:f>IF(LEN(TRIM(AI23))&gt;0,1,0)</x:f>
        <x:v>0</x:v>
      </x:c>
      <x:c r="AK23" t="n">
        <x:f>IF(LEN(TRIM('Résultats détaillés'!G24))&gt;0,1,0)</x:f>
        <x:v>0</x:v>
      </x:c>
      <x:c r="AL23" t="n">
        <x:f>IF(OR(IF(LEN('Résultats détaillés'!E24)=0,FALSE,NOT(IF(ISNUMBER('Résultats détaillés'!E24),AND('Résultats détaillés'!E24&gt;=0,'Résultats détaillés'!E24&lt;=3,MOD('Résultats détaillés'!E24,1)=0),FALSE))),IF(LEN('Résultats détaillés'!F24)=0,FALSE,NOT(IF(ISNUMBER('Résultats détaillés'!F24),AND('Résultats détaillés'!F24&gt;=1,'Résultats détaillés'!F24&lt;=4,MOD('Résultats détaillés'!F24,1)=0),FALSE))),IF(LEN('Résultats détaillés'!H24)=0,FALSE,NOT(IF(ISNUMBER('Résultats détaillés'!H24),AND('Résultats détaillés'!H24&gt;=1,'Résultats détaillés'!H24&lt;=4,MOD('Résultats détaillés'!H24,1)=0),FALSE)))),1,0)</x:f>
        <x:v>0</x:v>
      </x:c>
      <x:c r="AM23" t="n">
        <x:f>IF(AND(ISNUMBER(AB23),AB23&gt;0,AK23=0),1,0)</x:f>
        <x:v>0</x:v>
      </x:c>
      <x:c r="AN23" t="n">
        <x:v>24</x:v>
      </x:c>
      <x:c r="AO23" t="n">
        <x:f>IF(AND(ISNUMBER(AB23),AB23&gt;0),1,0)</x:f>
        <x:v>0</x:v>
      </x:c>
      <x:c r="AP23" t="n">
        <x:f>IF(AND(AC23&gt;0,AH23=0),1,0)</x:f>
        <x:v>0</x:v>
      </x:c>
      <x:c r="AQ23" t="n">
        <x:f>IF(AND(AC23&gt;0,AJ23=0),1,0)</x:f>
        <x:v>0</x:v>
      </x:c>
      <x:c r="AR23" t="n">
        <x:f>IF(ISNUMBER(AB23),1,0)</x:f>
        <x:v>0</x:v>
      </x:c>
    </x:row>
    <x:row r="24" s="1211" customFormat="1" ht="24" customHeight="1">
      <x:c r="A24"/>
      <x:c r="B24" s="1923"/>
      <x:c r="C24" s="1923"/>
      <x:c r="D24" s="1923"/>
      <x:c r="E24" s="1923"/>
      <x:c r="F24" s="1923"/>
      <x:c r="G24" s="1923"/>
      <x:c r="H24" s="1923"/>
      <x:c r="I24" s="1923"/>
      <x:c r="J24" s="1923"/>
      <x:c r="K24" s="1923"/>
      <x:c r="L24" s="1923"/>
      <x:c r="M24" s="1923"/>
      <x:c r="AA24" t="n">
        <x:v>3</x:v>
      </x:c>
      <x:c r="AB24" t="str">
        <x:f>IF(ISNUMBER('Résultats détaillés'!T25),'Résultats détaillés'!T25,"")</x:f>
      </x:c>
      <x:c r="AC24" t="n">
        <x:f>IF(AND(ISNUMBER(AB24),AB24&gt;=5),AB24*100+14,0)</x:f>
        <x:v>0</x:v>
      </x:c>
      <x:c r="AD24" t="str">
        <x:f>IF(ISBLANK('Résultats détaillés'!B25),"",'Résultats détaillés'!B25)</x:f>
        <x:v>3.6</x:v>
      </x:c>
      <x:c r="AE24" t="str">
        <x:f>IF(ISBLANK('Résultats détaillés'!C25),"",'Résultats détaillés'!C25)</x:f>
        <x:v>Fixer des règles éthiques pour les algorithmes publics, en particulier l'intelligence artificielle. Publier les principales règles des algorithmes qui fondent des décisions individuelles.</x:v>
      </x:c>
      <x:c r="AF24" t="str">
        <x:f>IF(ISBLANK('Résultats détaillés'!E25),"",'Résultats détaillés'!E25)</x:f>
      </x:c>
      <x:c r="AG24" t="str">
        <x:f>IF(ISBLANK('Résultats détaillés'!F25),"",'Résultats détaillés'!F25)</x:f>
      </x:c>
      <x:c r="AH24" t="n">
        <x:f>IF(ISNUMBER('Résultats détaillés'!H25),IF(AND('Résultats détaillés'!H25&gt;=1,'Résultats détaillés'!H25&lt;=4,MOD('Résultats détaillés'!H25,1)=0),'Résultats détaillés'!H25,0),0)</x:f>
        <x:v>0</x:v>
      </x:c>
      <x:c r="AI24" t="str">
        <x:f>IF(ISBLANK('Résultats détaillés'!W25),"",'Résultats détaillés'!W25)</x:f>
      </x:c>
      <x:c r="AJ24" t="n">
        <x:f>IF(LEN(TRIM(AI24))&gt;0,1,0)</x:f>
        <x:v>0</x:v>
      </x:c>
      <x:c r="AK24" t="n">
        <x:f>IF(LEN(TRIM('Résultats détaillés'!G25))&gt;0,1,0)</x:f>
        <x:v>0</x:v>
      </x:c>
      <x:c r="AL24" t="n">
        <x:f>IF(OR(IF(LEN('Résultats détaillés'!E25)=0,FALSE,NOT(IF(ISNUMBER('Résultats détaillés'!E25),AND('Résultats détaillés'!E25&gt;=0,'Résultats détaillés'!E25&lt;=3,MOD('Résultats détaillés'!E25,1)=0),FALSE))),IF(LEN('Résultats détaillés'!F25)=0,FALSE,NOT(IF(ISNUMBER('Résultats détaillés'!F25),AND('Résultats détaillés'!F25&gt;=1,'Résultats détaillés'!F25&lt;=4,MOD('Résultats détaillés'!F25,1)=0),FALSE))),IF(LEN('Résultats détaillés'!H25)=0,FALSE,NOT(IF(ISNUMBER('Résultats détaillés'!H25),AND('Résultats détaillés'!H25&gt;=1,'Résultats détaillés'!H25&lt;=4,MOD('Résultats détaillés'!H25,1)=0),FALSE)))),1,0)</x:f>
        <x:v>0</x:v>
      </x:c>
      <x:c r="AM24" t="n">
        <x:f>IF(AND(ISNUMBER(AB24),AB24&gt;0,AK24=0),1,0)</x:f>
        <x:v>0</x:v>
      </x:c>
      <x:c r="AN24" t="n">
        <x:v>25</x:v>
      </x:c>
      <x:c r="AO24" t="n">
        <x:f>IF(AND(ISNUMBER(AB24),AB24&gt;0),1,0)</x:f>
        <x:v>0</x:v>
      </x:c>
      <x:c r="AP24" t="n">
        <x:f>IF(AND(AC24&gt;0,AH24=0),1,0)</x:f>
        <x:v>0</x:v>
      </x:c>
      <x:c r="AQ24" t="n">
        <x:f>IF(AND(AC24&gt;0,AJ24=0),1,0)</x:f>
        <x:v>0</x:v>
      </x:c>
      <x:c r="AR24" t="n">
        <x:f>IF(ISNUMBER(AB24),1,0)</x:f>
        <x:v>0</x:v>
      </x:c>
    </x:row>
    <x:row r="25" s="1211" customFormat="1" ht="24" customHeight="1">
      <x:c r="A25"/>
      <x:c r="B25" s="1923"/>
      <x:c r="C25" s="1923"/>
      <x:c r="D25" s="1923"/>
      <x:c r="E25" s="1923"/>
      <x:c r="F25" s="1923"/>
      <x:c r="G25" s="1923"/>
      <x:c r="H25" s="1923"/>
      <x:c r="I25" s="1923"/>
      <x:c r="J25" s="1923"/>
      <x:c r="K25" s="1923"/>
      <x:c r="L25" s="1923"/>
      <x:c r="M25" s="1923"/>
      <x:c r="AA25" t="n">
        <x:v>3</x:v>
      </x:c>
      <x:c r="AB25" t="str">
        <x:f>IF(ISNUMBER('Résultats détaillés'!T26),'Résultats détaillés'!T26,"")</x:f>
      </x:c>
      <x:c r="AC25" t="n">
        <x:f>IF(AND(ISNUMBER(AB25),AB25&gt;=5),AB25*100+13,0)</x:f>
        <x:v>0</x:v>
      </x:c>
      <x:c r="AD25" t="str">
        <x:f>IF(ISBLANK('Résultats détaillés'!B26),"",'Résultats détaillés'!B26)</x:f>
        <x:v>3.7</x:v>
      </x:c>
      <x:c r="AE25" t="str">
        <x:f>IF(ISBLANK('Résultats détaillés'!C26),"",'Résultats détaillés'!C26)</x:f>
        <x:v>Intégrer le numérique responsable au rapport de développement durable de la collectivité, et le faire connaître aux habitants et aux partenaires.</x:v>
      </x:c>
      <x:c r="AF25" t="str">
        <x:f>IF(ISBLANK('Résultats détaillés'!E26),"",'Résultats détaillés'!E26)</x:f>
      </x:c>
      <x:c r="AG25" t="str">
        <x:f>IF(ISBLANK('Résultats détaillés'!F26),"",'Résultats détaillés'!F26)</x:f>
      </x:c>
      <x:c r="AH25" t="n">
        <x:f>IF(ISNUMBER('Résultats détaillés'!H26),IF(AND('Résultats détaillés'!H26&gt;=1,'Résultats détaillés'!H26&lt;=4,MOD('Résultats détaillés'!H26,1)=0),'Résultats détaillés'!H26,0),0)</x:f>
        <x:v>0</x:v>
      </x:c>
      <x:c r="AI25" t="str">
        <x:f>IF(ISBLANK('Résultats détaillés'!W26),"",'Résultats détaillés'!W26)</x:f>
      </x:c>
      <x:c r="AJ25" t="n">
        <x:f>IF(LEN(TRIM(AI25))&gt;0,1,0)</x:f>
        <x:v>0</x:v>
      </x:c>
      <x:c r="AK25" t="n">
        <x:f>IF(LEN(TRIM('Résultats détaillés'!G26))&gt;0,1,0)</x:f>
        <x:v>0</x:v>
      </x:c>
      <x:c r="AL25" t="n">
        <x:f>IF(OR(IF(LEN('Résultats détaillés'!E26)=0,FALSE,NOT(IF(ISNUMBER('Résultats détaillés'!E26),AND('Résultats détaillés'!E26&gt;=0,'Résultats détaillés'!E26&lt;=3,MOD('Résultats détaillés'!E26,1)=0),FALSE))),IF(LEN('Résultats détaillés'!F26)=0,FALSE,NOT(IF(ISNUMBER('Résultats détaillés'!F26),AND('Résultats détaillés'!F26&gt;=1,'Résultats détaillés'!F26&lt;=4,MOD('Résultats détaillés'!F26,1)=0),FALSE))),IF(LEN('Résultats détaillés'!H26)=0,FALSE,NOT(IF(ISNUMBER('Résultats détaillés'!H26),AND('Résultats détaillés'!H26&gt;=1,'Résultats détaillés'!H26&lt;=4,MOD('Résultats détaillés'!H26,1)=0),FALSE)))),1,0)</x:f>
        <x:v>0</x:v>
      </x:c>
      <x:c r="AM25" t="n">
        <x:f>IF(AND(ISNUMBER(AB25),AB25&gt;0,AK25=0),1,0)</x:f>
        <x:v>0</x:v>
      </x:c>
      <x:c r="AN25" t="n">
        <x:v>26</x:v>
      </x:c>
      <x:c r="AO25" t="n">
        <x:f>IF(AND(ISNUMBER(AB25),AB25&gt;0),1,0)</x:f>
        <x:v>0</x:v>
      </x:c>
      <x:c r="AP25" t="n">
        <x:f>IF(AND(AC25&gt;0,AH25=0),1,0)</x:f>
        <x:v>0</x:v>
      </x:c>
      <x:c r="AQ25" t="n">
        <x:f>IF(AND(AC25&gt;0,AJ25=0),1,0)</x:f>
        <x:v>0</x:v>
      </x:c>
      <x:c r="AR25" t="n">
        <x:f>IF(ISNUMBER(AB25),1,0)</x:f>
        <x:v>0</x:v>
      </x:c>
    </x:row>
    <x:row r="26" s="1211" customFormat="1" ht="24" customHeight="1">
      <x:c r="A26"/>
      <x:c r="B26" s="1923"/>
      <x:c r="C26" s="1923"/>
      <x:c r="D26" s="1923"/>
      <x:c r="E26" s="1923"/>
      <x:c r="F26" s="1923"/>
      <x:c r="G26" s="1923"/>
      <x:c r="H26" s="1923"/>
      <x:c r="I26" s="1923"/>
      <x:c r="J26" s="1923"/>
      <x:c r="K26" s="1923"/>
      <x:c r="L26" s="1923"/>
      <x:c r="M26" s="1923"/>
      <x:c r="AA26" t="n">
        <x:v>3</x:v>
      </x:c>
      <x:c r="AB26" t="str">
        <x:f>IF(ISNUMBER('Résultats détaillés'!T27),'Résultats détaillés'!T27,"")</x:f>
      </x:c>
      <x:c r="AC26" t="n">
        <x:f>IF(AND(ISNUMBER(AB26),AB26&gt;=5),AB26*100+12,0)</x:f>
        <x:v>0</x:v>
      </x:c>
      <x:c r="AD26" t="str">
        <x:f>IF(ISBLANK('Résultats détaillés'!B27),"",'Résultats détaillés'!B27)</x:f>
        <x:v>3.8</x:v>
      </x:c>
      <x:c r="AE26" t="str">
        <x:f>IF(ISBLANK('Résultats détaillés'!C27),"",'Résultats détaillés'!C27)</x:f>
        <x:v>Indiquer aux habitants quand une intelligence artificielle leur répond, expliquer comment elle décide, et garder une décision humaine pour les sujets sensibles.</x:v>
      </x:c>
      <x:c r="AF26" t="str">
        <x:f>IF(ISBLANK('Résultats détaillés'!E27),"",'Résultats détaillés'!E27)</x:f>
      </x:c>
      <x:c r="AG26" t="str">
        <x:f>IF(ISBLANK('Résultats détaillés'!F27),"",'Résultats détaillés'!F27)</x:f>
      </x:c>
      <x:c r="AH26" t="n">
        <x:f>IF(ISNUMBER('Résultats détaillés'!H27),IF(AND('Résultats détaillés'!H27&gt;=1,'Résultats détaillés'!H27&lt;=4,MOD('Résultats détaillés'!H27,1)=0),'Résultats détaillés'!H27,0),0)</x:f>
        <x:v>0</x:v>
      </x:c>
      <x:c r="AI26" t="str">
        <x:f>IF(ISBLANK('Résultats détaillés'!W27),"",'Résultats détaillés'!W27)</x:f>
      </x:c>
      <x:c r="AJ26" t="n">
        <x:f>IF(LEN(TRIM(AI26))&gt;0,1,0)</x:f>
        <x:v>0</x:v>
      </x:c>
      <x:c r="AK26" t="n">
        <x:f>IF(LEN(TRIM('Résultats détaillés'!G27))&gt;0,1,0)</x:f>
        <x:v>0</x:v>
      </x:c>
      <x:c r="AL26" t="n">
        <x:f>IF(OR(IF(LEN('Résultats détaillés'!E27)=0,FALSE,NOT(IF(ISNUMBER('Résultats détaillés'!E27),AND('Résultats détaillés'!E27&gt;=0,'Résultats détaillés'!E27&lt;=3,MOD('Résultats détaillés'!E27,1)=0),FALSE))),IF(LEN('Résultats détaillés'!F27)=0,FALSE,NOT(IF(ISNUMBER('Résultats détaillés'!F27),AND('Résultats détaillés'!F27&gt;=1,'Résultats détaillés'!F27&lt;=4,MOD('Résultats détaillés'!F27,1)=0),FALSE))),IF(LEN('Résultats détaillés'!H27)=0,FALSE,NOT(IF(ISNUMBER('Résultats détaillés'!H27),AND('Résultats détaillés'!H27&gt;=1,'Résultats détaillés'!H27&lt;=4,MOD('Résultats détaillés'!H27,1)=0),FALSE)))),1,0)</x:f>
        <x:v>0</x:v>
      </x:c>
      <x:c r="AM26" t="n">
        <x:f>IF(AND(ISNUMBER(AB26),AB26&gt;0,AK26=0),1,0)</x:f>
        <x:v>0</x:v>
      </x:c>
      <x:c r="AN26" t="n">
        <x:v>27</x:v>
      </x:c>
      <x:c r="AO26" t="n">
        <x:f>IF(AND(ISNUMBER(AB26),AB26&gt;0),1,0)</x:f>
        <x:v>0</x:v>
      </x:c>
      <x:c r="AP26" t="n">
        <x:f>IF(AND(AC26&gt;0,AH26=0),1,0)</x:f>
        <x:v>0</x:v>
      </x:c>
      <x:c r="AQ26" t="n">
        <x:f>IF(AND(AC26&gt;0,AJ26=0),1,0)</x:f>
        <x:v>0</x:v>
      </x:c>
      <x:c r="AR26" t="n">
        <x:f>IF(ISNUMBER(AB26),1,0)</x:f>
        <x:v>0</x:v>
      </x:c>
    </x:row>
    <x:row r="27" s="1211" customFormat="1" ht="24" customHeight="1">
      <x:c r="A27"/>
      <x:c r="B27" s="1923"/>
      <x:c r="C27" s="1923"/>
      <x:c r="D27" s="1923"/>
      <x:c r="E27" s="1923"/>
      <x:c r="F27" s="1923"/>
      <x:c r="G27" s="1923"/>
      <x:c r="H27" s="1923"/>
      <x:c r="I27" s="1923"/>
      <x:c r="J27" s="1923"/>
      <x:c r="K27" s="1923"/>
      <x:c r="L27" s="1923"/>
      <x:c r="M27" s="1923"/>
      <x:c r="AA27" t="n">
        <x:v>4</x:v>
      </x:c>
      <x:c r="AB27" t="str">
        <x:f>IF(ISNUMBER('Résultats détaillés'!T29),'Résultats détaillés'!T29,"")</x:f>
      </x:c>
      <x:c r="AC27" t="n">
        <x:f>IF(AND(ISNUMBER(AB27),AB27&gt;=5),AB27*100+11,0)</x:f>
        <x:v>0</x:v>
      </x:c>
      <x:c r="AD27" t="str">
        <x:f>IF(ISBLANK('Résultats détaillés'!B29),"",'Résultats détaillés'!B29)</x:f>
        <x:v>4.1</x:v>
      </x:c>
      <x:c r="AE27" t="str">
        <x:f>IF(ISBLANK('Résultats détaillés'!C29),"",'Résultats détaillés'!C29)</x:f>
        <x:v>Mesurer l'empreinte environnementale du numérique de la collectivité avec des méthodes communes, pour se comparer à d'autres collectivités.</x:v>
      </x:c>
      <x:c r="AF27" t="str">
        <x:f>IF(ISBLANK('Résultats détaillés'!E29),"",'Résultats détaillés'!E29)</x:f>
      </x:c>
      <x:c r="AG27" t="str">
        <x:f>IF(ISBLANK('Résultats détaillés'!F29),"",'Résultats détaillés'!F29)</x:f>
      </x:c>
      <x:c r="AH27" t="n">
        <x:f>IF(ISNUMBER('Résultats détaillés'!H29),IF(AND('Résultats détaillés'!H29&gt;=1,'Résultats détaillés'!H29&lt;=4,MOD('Résultats détaillés'!H29,1)=0),'Résultats détaillés'!H29,0),0)</x:f>
        <x:v>0</x:v>
      </x:c>
      <x:c r="AI27" t="str">
        <x:f>IF(ISBLANK('Résultats détaillés'!W29),"",'Résultats détaillés'!W29)</x:f>
      </x:c>
      <x:c r="AJ27" t="n">
        <x:f>IF(LEN(TRIM(AI27))&gt;0,1,0)</x:f>
        <x:v>0</x:v>
      </x:c>
      <x:c r="AK27" t="n">
        <x:f>IF(LEN(TRIM('Résultats détaillés'!G29))&gt;0,1,0)</x:f>
        <x:v>0</x:v>
      </x:c>
      <x:c r="AL27" t="n">
        <x:f>IF(OR(IF(LEN('Résultats détaillés'!E29)=0,FALSE,NOT(IF(ISNUMBER('Résultats détaillés'!E29),AND('Résultats détaillés'!E29&gt;=0,'Résultats détaillés'!E29&lt;=3,MOD('Résultats détaillés'!E29,1)=0),FALSE))),IF(LEN('Résultats détaillés'!F29)=0,FALSE,NOT(IF(ISNUMBER('Résultats détaillés'!F29),AND('Résultats détaillés'!F29&gt;=1,'Résultats détaillés'!F29&lt;=4,MOD('Résultats détaillés'!F29,1)=0),FALSE))),IF(LEN('Résultats détaillés'!H29)=0,FALSE,NOT(IF(ISNUMBER('Résultats détaillés'!H29),AND('Résultats détaillés'!H29&gt;=1,'Résultats détaillés'!H29&lt;=4,MOD('Résultats détaillés'!H29,1)=0),FALSE)))),1,0)</x:f>
        <x:v>0</x:v>
      </x:c>
      <x:c r="AM27" t="n">
        <x:f>IF(AND(ISNUMBER(AB27),AB27&gt;0,AK27=0),1,0)</x:f>
        <x:v>0</x:v>
      </x:c>
      <x:c r="AN27" t="n">
        <x:v>29</x:v>
      </x:c>
      <x:c r="AO27" t="n">
        <x:f>IF(AND(ISNUMBER(AB27),AB27&gt;0),1,0)</x:f>
        <x:v>0</x:v>
      </x:c>
      <x:c r="AP27" t="n">
        <x:f>IF(AND(AC27&gt;0,AH27=0),1,0)</x:f>
        <x:v>0</x:v>
      </x:c>
      <x:c r="AQ27" t="n">
        <x:f>IF(AND(AC27&gt;0,AJ27=0),1,0)</x:f>
        <x:v>0</x:v>
      </x:c>
      <x:c r="AR27" t="n">
        <x:f>IF(ISNUMBER(AB27),1,0)</x:f>
        <x:v>0</x:v>
      </x:c>
    </x:row>
    <x:row r="28" s="1211" customFormat="1" ht="24" customHeight="1">
      <x:c r="A28"/>
      <x:c r="B28" s="1923"/>
      <x:c r="C28" s="1923"/>
      <x:c r="D28" s="1923"/>
      <x:c r="E28" s="1923"/>
      <x:c r="F28" s="1923"/>
      <x:c r="G28" s="1923"/>
      <x:c r="H28" s="1923"/>
      <x:c r="I28" s="1923"/>
      <x:c r="J28" s="1923"/>
      <x:c r="K28" s="1923"/>
      <x:c r="L28" s="1923"/>
      <x:c r="M28" s="1923"/>
      <x:c r="AA28" t="n">
        <x:v>4</x:v>
      </x:c>
      <x:c r="AB28" t="str">
        <x:f>IF(ISNUMBER('Résultats détaillés'!T30),'Résultats détaillés'!T30,"")</x:f>
      </x:c>
      <x:c r="AC28" t="n">
        <x:f>IF(AND(ISNUMBER(AB28),AB28&gt;=5),AB28*100+10,0)</x:f>
        <x:v>0</x:v>
      </x:c>
      <x:c r="AD28" t="str">
        <x:f>IF(ISBLANK('Résultats détaillés'!B30),"",'Résultats détaillés'!B30)</x:f>
        <x:v>4.2</x:v>
      </x:c>
      <x:c r="AE28" t="str">
        <x:f>IF(ISBLANK('Résultats détaillés'!C30),"",'Résultats détaillés'!C30)</x:f>
        <x:v>Évaluer les services numériques au fil du temps, avec les usagers, et publier les résultats.</x:v>
      </x:c>
      <x:c r="AF28" t="str">
        <x:f>IF(ISBLANK('Résultats détaillés'!E30),"",'Résultats détaillés'!E30)</x:f>
      </x:c>
      <x:c r="AG28" t="str">
        <x:f>IF(ISBLANK('Résultats détaillés'!F30),"",'Résultats détaillés'!F30)</x:f>
      </x:c>
      <x:c r="AH28" t="n">
        <x:f>IF(ISNUMBER('Résultats détaillés'!H30),IF(AND('Résultats détaillés'!H30&gt;=1,'Résultats détaillés'!H30&lt;=4,MOD('Résultats détaillés'!H30,1)=0),'Résultats détaillés'!H30,0),0)</x:f>
        <x:v>0</x:v>
      </x:c>
      <x:c r="AI28" t="str">
        <x:f>IF(ISBLANK('Résultats détaillés'!W30),"",'Résultats détaillés'!W30)</x:f>
      </x:c>
      <x:c r="AJ28" t="n">
        <x:f>IF(LEN(TRIM(AI28))&gt;0,1,0)</x:f>
        <x:v>0</x:v>
      </x:c>
      <x:c r="AK28" t="n">
        <x:f>IF(LEN(TRIM('Résultats détaillés'!G30))&gt;0,1,0)</x:f>
        <x:v>0</x:v>
      </x:c>
      <x:c r="AL28" t="n">
        <x:f>IF(OR(IF(LEN('Résultats détaillés'!E30)=0,FALSE,NOT(IF(ISNUMBER('Résultats détaillés'!E30),AND('Résultats détaillés'!E30&gt;=0,'Résultats détaillés'!E30&lt;=3,MOD('Résultats détaillés'!E30,1)=0),FALSE))),IF(LEN('Résultats détaillés'!F30)=0,FALSE,NOT(IF(ISNUMBER('Résultats détaillés'!F30),AND('Résultats détaillés'!F30&gt;=1,'Résultats détaillés'!F30&lt;=4,MOD('Résultats détaillés'!F30,1)=0),FALSE))),IF(LEN('Résultats détaillés'!H30)=0,FALSE,NOT(IF(ISNUMBER('Résultats détaillés'!H30),AND('Résultats détaillés'!H30&gt;=1,'Résultats détaillés'!H30&lt;=4,MOD('Résultats détaillés'!H30,1)=0),FALSE)))),1,0)</x:f>
        <x:v>0</x:v>
      </x:c>
      <x:c r="AM28" t="n">
        <x:f>IF(AND(ISNUMBER(AB28),AB28&gt;0,AK28=0),1,0)</x:f>
        <x:v>0</x:v>
      </x:c>
      <x:c r="AN28" t="n">
        <x:v>30</x:v>
      </x:c>
      <x:c r="AO28" t="n">
        <x:f>IF(AND(ISNUMBER(AB28),AB28&gt;0),1,0)</x:f>
        <x:v>0</x:v>
      </x:c>
      <x:c r="AP28" t="n">
        <x:f>IF(AND(AC28&gt;0,AH28=0),1,0)</x:f>
        <x:v>0</x:v>
      </x:c>
      <x:c r="AQ28" t="n">
        <x:f>IF(AND(AC28&gt;0,AJ28=0),1,0)</x:f>
        <x:v>0</x:v>
      </x:c>
      <x:c r="AR28" t="n">
        <x:f>IF(ISNUMBER(AB28),1,0)</x:f>
        <x:v>0</x:v>
      </x:c>
    </x:row>
    <x:row r="29" s="1211" customFormat="1" ht="24" customHeight="1">
      <x:c r="A29"/>
      <x:c r="B29" s="1923"/>
      <x:c r="C29" s="1923"/>
      <x:c r="D29" s="1923"/>
      <x:c r="E29" s="1923"/>
      <x:c r="F29" s="1923"/>
      <x:c r="G29" s="1923"/>
      <x:c r="H29" s="1923"/>
      <x:c r="I29" s="1923"/>
      <x:c r="J29" s="1923"/>
      <x:c r="K29" s="1923"/>
      <x:c r="L29" s="1923"/>
      <x:c r="M29" s="1923"/>
      <x:c r="AA29" t="n">
        <x:v>4</x:v>
      </x:c>
      <x:c r="AB29" t="str">
        <x:f>IF(ISNUMBER('Résultats détaillés'!T31),'Résultats détaillés'!T31,"")</x:f>
      </x:c>
      <x:c r="AC29" t="n">
        <x:f>IF(AND(ISNUMBER(AB29),AB29&gt;=5),AB29*100+9,0)</x:f>
        <x:v>0</x:v>
      </x:c>
      <x:c r="AD29" t="str">
        <x:f>IF(ISBLANK('Résultats détaillés'!B31),"",'Résultats détaillés'!B31)</x:f>
        <x:v>4.3</x:v>
      </x:c>
      <x:c r="AE29" t="str">
        <x:f>IF(ISBLANK('Résultats détaillés'!C31),"",'Résultats détaillés'!C31)</x:f>
        <x:v>Expérimenter de nouveaux outils numériques pour le territoire. Évaluer leurs effets avant de les généraliser, et expliquer les résultats aux habitants.</x:v>
      </x:c>
      <x:c r="AF29" t="str">
        <x:f>IF(ISBLANK('Résultats détaillés'!E31),"",'Résultats détaillés'!E31)</x:f>
      </x:c>
      <x:c r="AG29" t="str">
        <x:f>IF(ISBLANK('Résultats détaillés'!F31),"",'Résultats détaillés'!F31)</x:f>
      </x:c>
      <x:c r="AH29" t="n">
        <x:f>IF(ISNUMBER('Résultats détaillés'!H31),IF(AND('Résultats détaillés'!H31&gt;=1,'Résultats détaillés'!H31&lt;=4,MOD('Résultats détaillés'!H31,1)=0),'Résultats détaillés'!H31,0),0)</x:f>
        <x:v>0</x:v>
      </x:c>
      <x:c r="AI29" t="str">
        <x:f>IF(ISBLANK('Résultats détaillés'!W31),"",'Résultats détaillés'!W31)</x:f>
      </x:c>
      <x:c r="AJ29" t="n">
        <x:f>IF(LEN(TRIM(AI29))&gt;0,1,0)</x:f>
        <x:v>0</x:v>
      </x:c>
      <x:c r="AK29" t="n">
        <x:f>IF(LEN(TRIM('Résultats détaillés'!G31))&gt;0,1,0)</x:f>
        <x:v>0</x:v>
      </x:c>
      <x:c r="AL29" t="n">
        <x:f>IF(OR(IF(LEN('Résultats détaillés'!E31)=0,FALSE,NOT(IF(ISNUMBER('Résultats détaillés'!E31),AND('Résultats détaillés'!E31&gt;=0,'Résultats détaillés'!E31&lt;=3,MOD('Résultats détaillés'!E31,1)=0),FALSE))),IF(LEN('Résultats détaillés'!F31)=0,FALSE,NOT(IF(ISNUMBER('Résultats détaillés'!F31),AND('Résultats détaillés'!F31&gt;=1,'Résultats détaillés'!F31&lt;=4,MOD('Résultats détaillés'!F31,1)=0),FALSE))),IF(LEN('Résultats détaillés'!H31)=0,FALSE,NOT(IF(ISNUMBER('Résultats détaillés'!H31),AND('Résultats détaillés'!H31&gt;=1,'Résultats détaillés'!H31&lt;=4,MOD('Résultats détaillés'!H31,1)=0),FALSE)))),1,0)</x:f>
        <x:v>0</x:v>
      </x:c>
      <x:c r="AM29" t="n">
        <x:f>IF(AND(ISNUMBER(AB29),AB29&gt;0,AK29=0),1,0)</x:f>
        <x:v>0</x:v>
      </x:c>
      <x:c r="AN29" t="n">
        <x:v>31</x:v>
      </x:c>
      <x:c r="AO29" t="n">
        <x:f>IF(AND(ISNUMBER(AB29),AB29&gt;0),1,0)</x:f>
        <x:v>0</x:v>
      </x:c>
      <x:c r="AP29" t="n">
        <x:f>IF(AND(AC29&gt;0,AH29=0),1,0)</x:f>
        <x:v>0</x:v>
      </x:c>
      <x:c r="AQ29" t="n">
        <x:f>IF(AND(AC29&gt;0,AJ29=0),1,0)</x:f>
        <x:v>0</x:v>
      </x:c>
      <x:c r="AR29" t="n">
        <x:f>IF(ISNUMBER(AB29),1,0)</x:f>
        <x:v>0</x:v>
      </x:c>
    </x:row>
    <x:row r="30" s="1211" customFormat="1" ht="24" customHeight="1">
      <x:c r="A30"/>
      <x:c r="B30" s="1923"/>
      <x:c r="C30" s="1923"/>
      <x:c r="D30" s="1923"/>
      <x:c r="E30" s="1923"/>
      <x:c r="F30" s="1923"/>
      <x:c r="G30" s="1923"/>
      <x:c r="H30" s="1923"/>
      <x:c r="I30" s="1923"/>
      <x:c r="J30" s="1923"/>
      <x:c r="K30" s="1923"/>
      <x:c r="L30" s="1923"/>
      <x:c r="M30" s="1923"/>
      <x:c r="AA30" t="n">
        <x:v>4</x:v>
      </x:c>
      <x:c r="AB30" t="str">
        <x:f>IF(ISNUMBER('Résultats détaillés'!T32),'Résultats détaillés'!T32,"")</x:f>
      </x:c>
      <x:c r="AC30" t="n">
        <x:f>IF(AND(ISNUMBER(AB30),AB30&gt;=5),AB30*100+8,0)</x:f>
        <x:v>0</x:v>
      </x:c>
      <x:c r="AD30" t="str">
        <x:f>IF(ISBLANK('Résultats détaillés'!B32),"",'Résultats détaillés'!B32)</x:f>
        <x:v>4.4</x:v>
      </x:c>
      <x:c r="AE30" t="str">
        <x:f>IF(ISBLANK('Résultats détaillés'!C32),"",'Résultats détaillés'!C32)</x:f>
        <x:v>Garder la maîtrise des données publiques, des outils et des choix techniques : solutions libres, hébergement de confiance, réversibilité des contrats.</x:v>
      </x:c>
      <x:c r="AF30" t="str">
        <x:f>IF(ISBLANK('Résultats détaillés'!E32),"",'Résultats détaillés'!E32)</x:f>
      </x:c>
      <x:c r="AG30" t="str">
        <x:f>IF(ISBLANK('Résultats détaillés'!F32),"",'Résultats détaillés'!F32)</x:f>
      </x:c>
      <x:c r="AH30" t="n">
        <x:f>IF(ISNUMBER('Résultats détaillés'!H32),IF(AND('Résultats détaillés'!H32&gt;=1,'Résultats détaillés'!H32&lt;=4,MOD('Résultats détaillés'!H32,1)=0),'Résultats détaillés'!H32,0),0)</x:f>
        <x:v>0</x:v>
      </x:c>
      <x:c r="AI30" t="str">
        <x:f>IF(ISBLANK('Résultats détaillés'!W32),"",'Résultats détaillés'!W32)</x:f>
      </x:c>
      <x:c r="AJ30" t="n">
        <x:f>IF(LEN(TRIM(AI30))&gt;0,1,0)</x:f>
        <x:v>0</x:v>
      </x:c>
      <x:c r="AK30" t="n">
        <x:f>IF(LEN(TRIM('Résultats détaillés'!G32))&gt;0,1,0)</x:f>
        <x:v>0</x:v>
      </x:c>
      <x:c r="AL30" t="n">
        <x:f>IF(OR(IF(LEN('Résultats détaillés'!E32)=0,FALSE,NOT(IF(ISNUMBER('Résultats détaillés'!E32),AND('Résultats détaillés'!E32&gt;=0,'Résultats détaillés'!E32&lt;=3,MOD('Résultats détaillés'!E32,1)=0),FALSE))),IF(LEN('Résultats détaillés'!F32)=0,FALSE,NOT(IF(ISNUMBER('Résultats détaillés'!F32),AND('Résultats détaillés'!F32&gt;=1,'Résultats détaillés'!F32&lt;=4,MOD('Résultats détaillés'!F32,1)=0),FALSE))),IF(LEN('Résultats détaillés'!H32)=0,FALSE,NOT(IF(ISNUMBER('Résultats détaillés'!H32),AND('Résultats détaillés'!H32&gt;=1,'Résultats détaillés'!H32&lt;=4,MOD('Résultats détaillés'!H32,1)=0),FALSE)))),1,0)</x:f>
        <x:v>0</x:v>
      </x:c>
      <x:c r="AM30" t="n">
        <x:f>IF(AND(ISNUMBER(AB30),AB30&gt;0,AK30=0),1,0)</x:f>
        <x:v>0</x:v>
      </x:c>
      <x:c r="AN30" t="n">
        <x:v>32</x:v>
      </x:c>
      <x:c r="AO30" t="n">
        <x:f>IF(AND(ISNUMBER(AB30),AB30&gt;0),1,0)</x:f>
        <x:v>0</x:v>
      </x:c>
      <x:c r="AP30" t="n">
        <x:f>IF(AND(AC30&gt;0,AH30=0),1,0)</x:f>
        <x:v>0</x:v>
      </x:c>
      <x:c r="AQ30" t="n">
        <x:f>IF(AND(AC30&gt;0,AJ30=0),1,0)</x:f>
        <x:v>0</x:v>
      </x:c>
      <x:c r="AR30" t="n">
        <x:f>IF(ISNUMBER(AB30),1,0)</x:f>
        <x:v>0</x:v>
      </x:c>
    </x:row>
    <x:row r="31" s="1211" customFormat="1" ht="24" customHeight="1">
      <x:c r="A31"/>
      <x:c r="B31" s="1923"/>
      <x:c r="C31" s="1923"/>
      <x:c r="D31" s="1923"/>
      <x:c r="E31" s="1923"/>
      <x:c r="F31" s="1923"/>
      <x:c r="G31" s="1923"/>
      <x:c r="H31" s="1923"/>
      <x:c r="I31" s="1923"/>
      <x:c r="J31" s="1923"/>
      <x:c r="K31" s="1923"/>
      <x:c r="L31" s="1923"/>
      <x:c r="M31" s="1923"/>
      <x:c r="AA31" t="n">
        <x:v>5</x:v>
      </x:c>
      <x:c r="AB31" t="str">
        <x:f>IF(ISNUMBER('Résultats détaillés'!T34),'Résultats détaillés'!T34,"")</x:f>
      </x:c>
      <x:c r="AC31" t="n">
        <x:f>IF(AND(ISNUMBER(AB31),AB31&gt;=5),AB31*100+7,0)</x:f>
        <x:v>0</x:v>
      </x:c>
      <x:c r="AD31" t="str">
        <x:f>IF(ISBLANK('Résultats détaillés'!B34),"",'Résultats détaillés'!B34)</x:f>
        <x:v>5.1</x:v>
      </x:c>
      <x:c r="AE31" t="str">
        <x:f>IF(ISBLANK('Résultats détaillés'!C34),"",'Résultats détaillés'!C34)</x:f>
        <x:v>Concevoir les services numériques comme des réponses aux besoins sociaux du territoire, avec les acteurs de l'action sociale et de la médiation.</x:v>
      </x:c>
      <x:c r="AF31" t="str">
        <x:f>IF(ISBLANK('Résultats détaillés'!E34),"",'Résultats détaillés'!E34)</x:f>
      </x:c>
      <x:c r="AG31" t="str">
        <x:f>IF(ISBLANK('Résultats détaillés'!F34),"",'Résultats détaillés'!F34)</x:f>
      </x:c>
      <x:c r="AH31" t="n">
        <x:f>IF(ISNUMBER('Résultats détaillés'!H34),IF(AND('Résultats détaillés'!H34&gt;=1,'Résultats détaillés'!H34&lt;=4,MOD('Résultats détaillés'!H34,1)=0),'Résultats détaillés'!H34,0),0)</x:f>
        <x:v>0</x:v>
      </x:c>
      <x:c r="AI31" t="str">
        <x:f>IF(ISBLANK('Résultats détaillés'!W34),"",'Résultats détaillés'!W34)</x:f>
      </x:c>
      <x:c r="AJ31" t="n">
        <x:f>IF(LEN(TRIM(AI31))&gt;0,1,0)</x:f>
        <x:v>0</x:v>
      </x:c>
      <x:c r="AK31" t="n">
        <x:f>IF(LEN(TRIM('Résultats détaillés'!G34))&gt;0,1,0)</x:f>
        <x:v>0</x:v>
      </x:c>
      <x:c r="AL31" t="n">
        <x:f>IF(OR(IF(LEN('Résultats détaillés'!E34)=0,FALSE,NOT(IF(ISNUMBER('Résultats détaillés'!E34),AND('Résultats détaillés'!E34&gt;=0,'Résultats détaillés'!E34&lt;=3,MOD('Résultats détaillés'!E34,1)=0),FALSE))),IF(LEN('Résultats détaillés'!F34)=0,FALSE,NOT(IF(ISNUMBER('Résultats détaillés'!F34),AND('Résultats détaillés'!F34&gt;=1,'Résultats détaillés'!F34&lt;=4,MOD('Résultats détaillés'!F34,1)=0),FALSE))),IF(LEN('Résultats détaillés'!H34)=0,FALSE,NOT(IF(ISNUMBER('Résultats détaillés'!H34),AND('Résultats détaillés'!H34&gt;=1,'Résultats détaillés'!H34&lt;=4,MOD('Résultats détaillés'!H34,1)=0),FALSE)))),1,0)</x:f>
        <x:v>0</x:v>
      </x:c>
      <x:c r="AM31" t="n">
        <x:f>IF(AND(ISNUMBER(AB31),AB31&gt;0,AK31=0),1,0)</x:f>
        <x:v>0</x:v>
      </x:c>
      <x:c r="AN31" t="n">
        <x:v>34</x:v>
      </x:c>
      <x:c r="AO31" t="n">
        <x:f>IF(AND(ISNUMBER(AB31),AB31&gt;0),1,0)</x:f>
        <x:v>0</x:v>
      </x:c>
      <x:c r="AP31" t="n">
        <x:f>IF(AND(AC31&gt;0,AH31=0),1,0)</x:f>
        <x:v>0</x:v>
      </x:c>
      <x:c r="AQ31" t="n">
        <x:f>IF(AND(AC31&gt;0,AJ31=0),1,0)</x:f>
        <x:v>0</x:v>
      </x:c>
      <x:c r="AR31" t="n">
        <x:f>IF(ISNUMBER(AB31),1,0)</x:f>
        <x:v>0</x:v>
      </x:c>
    </x:row>
    <x:row r="32" s="1211" customFormat="1" ht="24" customHeight="1">
      <x:c r="A32"/>
      <x:c r="B32" s="1923"/>
      <x:c r="C32" s="1923"/>
      <x:c r="D32" s="1923"/>
      <x:c r="E32" s="1923"/>
      <x:c r="F32" s="1923"/>
      <x:c r="G32" s="1923"/>
      <x:c r="H32" s="1923"/>
      <x:c r="I32" s="1923"/>
      <x:c r="J32" s="1923"/>
      <x:c r="K32" s="1923"/>
      <x:c r="L32" s="1923"/>
      <x:c r="M32" s="1923"/>
      <x:c r="AA32" t="n">
        <x:v>5</x:v>
      </x:c>
      <x:c r="AB32" t="str">
        <x:f>IF(ISNUMBER('Résultats détaillés'!T35),'Résultats détaillés'!T35,"")</x:f>
      </x:c>
      <x:c r="AC32" t="n">
        <x:f>IF(AND(ISNUMBER(AB32),AB32&gt;=5),AB32*100+6,0)</x:f>
        <x:v>0</x:v>
      </x:c>
      <x:c r="AD32" t="str">
        <x:f>IF(ISBLANK('Résultats détaillés'!B35),"",'Résultats détaillés'!B35)</x:f>
        <x:v>5.2</x:v>
      </x:c>
      <x:c r="AE32" t="str">
        <x:f>IF(ISBLANK('Résultats détaillés'!C35),"",'Résultats détaillés'!C35)</x:f>
        <x:v>Faire connaître et soutenir les initiatives des agents qui encouragent la coopération entre services et le bien-être au travail.</x:v>
      </x:c>
      <x:c r="AF32" t="str">
        <x:f>IF(ISBLANK('Résultats détaillés'!E35),"",'Résultats détaillés'!E35)</x:f>
      </x:c>
      <x:c r="AG32" t="str">
        <x:f>IF(ISBLANK('Résultats détaillés'!F35),"",'Résultats détaillés'!F35)</x:f>
      </x:c>
      <x:c r="AH32" t="n">
        <x:f>IF(ISNUMBER('Résultats détaillés'!H35),IF(AND('Résultats détaillés'!H35&gt;=1,'Résultats détaillés'!H35&lt;=4,MOD('Résultats détaillés'!H35,1)=0),'Résultats détaillés'!H35,0),0)</x:f>
        <x:v>0</x:v>
      </x:c>
      <x:c r="AI32" t="str">
        <x:f>IF(ISBLANK('Résultats détaillés'!W35),"",'Résultats détaillés'!W35)</x:f>
      </x:c>
      <x:c r="AJ32" t="n">
        <x:f>IF(LEN(TRIM(AI32))&gt;0,1,0)</x:f>
        <x:v>0</x:v>
      </x:c>
      <x:c r="AK32" t="n">
        <x:f>IF(LEN(TRIM('Résultats détaillés'!G35))&gt;0,1,0)</x:f>
        <x:v>0</x:v>
      </x:c>
      <x:c r="AL32" t="n">
        <x:f>IF(OR(IF(LEN('Résultats détaillés'!E35)=0,FALSE,NOT(IF(ISNUMBER('Résultats détaillés'!E35),AND('Résultats détaillés'!E35&gt;=0,'Résultats détaillés'!E35&lt;=3,MOD('Résultats détaillés'!E35,1)=0),FALSE))),IF(LEN('Résultats détaillés'!F35)=0,FALSE,NOT(IF(ISNUMBER('Résultats détaillés'!F35),AND('Résultats détaillés'!F35&gt;=1,'Résultats détaillés'!F35&lt;=4,MOD('Résultats détaillés'!F35,1)=0),FALSE))),IF(LEN('Résultats détaillés'!H35)=0,FALSE,NOT(IF(ISNUMBER('Résultats détaillés'!H35),AND('Résultats détaillés'!H35&gt;=1,'Résultats détaillés'!H35&lt;=4,MOD('Résultats détaillés'!H35,1)=0),FALSE)))),1,0)</x:f>
        <x:v>0</x:v>
      </x:c>
      <x:c r="AM32" t="n">
        <x:f>IF(AND(ISNUMBER(AB32),AB32&gt;0,AK32=0),1,0)</x:f>
        <x:v>0</x:v>
      </x:c>
      <x:c r="AN32" t="n">
        <x:v>35</x:v>
      </x:c>
      <x:c r="AO32" t="n">
        <x:f>IF(AND(ISNUMBER(AB32),AB32&gt;0),1,0)</x:f>
        <x:v>0</x:v>
      </x:c>
      <x:c r="AP32" t="n">
        <x:f>IF(AND(AC32&gt;0,AH32=0),1,0)</x:f>
        <x:v>0</x:v>
      </x:c>
      <x:c r="AQ32" t="n">
        <x:f>IF(AND(AC32&gt;0,AJ32=0),1,0)</x:f>
        <x:v>0</x:v>
      </x:c>
      <x:c r="AR32" t="n">
        <x:f>IF(ISNUMBER(AB32),1,0)</x:f>
        <x:v>0</x:v>
      </x:c>
    </x:row>
    <x:row r="33" s="1211" customFormat="1" ht="24" customHeight="1">
      <x:c r="A33"/>
      <x:c r="B33" s="1923"/>
      <x:c r="C33" s="1923"/>
      <x:c r="D33" s="1923"/>
      <x:c r="E33" s="1923"/>
      <x:c r="F33" s="1923"/>
      <x:c r="G33" s="1923"/>
      <x:c r="H33" s="1923"/>
      <x:c r="I33" s="1923"/>
      <x:c r="J33" s="1923"/>
      <x:c r="K33" s="1923"/>
      <x:c r="L33" s="1923"/>
      <x:c r="M33" s="1923"/>
      <x:c r="AA33" t="n">
        <x:v>5</x:v>
      </x:c>
      <x:c r="AB33" t="str">
        <x:f>IF(ISNUMBER('Résultats détaillés'!T36),'Résultats détaillés'!T36,"")</x:f>
      </x:c>
      <x:c r="AC33" t="n">
        <x:f>IF(AND(ISNUMBER(AB33),AB33&gt;=5),AB33*100+5,0)</x:f>
        <x:v>0</x:v>
      </x:c>
      <x:c r="AD33" t="str">
        <x:f>IF(ISBLANK('Résultats détaillés'!B36),"",'Résultats détaillés'!B36)</x:f>
        <x:v>5.3</x:v>
      </x:c>
      <x:c r="AE33" t="str">
        <x:f>IF(ISBLANK('Résultats détaillés'!C36),"",'Résultats détaillés'!C36)</x:f>
        <x:v>Associer les habitants, les associations, les entreprises et les autres collectivités du territoire aux choix numériques, en s'appuyant sur leur expertise.</x:v>
      </x:c>
      <x:c r="AF33" t="str">
        <x:f>IF(ISBLANK('Résultats détaillés'!E36),"",'Résultats détaillés'!E36)</x:f>
      </x:c>
      <x:c r="AG33" t="str">
        <x:f>IF(ISBLANK('Résultats détaillés'!F36),"",'Résultats détaillés'!F36)</x:f>
      </x:c>
      <x:c r="AH33" t="n">
        <x:f>IF(ISNUMBER('Résultats détaillés'!H36),IF(AND('Résultats détaillés'!H36&gt;=1,'Résultats détaillés'!H36&lt;=4,MOD('Résultats détaillés'!H36,1)=0),'Résultats détaillés'!H36,0),0)</x:f>
        <x:v>0</x:v>
      </x:c>
      <x:c r="AI33" t="str">
        <x:f>IF(ISBLANK('Résultats détaillés'!W36),"",'Résultats détaillés'!W36)</x:f>
      </x:c>
      <x:c r="AJ33" t="n">
        <x:f>IF(LEN(TRIM(AI33))&gt;0,1,0)</x:f>
        <x:v>0</x:v>
      </x:c>
      <x:c r="AK33" t="n">
        <x:f>IF(LEN(TRIM('Résultats détaillés'!G36))&gt;0,1,0)</x:f>
        <x:v>0</x:v>
      </x:c>
      <x:c r="AL33" t="n">
        <x:f>IF(OR(IF(LEN('Résultats détaillés'!E36)=0,FALSE,NOT(IF(ISNUMBER('Résultats détaillés'!E36),AND('Résultats détaillés'!E36&gt;=0,'Résultats détaillés'!E36&lt;=3,MOD('Résultats détaillés'!E36,1)=0),FALSE))),IF(LEN('Résultats détaillés'!F36)=0,FALSE,NOT(IF(ISNUMBER('Résultats détaillés'!F36),AND('Résultats détaillés'!F36&gt;=1,'Résultats détaillés'!F36&lt;=4,MOD('Résultats détaillés'!F36,1)=0),FALSE))),IF(LEN('Résultats détaillés'!H36)=0,FALSE,NOT(IF(ISNUMBER('Résultats détaillés'!H36),AND('Résultats détaillés'!H36&gt;=1,'Résultats détaillés'!H36&lt;=4,MOD('Résultats détaillés'!H36,1)=0),FALSE)))),1,0)</x:f>
        <x:v>0</x:v>
      </x:c>
      <x:c r="AM33" t="n">
        <x:f>IF(AND(ISNUMBER(AB33),AB33&gt;0,AK33=0),1,0)</x:f>
        <x:v>0</x:v>
      </x:c>
      <x:c r="AN33" t="n">
        <x:v>36</x:v>
      </x:c>
      <x:c r="AO33" t="n">
        <x:f>IF(AND(ISNUMBER(AB33),AB33&gt;0),1,0)</x:f>
        <x:v>0</x:v>
      </x:c>
      <x:c r="AP33" t="n">
        <x:f>IF(AND(AC33&gt;0,AH33=0),1,0)</x:f>
        <x:v>0</x:v>
      </x:c>
      <x:c r="AQ33" t="n">
        <x:f>IF(AND(AC33&gt;0,AJ33=0),1,0)</x:f>
        <x:v>0</x:v>
      </x:c>
      <x:c r="AR33" t="n">
        <x:f>IF(ISNUMBER(AB33),1,0)</x:f>
        <x:v>0</x:v>
      </x:c>
    </x:row>
    <x:row r="34" s="1211" customFormat="1" ht="24" customHeight="1">
      <x:c r="A34"/>
      <x:c r="B34" s="1923"/>
      <x:c r="C34" s="1923"/>
      <x:c r="D34" s="1923"/>
      <x:c r="E34" s="1923"/>
      <x:c r="F34" s="1923"/>
      <x:c r="G34" s="1923"/>
      <x:c r="H34" s="1923"/>
      <x:c r="I34" s="1923"/>
      <x:c r="J34" s="1923"/>
      <x:c r="K34" s="1923"/>
      <x:c r="L34" s="1923"/>
      <x:c r="M34" s="1923"/>
      <x:c r="AA34" t="n">
        <x:v>5</x:v>
      </x:c>
      <x:c r="AB34" t="str">
        <x:f>IF(ISNUMBER('Résultats détaillés'!T37),'Résultats détaillés'!T37,"")</x:f>
      </x:c>
      <x:c r="AC34" t="n">
        <x:f>IF(AND(ISNUMBER(AB34),AB34&gt;=5),AB34*100+4,0)</x:f>
        <x:v>0</x:v>
      </x:c>
      <x:c r="AD34" t="str">
        <x:f>IF(ISBLANK('Résultats détaillés'!B37),"",'Résultats détaillés'!B37)</x:f>
        <x:v>5.4</x:v>
      </x:c>
      <x:c r="AE34" t="str">
        <x:f>IF(ISBLANK('Résultats détaillés'!C37),"",'Résultats détaillés'!C37)</x:f>
        <x:v>Préparer un territoire où les générations futures pourront innover, vivre ensemble et préserver les écosystèmes, notamment par l'éducation au numérique responsable dans les écoles.</x:v>
      </x:c>
      <x:c r="AF34" t="str">
        <x:f>IF(ISBLANK('Résultats détaillés'!E37),"",'Résultats détaillés'!E37)</x:f>
      </x:c>
      <x:c r="AG34" t="str">
        <x:f>IF(ISBLANK('Résultats détaillés'!F37),"",'Résultats détaillés'!F37)</x:f>
      </x:c>
      <x:c r="AH34" t="n">
        <x:f>IF(ISNUMBER('Résultats détaillés'!H37),IF(AND('Résultats détaillés'!H37&gt;=1,'Résultats détaillés'!H37&lt;=4,MOD('Résultats détaillés'!H37,1)=0),'Résultats détaillés'!H37,0),0)</x:f>
        <x:v>0</x:v>
      </x:c>
      <x:c r="AI34" t="str">
        <x:f>IF(ISBLANK('Résultats détaillés'!W37),"",'Résultats détaillés'!W37)</x:f>
      </x:c>
      <x:c r="AJ34" t="n">
        <x:f>IF(LEN(TRIM(AI34))&gt;0,1,0)</x:f>
        <x:v>0</x:v>
      </x:c>
      <x:c r="AK34" t="n">
        <x:f>IF(LEN(TRIM('Résultats détaillés'!G37))&gt;0,1,0)</x:f>
        <x:v>0</x:v>
      </x:c>
      <x:c r="AL34" t="n">
        <x:f>IF(OR(IF(LEN('Résultats détaillés'!E37)=0,FALSE,NOT(IF(ISNUMBER('Résultats détaillés'!E37),AND('Résultats détaillés'!E37&gt;=0,'Résultats détaillés'!E37&lt;=3,MOD('Résultats détaillés'!E37,1)=0),FALSE))),IF(LEN('Résultats détaillés'!F37)=0,FALSE,NOT(IF(ISNUMBER('Résultats détaillés'!F37),AND('Résultats détaillés'!F37&gt;=1,'Résultats détaillés'!F37&lt;=4,MOD('Résultats détaillés'!F37,1)=0),FALSE))),IF(LEN('Résultats détaillés'!H37)=0,FALSE,NOT(IF(ISNUMBER('Résultats détaillés'!H37),AND('Résultats détaillés'!H37&gt;=1,'Résultats détaillés'!H37&lt;=4,MOD('Résultats détaillés'!H37,1)=0),FALSE)))),1,0)</x:f>
        <x:v>0</x:v>
      </x:c>
      <x:c r="AM34" t="n">
        <x:f>IF(AND(ISNUMBER(AB34),AB34&gt;0,AK34=0),1,0)</x:f>
        <x:v>0</x:v>
      </x:c>
      <x:c r="AN34" t="n">
        <x:v>37</x:v>
      </x:c>
      <x:c r="AO34" t="n">
        <x:f>IF(AND(ISNUMBER(AB34),AB34&gt;0),1,0)</x:f>
        <x:v>0</x:v>
      </x:c>
      <x:c r="AP34" t="n">
        <x:f>IF(AND(AC34&gt;0,AH34=0),1,0)</x:f>
        <x:v>0</x:v>
      </x:c>
      <x:c r="AQ34" t="n">
        <x:f>IF(AND(AC34&gt;0,AJ34=0),1,0)</x:f>
        <x:v>0</x:v>
      </x:c>
      <x:c r="AR34" t="n">
        <x:f>IF(ISNUMBER(AB34),1,0)</x:f>
        <x:v>0</x:v>
      </x:c>
    </x:row>
    <x:row r="35" s="1211" customFormat="1" ht="24" customHeight="1">
      <x:c r="A35"/>
      <x:c r="B35" s="1923"/>
      <x:c r="C35" s="1923"/>
      <x:c r="D35" s="1923"/>
      <x:c r="E35" s="1923"/>
      <x:c r="F35" s="1923"/>
      <x:c r="G35" s="1923"/>
      <x:c r="H35" s="1923"/>
      <x:c r="I35" s="1923"/>
      <x:c r="J35" s="1923"/>
      <x:c r="K35" s="1923"/>
      <x:c r="L35" s="1923"/>
      <x:c r="M35" s="1923"/>
      <x:c r="AA35" t="n">
        <x:v>5</x:v>
      </x:c>
      <x:c r="AB35" t="str">
        <x:f>IF(ISNUMBER('Résultats détaillés'!T38),'Résultats détaillés'!T38,"")</x:f>
      </x:c>
      <x:c r="AC35" t="n">
        <x:f>IF(AND(ISNUMBER(AB35),AB35&gt;=5),AB35*100+3,0)</x:f>
        <x:v>0</x:v>
      </x:c>
      <x:c r="AD35" t="str">
        <x:f>IF(ISBLANK('Résultats détaillés'!B38),"",'Résultats détaillés'!B38)</x:f>
        <x:v>5.5</x:v>
      </x:c>
      <x:c r="AE35" t="str">
        <x:f>IF(ISBLANK('Résultats détaillés'!C38),"",'Résultats détaillés'!C38)</x:f>
        <x:v>Suivre la stratégie numérique responsable de la collectivité avec quelques indicateurs, et en rendre compte aux élus.</x:v>
      </x:c>
      <x:c r="AF35" t="str">
        <x:f>IF(ISBLANK('Résultats détaillés'!E38),"",'Résultats détaillés'!E38)</x:f>
      </x:c>
      <x:c r="AG35" t="str">
        <x:f>IF(ISBLANK('Résultats détaillés'!F38),"",'Résultats détaillés'!F38)</x:f>
      </x:c>
      <x:c r="AH35" t="n">
        <x:f>IF(ISNUMBER('Résultats détaillés'!H38),IF(AND('Résultats détaillés'!H38&gt;=1,'Résultats détaillés'!H38&lt;=4,MOD('Résultats détaillés'!H38,1)=0),'Résultats détaillés'!H38,0),0)</x:f>
        <x:v>0</x:v>
      </x:c>
      <x:c r="AI35" t="str">
        <x:f>IF(ISBLANK('Résultats détaillés'!W38),"",'Résultats détaillés'!W38)</x:f>
      </x:c>
      <x:c r="AJ35" t="n">
        <x:f>IF(LEN(TRIM(AI35))&gt;0,1,0)</x:f>
        <x:v>0</x:v>
      </x:c>
      <x:c r="AK35" t="n">
        <x:f>IF(LEN(TRIM('Résultats détaillés'!G38))&gt;0,1,0)</x:f>
        <x:v>0</x:v>
      </x:c>
      <x:c r="AL35" t="n">
        <x:f>IF(OR(IF(LEN('Résultats détaillés'!E38)=0,FALSE,NOT(IF(ISNUMBER('Résultats détaillés'!E38),AND('Résultats détaillés'!E38&gt;=0,'Résultats détaillés'!E38&lt;=3,MOD('Résultats détaillés'!E38,1)=0),FALSE))),IF(LEN('Résultats détaillés'!F38)=0,FALSE,NOT(IF(ISNUMBER('Résultats détaillés'!F38),AND('Résultats détaillés'!F38&gt;=1,'Résultats détaillés'!F38&lt;=4,MOD('Résultats détaillés'!F38,1)=0),FALSE))),IF(LEN('Résultats détaillés'!H38)=0,FALSE,NOT(IF(ISNUMBER('Résultats détaillés'!H38),AND('Résultats détaillés'!H38&gt;=1,'Résultats détaillés'!H38&lt;=4,MOD('Résultats détaillés'!H38,1)=0),FALSE)))),1,0)</x:f>
        <x:v>0</x:v>
      </x:c>
      <x:c r="AM35" t="n">
        <x:f>IF(AND(ISNUMBER(AB35),AB35&gt;0,AK35=0),1,0)</x:f>
        <x:v>0</x:v>
      </x:c>
      <x:c r="AN35" t="n">
        <x:v>38</x:v>
      </x:c>
      <x:c r="AO35" t="n">
        <x:f>IF(AND(ISNUMBER(AB35),AB35&gt;0),1,0)</x:f>
        <x:v>0</x:v>
      </x:c>
      <x:c r="AP35" t="n">
        <x:f>IF(AND(AC35&gt;0,AH35=0),1,0)</x:f>
        <x:v>0</x:v>
      </x:c>
      <x:c r="AQ35" t="n">
        <x:f>IF(AND(AC35&gt;0,AJ35=0),1,0)</x:f>
        <x:v>0</x:v>
      </x:c>
      <x:c r="AR35" t="n">
        <x:f>IF(ISNUMBER(AB35),1,0)</x:f>
        <x:v>0</x:v>
      </x:c>
    </x:row>
    <x:row r="36" s="1211" customFormat="1" ht="24" customHeight="1">
      <x:c r="A36"/>
      <x:c r="B36" s="1923"/>
      <x:c r="C36" s="1923"/>
      <x:c r="D36" s="1923"/>
      <x:c r="E36" s="1923"/>
      <x:c r="F36" s="1923"/>
      <x:c r="G36" s="1923"/>
      <x:c r="H36" s="1923"/>
      <x:c r="I36" s="1923"/>
      <x:c r="J36" s="1923"/>
      <x:c r="K36" s="1923"/>
      <x:c r="L36" s="1923"/>
      <x:c r="M36" s="1923"/>
      <x:c r="AA36" t="n">
        <x:v>5</x:v>
      </x:c>
      <x:c r="AB36" t="str">
        <x:f>IF(ISNUMBER('Résultats détaillés'!T39),'Résultats détaillés'!T39,"")</x:f>
      </x:c>
      <x:c r="AC36" t="n">
        <x:f>IF(AND(ISNUMBER(AB36),AB36&gt;=5),AB36*100+2,0)</x:f>
        <x:v>0</x:v>
      </x:c>
      <x:c r="AD36" t="str">
        <x:f>IF(ISBLANK('Résultats détaillés'!B39),"",'Résultats détaillés'!B39)</x:f>
        <x:v>5.6</x:v>
      </x:c>
      <x:c r="AE36" t="str">
        <x:f>IF(ISBLANK('Résultats détaillés'!C39),"",'Résultats détaillés'!C39)</x:f>
        <x:v>Proposer des améliorations pour un numérique responsable, y compris des solutions sans outil numérique, comme le maintien d'un accueil physique.</x:v>
      </x:c>
      <x:c r="AF36" t="str">
        <x:f>IF(ISBLANK('Résultats détaillés'!E39),"",'Résultats détaillés'!E39)</x:f>
      </x:c>
      <x:c r="AG36" t="str">
        <x:f>IF(ISBLANK('Résultats détaillés'!F39),"",'Résultats détaillés'!F39)</x:f>
      </x:c>
      <x:c r="AH36" t="n">
        <x:f>IF(ISNUMBER('Résultats détaillés'!H39),IF(AND('Résultats détaillés'!H39&gt;=1,'Résultats détaillés'!H39&lt;=4,MOD('Résultats détaillés'!H39,1)=0),'Résultats détaillés'!H39,0),0)</x:f>
        <x:v>0</x:v>
      </x:c>
      <x:c r="AI36" t="str">
        <x:f>IF(ISBLANK('Résultats détaillés'!W39),"",'Résultats détaillés'!W39)</x:f>
      </x:c>
      <x:c r="AJ36" t="n">
        <x:f>IF(LEN(TRIM(AI36))&gt;0,1,0)</x:f>
        <x:v>0</x:v>
      </x:c>
      <x:c r="AK36" t="n">
        <x:f>IF(LEN(TRIM('Résultats détaillés'!G39))&gt;0,1,0)</x:f>
        <x:v>0</x:v>
      </x:c>
      <x:c r="AL36" t="n">
        <x:f>IF(OR(IF(LEN('Résultats détaillés'!E39)=0,FALSE,NOT(IF(ISNUMBER('Résultats détaillés'!E39),AND('Résultats détaillés'!E39&gt;=0,'Résultats détaillés'!E39&lt;=3,MOD('Résultats détaillés'!E39,1)=0),FALSE))),IF(LEN('Résultats détaillés'!F39)=0,FALSE,NOT(IF(ISNUMBER('Résultats détaillés'!F39),AND('Résultats détaillés'!F39&gt;=1,'Résultats détaillés'!F39&lt;=4,MOD('Résultats détaillés'!F39,1)=0),FALSE))),IF(LEN('Résultats détaillés'!H39)=0,FALSE,NOT(IF(ISNUMBER('Résultats détaillés'!H39),AND('Résultats détaillés'!H39&gt;=1,'Résultats détaillés'!H39&lt;=4,MOD('Résultats détaillés'!H39,1)=0),FALSE)))),1,0)</x:f>
        <x:v>0</x:v>
      </x:c>
      <x:c r="AM36" t="n">
        <x:f>IF(AND(ISNUMBER(AB36),AB36&gt;0,AK36=0),1,0)</x:f>
        <x:v>0</x:v>
      </x:c>
      <x:c r="AN36" t="n">
        <x:v>39</x:v>
      </x:c>
      <x:c r="AO36" t="n">
        <x:f>IF(AND(ISNUMBER(AB36),AB36&gt;0),1,0)</x:f>
        <x:v>0</x:v>
      </x:c>
      <x:c r="AP36" t="n">
        <x:f>IF(AND(AC36&gt;0,AH36=0),1,0)</x:f>
        <x:v>0</x:v>
      </x:c>
      <x:c r="AQ36" t="n">
        <x:f>IF(AND(AC36&gt;0,AJ36=0),1,0)</x:f>
        <x:v>0</x:v>
      </x:c>
      <x:c r="AR36" t="n">
        <x:f>IF(ISNUMBER(AB36),1,0)</x:f>
        <x:v>0</x:v>
      </x:c>
    </x:row>
    <x:row r="37" s="1211" customFormat="1" ht="30" customHeight="1">
      <x:c r="A37"/>
      <x:c r="B37" s="1950" t="str">
        <x:v>Comprendre les notes et les besoins</x:v>
      </x:c>
      <x:c r="C37" s="1951"/>
      <x:c r="D37" s="1951"/>
      <x:c r="E37" s="1951"/>
      <x:c r="F37" s="1951"/>
      <x:c r="G37" s="1951"/>
      <x:c r="H37" s="1951"/>
      <x:c r="I37" s="1951"/>
      <x:c r="J37" s="1951"/>
      <x:c r="K37" s="1951"/>
      <x:c r="L37" s="1951"/>
      <x:c r="M37" s="1952"/>
      <x:c r="AA37" t="n">
        <x:v>5</x:v>
      </x:c>
      <x:c r="AB37" t="str">
        <x:f>IF(ISNUMBER('Résultats détaillés'!T40),'Résultats détaillés'!T40,"")</x:f>
      </x:c>
      <x:c r="AC37" t="n">
        <x:f>IF(AND(ISNUMBER(AB37),AB37&gt;=5),AB37*100+1,0)</x:f>
        <x:v>0</x:v>
      </x:c>
      <x:c r="AD37" t="str">
        <x:f>IF(ISBLANK('Résultats détaillés'!B40),"",'Résultats détaillés'!B40)</x:f>
        <x:v>5.7</x:v>
      </x:c>
      <x:c r="AE37" t="str">
        <x:f>IF(ISBLANK('Résultats détaillés'!C40),"",'Résultats détaillés'!C40)</x:f>
        <x:v>Décider avec les agents et leurs représentants comment utiliser l'intelligence artificielle. Les former à ses limites et préserver le sens du service public.</x:v>
      </x:c>
      <x:c r="AF37" t="str">
        <x:f>IF(ISBLANK('Résultats détaillés'!E40),"",'Résultats détaillés'!E40)</x:f>
      </x:c>
      <x:c r="AG37" t="str">
        <x:f>IF(ISBLANK('Résultats détaillés'!F40),"",'Résultats détaillés'!F40)</x:f>
      </x:c>
      <x:c r="AH37" t="n">
        <x:f>IF(ISNUMBER('Résultats détaillés'!H40),IF(AND('Résultats détaillés'!H40&gt;=1,'Résultats détaillés'!H40&lt;=4,MOD('Résultats détaillés'!H40,1)=0),'Résultats détaillés'!H40,0),0)</x:f>
        <x:v>0</x:v>
      </x:c>
      <x:c r="AI37" t="str">
        <x:f>IF(ISBLANK('Résultats détaillés'!W40),"",'Résultats détaillés'!W40)</x:f>
      </x:c>
      <x:c r="AJ37" t="n">
        <x:f>IF(LEN(TRIM(AI37))&gt;0,1,0)</x:f>
        <x:v>0</x:v>
      </x:c>
      <x:c r="AK37" t="n">
        <x:f>IF(LEN(TRIM('Résultats détaillés'!G40))&gt;0,1,0)</x:f>
        <x:v>0</x:v>
      </x:c>
      <x:c r="AL37" t="n">
        <x:f>IF(OR(IF(LEN('Résultats détaillés'!E40)=0,FALSE,NOT(IF(ISNUMBER('Résultats détaillés'!E40),AND('Résultats détaillés'!E40&gt;=0,'Résultats détaillés'!E40&lt;=3,MOD('Résultats détaillés'!E40,1)=0),FALSE))),IF(LEN('Résultats détaillés'!F40)=0,FALSE,NOT(IF(ISNUMBER('Résultats détaillés'!F40),AND('Résultats détaillés'!F40&gt;=1,'Résultats détaillés'!F40&lt;=4,MOD('Résultats détaillés'!F40,1)=0),FALSE))),IF(LEN('Résultats détaillés'!H40)=0,FALSE,NOT(IF(ISNUMBER('Résultats détaillés'!H40),AND('Résultats détaillés'!H40&gt;=1,'Résultats détaillés'!H40&lt;=4,MOD('Résultats détaillés'!H40,1)=0),FALSE)))),1,0)</x:f>
        <x:v>0</x:v>
      </x:c>
      <x:c r="AM37" t="n">
        <x:f>IF(AND(ISNUMBER(AB37),AB37&gt;0,AK37=0),1,0)</x:f>
        <x:v>0</x:v>
      </x:c>
      <x:c r="AN37" t="n">
        <x:v>40</x:v>
      </x:c>
      <x:c r="AO37" t="n">
        <x:f>IF(AND(ISNUMBER(AB37),AB37&gt;0),1,0)</x:f>
        <x:v>0</x:v>
      </x:c>
      <x:c r="AP37" t="n">
        <x:f>IF(AND(AC37&gt;0,AH37=0),1,0)</x:f>
        <x:v>0</x:v>
      </x:c>
      <x:c r="AQ37" t="n">
        <x:f>IF(AND(AC37&gt;0,AJ37=0),1,0)</x:f>
        <x:v>0</x:v>
      </x:c>
      <x:c r="AR37" t="n">
        <x:f>IF(ISNUMBER(AB37),1,0)</x:f>
        <x:v>0</x:v>
      </x:c>
    </x:row>
    <x:row r="38" s="1211" customFormat="1" ht="24" customHeight="1">
      <x:c r="A38"/>
      <x:c r="B38" s="1940" t="str">
        <x:v>Importance et niveau atteint</x:v>
      </x:c>
      <x:c r="C38" s="1940"/>
      <x:c r="D38" s="1940"/>
      <x:c r="E38" s="1940"/>
      <x:c r="F38" s="1940"/>
      <x:c r="G38" s="1940"/>
      <x:c r="H38" s="1923"/>
      <x:c r="I38" s="1945" t="str">
        <x:v>Compétences nécessaires pour les priorités</x:v>
      </x:c>
      <x:c r="J38" s="1945"/>
      <x:c r="K38" s="1945"/>
      <x:c r="L38" s="1945"/>
      <x:c r="M38" s="1945"/>
    </x:row>
    <x:row r="39" s="1211" customFormat="1" ht="38" customHeight="1">
      <x:c r="A39"/>
      <x:c r="B39" s="1991" t="str">
        <x:v>Importance</x:v>
      </x:c>
      <x:c r="C39" s="1991" t="str">
        <x:v>1. Pas du tout</x:v>
      </x:c>
      <x:c r="D39" s="1991" t="str">
        <x:v>2. En partie</x:v>
      </x:c>
      <x:c r="E39" s="1991" t="str">
        <x:v>3. En bonne voie</x:v>
      </x:c>
      <x:c r="F39" s="1991" t="str">
        <x:v>4. Atteinte</x:v>
      </x:c>
      <x:c r="G39" s="1991" t="str">
        <x:v>Total</x:v>
      </x:c>
      <x:c r="H39" s="1923"/>
      <x:c r="I39" s="2009" t="str">
        <x:v>Équipe à mobiliser</x:v>
      </x:c>
      <x:c r="J39" s="2010"/>
      <x:c r="K39" s="2010"/>
      <x:c r="L39" s="2010"/>
      <x:c r="M39" s="2011" t="str">
        <x:v>Cibles</x:v>
      </x:c>
    </x:row>
    <x:row r="40" s="1211" customFormat="1" ht="30" customHeight="1">
      <x:c r="A40"/>
      <x:c r="B40" s="1992" t="str">
        <x:v>3. Très importante</x:v>
      </x:c>
      <x:c r="C40" s="1999" t="n">
        <x:f>COUNTIFS($AO$6:$AO$37,1,$AF$6:$AF$37,3,$AG$6:$AG$37,1)</x:f>
        <x:v>0</x:v>
      </x:c>
      <x:c r="D40" s="2000" t="n">
        <x:f>COUNTIFS($AO$6:$AO$37,1,$AF$6:$AF$37,3,$AG$6:$AG$37,2)</x:f>
        <x:v>0</x:v>
      </x:c>
      <x:c r="E40" s="2001" t="n">
        <x:f>COUNTIFS($AO$6:$AO$37,1,$AF$6:$AF$37,3,$AG$6:$AG$37,3)</x:f>
        <x:v>0</x:v>
      </x:c>
      <x:c r="F40" s="2002" t="n">
        <x:f>COUNTIFS($AO$6:$AO$37,1,$AF$6:$AF$37,3,$AG$6:$AG$37,4)</x:f>
        <x:v>0</x:v>
      </x:c>
      <x:c r="G40" s="2003" t="n">
        <x:f>SUM(C40:F40)</x:f>
        <x:v>0</x:v>
      </x:c>
      <x:c r="H40" s="1923"/>
      <x:c r="I40" s="2012" t="str">
        <x:v>Équipe NR / RSE</x:v>
      </x:c>
      <x:c r="J40" s="2008"/>
      <x:c r="K40" s="2008"/>
      <x:c r="L40" s="2008"/>
      <x:c r="M40" s="2018" t="n">
        <x:f>COUNTIFS($AC$6:$AC$37,"&gt;0",$AH$6:$AH$37,1)</x:f>
        <x:v>0</x:v>
      </x:c>
    </x:row>
    <x:row r="41" s="1211" customFormat="1" ht="30" customHeight="1">
      <x:c r="A41"/>
      <x:c r="B41" s="1992" t="str">
        <x:v>2. Importante</x:v>
      </x:c>
      <x:c r="C41" s="2000" t="n">
        <x:f>COUNTIFS($AO$6:$AO$37,1,$AF$6:$AF$37,2,$AG$6:$AG$37,1)</x:f>
        <x:v>0</x:v>
      </x:c>
      <x:c r="D41" s="2001" t="n">
        <x:f>COUNTIFS($AO$6:$AO$37,1,$AF$6:$AF$37,2,$AG$6:$AG$37,2)</x:f>
        <x:v>0</x:v>
      </x:c>
      <x:c r="E41" s="2002" t="n">
        <x:f>COUNTIFS($AO$6:$AO$37,1,$AF$6:$AF$37,2,$AG$6:$AG$37,3)</x:f>
        <x:v>0</x:v>
      </x:c>
      <x:c r="F41" s="2004" t="n">
        <x:f>COUNTIFS($AO$6:$AO$37,1,$AF$6:$AF$37,2,$AG$6:$AG$37,4)</x:f>
        <x:v>0</x:v>
      </x:c>
      <x:c r="G41" s="2003" t="n">
        <x:f>SUM(C41:F41)</x:f>
        <x:v>0</x:v>
      </x:c>
      <x:c r="H41" s="1923"/>
      <x:c r="I41" s="2014" t="str">
        <x:v>NR / RSE et informatique (DSI)</x:v>
      </x:c>
      <x:c r="J41" s="1931"/>
      <x:c r="K41" s="1931"/>
      <x:c r="L41" s="1931"/>
      <x:c r="M41" s="2018" t="n">
        <x:f>COUNTIFS($AC$6:$AC$37,"&gt;0",$AH$6:$AH$37,2)</x:f>
        <x:v>0</x:v>
      </x:c>
    </x:row>
    <x:row r="42" s="1211" customFormat="1" ht="30" customHeight="1">
      <x:c r="A42"/>
      <x:c r="B42" s="1992" t="str">
        <x:v>1. Peu importante</x:v>
      </x:c>
      <x:c r="C42" s="2005" t="n">
        <x:f>COUNTIFS($AO$6:$AO$37,1,$AF$6:$AF$37,1,$AG$6:$AG$37,1)</x:f>
        <x:v>0</x:v>
      </x:c>
      <x:c r="D42" s="2005" t="n">
        <x:f>COUNTIFS($AO$6:$AO$37,1,$AF$6:$AF$37,1,$AG$6:$AG$37,2)</x:f>
        <x:v>0</x:v>
      </x:c>
      <x:c r="E42" s="2004" t="n">
        <x:f>COUNTIFS($AO$6:$AO$37,1,$AF$6:$AF$37,1,$AG$6:$AG$37,3)</x:f>
        <x:v>0</x:v>
      </x:c>
      <x:c r="F42" s="2004" t="n">
        <x:f>COUNTIFS($AO$6:$AO$37,1,$AF$6:$AF$37,1,$AG$6:$AG$37,4)</x:f>
        <x:v>0</x:v>
      </x:c>
      <x:c r="G42" s="2003" t="n">
        <x:f>SUM(C42:F42)</x:f>
        <x:v>0</x:v>
      </x:c>
      <x:c r="H42" s="1923"/>
      <x:c r="I42" s="2012" t="str">
        <x:v>NR / RSE et équipe hors DSI</x:v>
      </x:c>
      <x:c r="J42" s="2008"/>
      <x:c r="K42" s="2008"/>
      <x:c r="L42" s="2008"/>
      <x:c r="M42" s="2018" t="n">
        <x:f>COUNTIFS($AC$6:$AC$37,"&gt;0",$AH$6:$AH$37,3)</x:f>
        <x:v>0</x:v>
      </x:c>
    </x:row>
    <x:row r="43" s="1211" customFormat="1" ht="30" customHeight="1">
      <x:c r="A43"/>
      <x:c r="B43" s="1955" t="str">
        <x:v>Total</x:v>
      </x:c>
      <x:c r="C43" s="2006" t="n">
        <x:f>SUM(C40:C42)</x:f>
        <x:v>0</x:v>
      </x:c>
      <x:c r="D43" s="2006" t="n">
        <x:f>SUM(D40:D42)</x:f>
        <x:v>0</x:v>
      </x:c>
      <x:c r="E43" s="2006" t="n">
        <x:f>SUM(E40:E42)</x:f>
        <x:v>0</x:v>
      </x:c>
      <x:c r="F43" s="2006" t="n">
        <x:f>SUM(F40:F42)</x:f>
        <x:v>0</x:v>
      </x:c>
      <x:c r="G43" s="2006" t="n">
        <x:f>SUM(G40:G42)</x:f>
        <x:v>0</x:v>
      </x:c>
      <x:c r="H43" s="1923"/>
      <x:c r="I43" s="2014" t="str">
        <x:v>Intervention extérieure</x:v>
      </x:c>
      <x:c r="J43" s="1931"/>
      <x:c r="K43" s="1931"/>
      <x:c r="L43" s="1931"/>
      <x:c r="M43" s="2018" t="n">
        <x:f>COUNTIFS($AC$6:$AC$37,"&gt;0",$AH$6:$AH$37,4)</x:f>
        <x:v>0</x:v>
      </x:c>
    </x:row>
    <x:row r="44" s="1211" customFormat="1" ht="30" customHeight="1">
      <x:c r="A44"/>
      <x:c r="B44" s="1923"/>
      <x:c r="C44" s="1923"/>
      <x:c r="D44" s="1923"/>
      <x:c r="E44" s="1923"/>
      <x:c r="F44" s="1923"/>
      <x:c r="G44" s="1923"/>
      <x:c r="H44" s="1923"/>
      <x:c r="I44" s="2015" t="str">
        <x:v>À préciser</x:v>
      </x:c>
      <x:c r="J44" s="2016"/>
      <x:c r="K44" s="2016"/>
      <x:c r="L44" s="2016"/>
      <x:c r="M44" s="2019" t="n">
        <x:f>COUNTIFS($AC$6:$AC$37,"&gt;0",$AH$6:$AH$37,0)</x:f>
        <x:v>0</x:v>
      </x:c>
    </x:row>
    <x:row r="45" s="1211" customFormat="1" ht="24" customHeight="1">
      <x:c r="A45"/>
      <x:c r="B45" s="1949" t="str">
        <x:v>La matrice compte les cibles applicables évaluées. Les couleurs suivent les niveaux de priorité du document.</x:v>
      </x:c>
      <x:c r="C45" s="1949"/>
      <x:c r="D45" s="1949"/>
      <x:c r="E45" s="1949"/>
      <x:c r="F45" s="1949"/>
      <x:c r="G45" s="1949"/>
      <x:c r="H45" s="2020"/>
      <x:c r="I45" s="1949" t="str">
        <x:v>NR : numérique responsable. RSE : responsabilité sociétale. Ce tableau concerne les urgentes et les prioritaires.</x:v>
      </x:c>
      <x:c r="J45" s="1949"/>
      <x:c r="K45" s="1949"/>
      <x:c r="L45" s="1949"/>
      <x:c r="M45" s="1949"/>
    </x:row>
    <x:row r="46" s="1211" customFormat="1" ht="24" customHeight="1">
      <x:c r="A46"/>
      <x:c r="B46" s="1949"/>
      <x:c r="C46" s="1949"/>
      <x:c r="D46" s="1949"/>
      <x:c r="E46" s="1949"/>
      <x:c r="F46" s="1949"/>
      <x:c r="G46" s="1949"/>
      <x:c r="H46" s="2020"/>
      <x:c r="I46" s="1949"/>
      <x:c r="J46" s="1949"/>
      <x:c r="K46" s="1949"/>
      <x:c r="L46" s="1949"/>
      <x:c r="M46" s="1949"/>
    </x:row>
    <x:row r="47" s="1211" customFormat="1" ht="24" customHeight="1">
      <x:c r="A47"/>
      <x:c r="B47" s="1923"/>
      <x:c r="C47" s="1923"/>
      <x:c r="D47" s="1923"/>
      <x:c r="E47" s="1923"/>
      <x:c r="F47" s="1923"/>
      <x:c r="G47" s="1923"/>
      <x:c r="H47" s="1923"/>
      <x:c r="I47" s="1923"/>
      <x:c r="J47" s="1923"/>
      <x:c r="K47" s="1923"/>
      <x:c r="L47" s="1923"/>
      <x:c r="M47" s="1923"/>
    </x:row>
    <x:row r="48" s="1211" customFormat="1" ht="30" customHeight="1">
      <x:c r="A48"/>
      <x:c r="B48" s="1950" t="str">
        <x:v>Informations à compléter</x:v>
      </x:c>
      <x:c r="C48" s="1951"/>
      <x:c r="D48" s="1951"/>
      <x:c r="E48" s="1951"/>
      <x:c r="F48" s="1951"/>
      <x:c r="G48" s="1951"/>
      <x:c r="H48" s="1951"/>
      <x:c r="I48" s="1951"/>
      <x:c r="J48" s="1951"/>
      <x:c r="K48" s="1951"/>
      <x:c r="L48" s="1951"/>
      <x:c r="M48" s="1952"/>
    </x:row>
    <x:row r="49" s="1211" customFormat="1" ht="24" customHeight="1">
      <x:c r="A49"/>
      <x:c r="B49" s="1926" t="str">
        <x:v>Point à vérifier</x:v>
      </x:c>
      <x:c r="C49" s="1926"/>
      <x:c r="D49" s="1926"/>
      <x:c r="E49" s="1926"/>
      <x:c r="F49" s="1926"/>
      <x:c r="G49" s="1953" t="str">
        <x:v>Cibles</x:v>
      </x:c>
      <x:c r="H49" s="1926" t="str">
        <x:v>Comment lire ce nombre</x:v>
      </x:c>
      <x:c r="I49" s="1926"/>
      <x:c r="J49" s="1926"/>
      <x:c r="K49" s="1926"/>
      <x:c r="L49" s="1926"/>
      <x:c r="M49" s="1926"/>
    </x:row>
    <x:row r="50" s="1211" customFormat="1" ht="32" customHeight="1">
      <x:c r="A50"/>
      <x:c r="B50" s="2021" t="str">
        <x:v>Évaluation à compléter</x:v>
      </x:c>
      <x:c r="C50" s="2021"/>
      <x:c r="D50" s="2021"/>
      <x:c r="E50" s="2021"/>
      <x:c r="F50" s="2021"/>
      <x:c r="G50" s="2023" t="n">
        <x:f>E16</x:f>
        <x:v>32</x:v>
      </x:c>
      <x:c r="H50" s="2021" t="str">
        <x:v>Une priorité ne peut pas encore être calculée.</x:v>
      </x:c>
      <x:c r="I50" s="2021"/>
      <x:c r="J50" s="2021"/>
      <x:c r="K50" s="2021"/>
      <x:c r="L50" s="2021"/>
      <x:c r="M50" s="2021"/>
    </x:row>
    <x:row r="51" s="1211" customFormat="1" ht="32" customHeight="1">
      <x:c r="A51"/>
      <x:c r="B51" s="1931" t="str">
        <x:v>Notes hors échelle</x:v>
      </x:c>
      <x:c r="C51" s="1931"/>
      <x:c r="D51" s="1931"/>
      <x:c r="E51" s="1931"/>
      <x:c r="F51" s="1931"/>
      <x:c r="G51" s="1971" t="n">
        <x:f>SUM($AL$6:$AL$37)</x:f>
        <x:v>0</x:v>
      </x:c>
      <x:c r="H51" s="1931" t="str">
        <x:v>Au moins une note saisie ne respecte pas les choix proposés.</x:v>
      </x:c>
      <x:c r="I51" s="1931"/>
      <x:c r="J51" s="1931"/>
      <x:c r="K51" s="1931"/>
      <x:c r="L51" s="1931"/>
      <x:c r="M51" s="1931"/>
    </x:row>
    <x:row r="52" s="1211" customFormat="1" ht="32" customHeight="1">
      <x:c r="A52"/>
      <x:c r="B52" s="2021" t="str">
        <x:v>Justification du niveau actuel absente</x:v>
      </x:c>
      <x:c r="C52" s="2021"/>
      <x:c r="D52" s="2021"/>
      <x:c r="E52" s="2021"/>
      <x:c r="F52" s="2021"/>
      <x:c r="G52" s="2023" t="n">
        <x:f>SUM($AM$6:$AM$37)</x:f>
        <x:v>0</x:v>
      </x:c>
      <x:c r="H52" s="2021" t="str">
        <x:v>Cibles applicables évaluées sans explication de la note.</x:v>
      </x:c>
      <x:c r="I52" s="2021"/>
      <x:c r="J52" s="2021"/>
      <x:c r="K52" s="2021"/>
      <x:c r="L52" s="2021"/>
      <x:c r="M52" s="2021"/>
    </x:row>
    <x:row r="53" s="1211" customFormat="1" ht="32" customHeight="1">
      <x:c r="A53"/>
      <x:c r="B53" s="1931" t="str">
        <x:v>Compétences à préciser sur les priorités</x:v>
      </x:c>
      <x:c r="C53" s="1931"/>
      <x:c r="D53" s="1931"/>
      <x:c r="E53" s="1931"/>
      <x:c r="F53" s="1931"/>
      <x:c r="G53" s="1971" t="n">
        <x:f>SUM($AP$6:$AP$37)</x:f>
        <x:v>0</x:v>
      </x:c>
      <x:c r="H53" s="1931" t="str">
        <x:v>Cibles urgentes ou prioritaires sans choix de compétences valide.</x:v>
      </x:c>
      <x:c r="I53" s="1931"/>
      <x:c r="J53" s="1931"/>
      <x:c r="K53" s="1931"/>
      <x:c r="L53" s="1931"/>
      <x:c r="M53" s="1931"/>
    </x:row>
    <x:row r="54" s="1211" customFormat="1" ht="32" customHeight="1">
      <x:c r="A54"/>
      <x:c r="B54" s="2021" t="str">
        <x:v>Action à proposer sur les priorités</x:v>
      </x:c>
      <x:c r="C54" s="2021"/>
      <x:c r="D54" s="2021"/>
      <x:c r="E54" s="2021"/>
      <x:c r="F54" s="2021"/>
      <x:c r="G54" s="2023" t="n">
        <x:f>SUM($AQ$6:$AQ$37)</x:f>
        <x:v>0</x:v>
      </x:c>
      <x:c r="H54" s="2021" t="str">
        <x:v>Cibles urgentes ou prioritaires sans proposition écrite.</x:v>
      </x:c>
      <x:c r="I54" s="2021"/>
      <x:c r="J54" s="2021"/>
      <x:c r="K54" s="2021"/>
      <x:c r="L54" s="2021"/>
      <x:c r="M54" s="2021"/>
    </x:row>
    <x:row r="55" s="1211" customFormat="1" ht="24" customHeight="1">
      <x:c r="A55"/>
      <x:c r="B55" s="1923"/>
      <x:c r="C55" s="1923"/>
      <x:c r="D55" s="1923"/>
      <x:c r="E55" s="1923"/>
      <x:c r="F55" s="1923"/>
      <x:c r="G55" s="1923"/>
      <x:c r="H55" s="1923"/>
      <x:c r="I55" s="1923"/>
      <x:c r="J55" s="1923"/>
      <x:c r="K55" s="1923"/>
      <x:c r="L55" s="1923"/>
      <x:c r="M55" s="1923"/>
    </x:row>
    <x:row r="56" s="1211" customFormat="1" ht="24" customHeight="1">
      <x:c r="A56"/>
      <x:c r="B56" s="1949" t="str">
        <x:v>Une cellule de taux vide signifie qu’aucune cible ne permet encore de calculer ce taux. Une importance de 0 indique une cible non applicable.</x:v>
      </x:c>
      <x:c r="C56" s="1949"/>
      <x:c r="D56" s="1949"/>
      <x:c r="E56" s="1949"/>
      <x:c r="F56" s="1949"/>
      <x:c r="G56" s="1949"/>
      <x:c r="H56" s="1949"/>
      <x:c r="I56" s="1949"/>
      <x:c r="J56" s="1949"/>
      <x:c r="K56" s="1949"/>
      <x:c r="L56" s="1949"/>
      <x:c r="M56" s="1949"/>
    </x:row>
    <x:row r="57" s="1211" customFormat="1" ht="24" customHeight="1">
      <x:c r="A57"/>
      <x:c r="B57" s="1923"/>
      <x:c r="C57" s="1923"/>
      <x:c r="D57" s="1923"/>
      <x:c r="E57" s="1923"/>
      <x:c r="F57" s="1923"/>
      <x:c r="G57" s="1923"/>
      <x:c r="H57" s="1923"/>
      <x:c r="I57" s="1923"/>
      <x:c r="J57" s="1923"/>
      <x:c r="K57" s="1923"/>
      <x:c r="L57" s="1923"/>
      <x:c r="M57" s="1923"/>
    </x:row>
    <x:row r="58" s="1211" customFormat="1" ht="30" customHeight="1">
      <x:c r="A58"/>
      <x:c r="B58" s="2024" t="str">
        <x:v>Cibles à traiter en premier</x:v>
      </x:c>
      <x:c r="C58" s="2025"/>
      <x:c r="D58" s="2025"/>
      <x:c r="E58" s="2025"/>
      <x:c r="F58" s="2025"/>
      <x:c r="G58" s="2025"/>
      <x:c r="H58" s="2025"/>
      <x:c r="I58" s="2025"/>
      <x:c r="J58" s="2025"/>
      <x:c r="K58" s="2025"/>
      <x:c r="L58" s="2025"/>
      <x:c r="M58" s="2026"/>
    </x:row>
    <x:row r="59" s="1211" customFormat="1" ht="24" customHeight="1">
      <x:c r="A59"/>
      <x:c r="B59" s="1931" t="str">
        <x:f>IF(H16+I16=0,IF(D16=0,"La liste apparaîtra après la saisie des notes.","Aucune cible urgente ou prioritaire parmi les cibles évaluées."),"Les "&amp;MIN(10,H16+I16)&amp;" premières cibles sur "&amp;(H16+I16)&amp;" urgentes ou prioritaires. Ordre : urgence, puis numéro de cible.")</x:f>
        <x:v>La liste apparaîtra après la saisie des notes.</x:v>
      </x:c>
      <x:c r="C59" s="1931"/>
      <x:c r="D59" s="1931"/>
      <x:c r="E59" s="1931"/>
      <x:c r="F59" s="1931"/>
      <x:c r="G59" s="1931"/>
      <x:c r="H59" s="1931"/>
      <x:c r="I59" s="1931"/>
      <x:c r="J59" s="1931"/>
      <x:c r="K59" s="1931"/>
      <x:c r="L59" s="1931"/>
      <x:c r="M59" s="1931"/>
    </x:row>
    <x:row r="60" s="1211" customFormat="1" ht="40" customHeight="1">
      <x:c r="A60"/>
      <x:c r="B60" s="1926" t="str">
        <x:v>Cible</x:v>
      </x:c>
      <x:c r="C60" s="1926" t="str">
        <x:v>Ce que l’on cherche à faire</x:v>
      </x:c>
      <x:c r="D60" s="1926"/>
      <x:c r="E60" s="1926"/>
      <x:c r="F60" s="1926"/>
      <x:c r="G60" s="1926" t="str">
        <x:v>Priorité</x:v>
      </x:c>
      <x:c r="H60" s="1926" t="str">
        <x:v>Niveau / 4</x:v>
      </x:c>
      <x:c r="I60" s="1926" t="str">
        <x:v>Compétences</x:v>
      </x:c>
      <x:c r="J60" s="1926" t="str">
        <x:v>Action proposée (extrait)</x:v>
      </x:c>
      <x:c r="K60" s="1926"/>
      <x:c r="L60" s="1926"/>
      <x:c r="M60" s="1926"/>
    </x:row>
    <x:row r="61" s="1211" customFormat="1" ht="112" customHeight="1">
      <x:c r="B61" s="2034" t="str">
        <x:f>IF(ISNUMBER($AS61),INDEX($AD$6:$AD$37,$AS61),"")</x:f>
      </x:c>
      <x:c r="C61" s="2035" t="str">
        <x:f>IF(ISNUMBER($AS61),INDEX($AE$6:$AE$37,$AS61),"")</x:f>
      </x:c>
      <x:c r="D61" s="2035"/>
      <x:c r="E61" s="2035"/>
      <x:c r="F61" s="2035"/>
      <x:c r="G61" s="2036" t="str">
        <x:f>IF(ISNUMBER($AS61),IF(INDEX($AB$6:$AB$37,$AS61)=6,"Urgente","Prioritaire"),"")</x:f>
      </x:c>
      <x:c r="H61" s="2036" t="str">
        <x:f>IF(ISNUMBER($AS61),INDEX($AG$6:$AG$37,$AS61),"")</x:f>
      </x:c>
      <x:c r="I61" s="2036" t="str">
        <x:f>IF(ISNUMBER($AS61),IF(INDEX($AH$6:$AH$37,$AS61)=0,"À préciser",CHOOSE(INDEX($AH$6:$AH$37,$AS61),"NR / RSE","Avec DSI","Hors DSI","Externe")),"")</x:f>
      </x:c>
      <x:c r="J61" s="2035" t="str">
        <x:f>IF(ISNUMBER($AS61),IF(INDEX($AJ$6:$AJ$37,$AS61)=0,"À proposer",LEFT(INDEX($AI$6:$AI$37,$AS61),180)&amp;IF(LEN(INDEX($AI$6:$AI$37,$AS61))&gt;180,"…","")),"")</x:f>
      </x:c>
      <x:c r="K61" s="2035"/>
      <x:c r="L61" s="2035"/>
      <x:c r="M61" s="2037"/>
      <x:c r="AS61" t="str">
        <x:f>IF(1&gt;$H$16+$I$16,"",MATCH(LARGE($AC$6:$AC$37,1),$AC$6:$AC$37,0))</x:f>
      </x:c>
    </x:row>
    <x:row r="62" s="1211" customFormat="1" ht="112" customHeight="1">
      <x:c r="B62" s="2030" t="str">
        <x:f>IF(ISNUMBER($AS62),INDEX($AD$6:$AD$37,$AS62),"")</x:f>
      </x:c>
      <x:c r="C62" s="2031" t="str">
        <x:f>IF(ISNUMBER($AS62),INDEX($AE$6:$AE$37,$AS62),"")</x:f>
      </x:c>
      <x:c r="D62" s="2031"/>
      <x:c r="E62" s="2031"/>
      <x:c r="F62" s="2031"/>
      <x:c r="G62" s="2032" t="str">
        <x:f>IF(ISNUMBER($AS62),IF(INDEX($AB$6:$AB$37,$AS62)=6,"Urgente","Prioritaire"),"")</x:f>
      </x:c>
      <x:c r="H62" s="2032" t="str">
        <x:f>IF(ISNUMBER($AS62),INDEX($AG$6:$AG$37,$AS62),"")</x:f>
      </x:c>
      <x:c r="I62" s="2032" t="str">
        <x:f>IF(ISNUMBER($AS62),IF(INDEX($AH$6:$AH$37,$AS62)=0,"À préciser",CHOOSE(INDEX($AH$6:$AH$37,$AS62),"NR / RSE","Avec DSI","Hors DSI","Externe")),"")</x:f>
      </x:c>
      <x:c r="J62" s="2031" t="str">
        <x:f>IF(ISNUMBER($AS62),IF(INDEX($AJ$6:$AJ$37,$AS62)=0,"À proposer",LEFT(INDEX($AI$6:$AI$37,$AS62),180)&amp;IF(LEN(INDEX($AI$6:$AI$37,$AS62))&gt;180,"…","")),"")</x:f>
      </x:c>
      <x:c r="K62" s="2031"/>
      <x:c r="L62" s="2031"/>
      <x:c r="M62" s="2033"/>
      <x:c r="AS62" t="str">
        <x:f>IF(2&gt;$H$16+$I$16,"",MATCH(LARGE($AC$6:$AC$37,2),$AC$6:$AC$37,0))</x:f>
      </x:c>
    </x:row>
    <x:row r="63" s="1211" customFormat="1" ht="112" customHeight="1">
      <x:c r="B63" s="2034" t="str">
        <x:f>IF(ISNUMBER($AS63),INDEX($AD$6:$AD$37,$AS63),"")</x:f>
      </x:c>
      <x:c r="C63" s="2035" t="str">
        <x:f>IF(ISNUMBER($AS63),INDEX($AE$6:$AE$37,$AS63),"")</x:f>
      </x:c>
      <x:c r="D63" s="2035"/>
      <x:c r="E63" s="2035"/>
      <x:c r="F63" s="2035"/>
      <x:c r="G63" s="2036" t="str">
        <x:f>IF(ISNUMBER($AS63),IF(INDEX($AB$6:$AB$37,$AS63)=6,"Urgente","Prioritaire"),"")</x:f>
      </x:c>
      <x:c r="H63" s="2036" t="str">
        <x:f>IF(ISNUMBER($AS63),INDEX($AG$6:$AG$37,$AS63),"")</x:f>
      </x:c>
      <x:c r="I63" s="2036" t="str">
        <x:f>IF(ISNUMBER($AS63),IF(INDEX($AH$6:$AH$37,$AS63)=0,"À préciser",CHOOSE(INDEX($AH$6:$AH$37,$AS63),"NR / RSE","Avec DSI","Hors DSI","Externe")),"")</x:f>
      </x:c>
      <x:c r="J63" s="2035" t="str">
        <x:f>IF(ISNUMBER($AS63),IF(INDEX($AJ$6:$AJ$37,$AS63)=0,"À proposer",LEFT(INDEX($AI$6:$AI$37,$AS63),180)&amp;IF(LEN(INDEX($AI$6:$AI$37,$AS63))&gt;180,"…","")),"")</x:f>
      </x:c>
      <x:c r="K63" s="2035"/>
      <x:c r="L63" s="2035"/>
      <x:c r="M63" s="2037"/>
      <x:c r="AS63" t="str">
        <x:f>IF(3&gt;$H$16+$I$16,"",MATCH(LARGE($AC$6:$AC$37,3),$AC$6:$AC$37,0))</x:f>
      </x:c>
    </x:row>
    <x:row r="64" s="1211" customFormat="1" ht="112" customHeight="1">
      <x:c r="B64" s="2030" t="str">
        <x:f>IF(ISNUMBER($AS64),INDEX($AD$6:$AD$37,$AS64),"")</x:f>
      </x:c>
      <x:c r="C64" s="2031" t="str">
        <x:f>IF(ISNUMBER($AS64),INDEX($AE$6:$AE$37,$AS64),"")</x:f>
      </x:c>
      <x:c r="D64" s="2031"/>
      <x:c r="E64" s="2031"/>
      <x:c r="F64" s="2031"/>
      <x:c r="G64" s="2032" t="str">
        <x:f>IF(ISNUMBER($AS64),IF(INDEX($AB$6:$AB$37,$AS64)=6,"Urgente","Prioritaire"),"")</x:f>
      </x:c>
      <x:c r="H64" s="2032" t="str">
        <x:f>IF(ISNUMBER($AS64),INDEX($AG$6:$AG$37,$AS64),"")</x:f>
      </x:c>
      <x:c r="I64" s="2032" t="str">
        <x:f>IF(ISNUMBER($AS64),IF(INDEX($AH$6:$AH$37,$AS64)=0,"À préciser",CHOOSE(INDEX($AH$6:$AH$37,$AS64),"NR / RSE","Avec DSI","Hors DSI","Externe")),"")</x:f>
      </x:c>
      <x:c r="J64" s="2031" t="str">
        <x:f>IF(ISNUMBER($AS64),IF(INDEX($AJ$6:$AJ$37,$AS64)=0,"À proposer",LEFT(INDEX($AI$6:$AI$37,$AS64),180)&amp;IF(LEN(INDEX($AI$6:$AI$37,$AS64))&gt;180,"…","")),"")</x:f>
      </x:c>
      <x:c r="K64" s="2031"/>
      <x:c r="L64" s="2031"/>
      <x:c r="M64" s="2033"/>
      <x:c r="AS64" t="str">
        <x:f>IF(4&gt;$H$16+$I$16,"",MATCH(LARGE($AC$6:$AC$37,4),$AC$6:$AC$37,0))</x:f>
      </x:c>
    </x:row>
    <x:row r="65" s="1211" customFormat="1" ht="112" customHeight="1">
      <x:c r="B65" s="2034" t="str">
        <x:f>IF(ISNUMBER($AS65),INDEX($AD$6:$AD$37,$AS65),"")</x:f>
      </x:c>
      <x:c r="C65" s="2035" t="str">
        <x:f>IF(ISNUMBER($AS65),INDEX($AE$6:$AE$37,$AS65),"")</x:f>
      </x:c>
      <x:c r="D65" s="2035"/>
      <x:c r="E65" s="2035"/>
      <x:c r="F65" s="2035"/>
      <x:c r="G65" s="2036" t="str">
        <x:f>IF(ISNUMBER($AS65),IF(INDEX($AB$6:$AB$37,$AS65)=6,"Urgente","Prioritaire"),"")</x:f>
      </x:c>
      <x:c r="H65" s="2036" t="str">
        <x:f>IF(ISNUMBER($AS65),INDEX($AG$6:$AG$37,$AS65),"")</x:f>
      </x:c>
      <x:c r="I65" s="2036" t="str">
        <x:f>IF(ISNUMBER($AS65),IF(INDEX($AH$6:$AH$37,$AS65)=0,"À préciser",CHOOSE(INDEX($AH$6:$AH$37,$AS65),"NR / RSE","Avec DSI","Hors DSI","Externe")),"")</x:f>
      </x:c>
      <x:c r="J65" s="2035" t="str">
        <x:f>IF(ISNUMBER($AS65),IF(INDEX($AJ$6:$AJ$37,$AS65)=0,"À proposer",LEFT(INDEX($AI$6:$AI$37,$AS65),180)&amp;IF(LEN(INDEX($AI$6:$AI$37,$AS65))&gt;180,"…","")),"")</x:f>
      </x:c>
      <x:c r="K65" s="2035"/>
      <x:c r="L65" s="2035"/>
      <x:c r="M65" s="2037"/>
      <x:c r="AS65" t="str">
        <x:f>IF(5&gt;$H$16+$I$16,"",MATCH(LARGE($AC$6:$AC$37,5),$AC$6:$AC$37,0))</x:f>
      </x:c>
    </x:row>
    <x:row r="66" s="1211" customFormat="1" ht="112" customHeight="1">
      <x:c r="B66" s="2030" t="str">
        <x:f>IF(ISNUMBER($AS66),INDEX($AD$6:$AD$37,$AS66),"")</x:f>
      </x:c>
      <x:c r="C66" s="2031" t="str">
        <x:f>IF(ISNUMBER($AS66),INDEX($AE$6:$AE$37,$AS66),"")</x:f>
      </x:c>
      <x:c r="D66" s="2031"/>
      <x:c r="E66" s="2031"/>
      <x:c r="F66" s="2031"/>
      <x:c r="G66" s="2032" t="str">
        <x:f>IF(ISNUMBER($AS66),IF(INDEX($AB$6:$AB$37,$AS66)=6,"Urgente","Prioritaire"),"")</x:f>
      </x:c>
      <x:c r="H66" s="2032" t="str">
        <x:f>IF(ISNUMBER($AS66),INDEX($AG$6:$AG$37,$AS66),"")</x:f>
      </x:c>
      <x:c r="I66" s="2032" t="str">
        <x:f>IF(ISNUMBER($AS66),IF(INDEX($AH$6:$AH$37,$AS66)=0,"À préciser",CHOOSE(INDEX($AH$6:$AH$37,$AS66),"NR / RSE","Avec DSI","Hors DSI","Externe")),"")</x:f>
      </x:c>
      <x:c r="J66" s="2031" t="str">
        <x:f>IF(ISNUMBER($AS66),IF(INDEX($AJ$6:$AJ$37,$AS66)=0,"À proposer",LEFT(INDEX($AI$6:$AI$37,$AS66),180)&amp;IF(LEN(INDEX($AI$6:$AI$37,$AS66))&gt;180,"…","")),"")</x:f>
      </x:c>
      <x:c r="K66" s="2031"/>
      <x:c r="L66" s="2031"/>
      <x:c r="M66" s="2033"/>
      <x:c r="AS66" t="str">
        <x:f>IF(6&gt;$H$16+$I$16,"",MATCH(LARGE($AC$6:$AC$37,6),$AC$6:$AC$37,0))</x:f>
      </x:c>
    </x:row>
    <x:row r="67" s="1211" customFormat="1" ht="112" customHeight="1">
      <x:c r="B67" s="2034" t="str">
        <x:f>IF(ISNUMBER($AS67),INDEX($AD$6:$AD$37,$AS67),"")</x:f>
      </x:c>
      <x:c r="C67" s="2035" t="str">
        <x:f>IF(ISNUMBER($AS67),INDEX($AE$6:$AE$37,$AS67),"")</x:f>
      </x:c>
      <x:c r="D67" s="2035"/>
      <x:c r="E67" s="2035"/>
      <x:c r="F67" s="2035"/>
      <x:c r="G67" s="2036" t="str">
        <x:f>IF(ISNUMBER($AS67),IF(INDEX($AB$6:$AB$37,$AS67)=6,"Urgente","Prioritaire"),"")</x:f>
      </x:c>
      <x:c r="H67" s="2036" t="str">
        <x:f>IF(ISNUMBER($AS67),INDEX($AG$6:$AG$37,$AS67),"")</x:f>
      </x:c>
      <x:c r="I67" s="2036" t="str">
        <x:f>IF(ISNUMBER($AS67),IF(INDEX($AH$6:$AH$37,$AS67)=0,"À préciser",CHOOSE(INDEX($AH$6:$AH$37,$AS67),"NR / RSE","Avec DSI","Hors DSI","Externe")),"")</x:f>
      </x:c>
      <x:c r="J67" s="2035" t="str">
        <x:f>IF(ISNUMBER($AS67),IF(INDEX($AJ$6:$AJ$37,$AS67)=0,"À proposer",LEFT(INDEX($AI$6:$AI$37,$AS67),180)&amp;IF(LEN(INDEX($AI$6:$AI$37,$AS67))&gt;180,"…","")),"")</x:f>
      </x:c>
      <x:c r="K67" s="2035"/>
      <x:c r="L67" s="2035"/>
      <x:c r="M67" s="2037"/>
      <x:c r="AS67" t="str">
        <x:f>IF(7&gt;$H$16+$I$16,"",MATCH(LARGE($AC$6:$AC$37,7),$AC$6:$AC$37,0))</x:f>
      </x:c>
    </x:row>
    <x:row r="68" s="1211" customFormat="1" ht="112" customHeight="1">
      <x:c r="B68" s="2030" t="str">
        <x:f>IF(ISNUMBER($AS68),INDEX($AD$6:$AD$37,$AS68),"")</x:f>
      </x:c>
      <x:c r="C68" s="2031" t="str">
        <x:f>IF(ISNUMBER($AS68),INDEX($AE$6:$AE$37,$AS68),"")</x:f>
      </x:c>
      <x:c r="D68" s="2031"/>
      <x:c r="E68" s="2031"/>
      <x:c r="F68" s="2031"/>
      <x:c r="G68" s="2032" t="str">
        <x:f>IF(ISNUMBER($AS68),IF(INDEX($AB$6:$AB$37,$AS68)=6,"Urgente","Prioritaire"),"")</x:f>
      </x:c>
      <x:c r="H68" s="2032" t="str">
        <x:f>IF(ISNUMBER($AS68),INDEX($AG$6:$AG$37,$AS68),"")</x:f>
      </x:c>
      <x:c r="I68" s="2032" t="str">
        <x:f>IF(ISNUMBER($AS68),IF(INDEX($AH$6:$AH$37,$AS68)=0,"À préciser",CHOOSE(INDEX($AH$6:$AH$37,$AS68),"NR / RSE","Avec DSI","Hors DSI","Externe")),"")</x:f>
      </x:c>
      <x:c r="J68" s="2031" t="str">
        <x:f>IF(ISNUMBER($AS68),IF(INDEX($AJ$6:$AJ$37,$AS68)=0,"À proposer",LEFT(INDEX($AI$6:$AI$37,$AS68),180)&amp;IF(LEN(INDEX($AI$6:$AI$37,$AS68))&gt;180,"…","")),"")</x:f>
      </x:c>
      <x:c r="K68" s="2031"/>
      <x:c r="L68" s="2031"/>
      <x:c r="M68" s="2033"/>
      <x:c r="AS68" t="str">
        <x:f>IF(8&gt;$H$16+$I$16,"",MATCH(LARGE($AC$6:$AC$37,8),$AC$6:$AC$37,0))</x:f>
      </x:c>
    </x:row>
    <x:row r="69" s="1211" customFormat="1" ht="112" customHeight="1">
      <x:c r="B69" s="2034" t="str">
        <x:f>IF(ISNUMBER($AS69),INDEX($AD$6:$AD$37,$AS69),"")</x:f>
      </x:c>
      <x:c r="C69" s="2035" t="str">
        <x:f>IF(ISNUMBER($AS69),INDEX($AE$6:$AE$37,$AS69),"")</x:f>
      </x:c>
      <x:c r="D69" s="2035"/>
      <x:c r="E69" s="2035"/>
      <x:c r="F69" s="2035"/>
      <x:c r="G69" s="2036" t="str">
        <x:f>IF(ISNUMBER($AS69),IF(INDEX($AB$6:$AB$37,$AS69)=6,"Urgente","Prioritaire"),"")</x:f>
      </x:c>
      <x:c r="H69" s="2036" t="str">
        <x:f>IF(ISNUMBER($AS69),INDEX($AG$6:$AG$37,$AS69),"")</x:f>
      </x:c>
      <x:c r="I69" s="2036" t="str">
        <x:f>IF(ISNUMBER($AS69),IF(INDEX($AH$6:$AH$37,$AS69)=0,"À préciser",CHOOSE(INDEX($AH$6:$AH$37,$AS69),"NR / RSE","Avec DSI","Hors DSI","Externe")),"")</x:f>
      </x:c>
      <x:c r="J69" s="2035" t="str">
        <x:f>IF(ISNUMBER($AS69),IF(INDEX($AJ$6:$AJ$37,$AS69)=0,"À proposer",LEFT(INDEX($AI$6:$AI$37,$AS69),180)&amp;IF(LEN(INDEX($AI$6:$AI$37,$AS69))&gt;180,"…","")),"")</x:f>
      </x:c>
      <x:c r="K69" s="2035"/>
      <x:c r="L69" s="2035"/>
      <x:c r="M69" s="2037"/>
      <x:c r="AS69" t="str">
        <x:f>IF(9&gt;$H$16+$I$16,"",MATCH(LARGE($AC$6:$AC$37,9),$AC$6:$AC$37,0))</x:f>
      </x:c>
    </x:row>
    <x:row r="70" s="1211" customFormat="1" ht="112" customHeight="1">
      <x:c r="B70" s="2030" t="str">
        <x:f>IF(ISNUMBER($AS70),INDEX($AD$6:$AD$37,$AS70),"")</x:f>
      </x:c>
      <x:c r="C70" s="2031" t="str">
        <x:f>IF(ISNUMBER($AS70),INDEX($AE$6:$AE$37,$AS70),"")</x:f>
      </x:c>
      <x:c r="D70" s="2031"/>
      <x:c r="E70" s="2031"/>
      <x:c r="F70" s="2031"/>
      <x:c r="G70" s="2032" t="str">
        <x:f>IF(ISNUMBER($AS70),IF(INDEX($AB$6:$AB$37,$AS70)=6,"Urgente","Prioritaire"),"")</x:f>
      </x:c>
      <x:c r="H70" s="2032" t="str">
        <x:f>IF(ISNUMBER($AS70),INDEX($AG$6:$AG$37,$AS70),"")</x:f>
      </x:c>
      <x:c r="I70" s="2032" t="str">
        <x:f>IF(ISNUMBER($AS70),IF(INDEX($AH$6:$AH$37,$AS70)=0,"À préciser",CHOOSE(INDEX($AH$6:$AH$37,$AS70),"NR / RSE","Avec DSI","Hors DSI","Externe")),"")</x:f>
      </x:c>
      <x:c r="J70" s="2031" t="str">
        <x:f>IF(ISNUMBER($AS70),IF(INDEX($AJ$6:$AJ$37,$AS70)=0,"À proposer",LEFT(INDEX($AI$6:$AI$37,$AS70),180)&amp;IF(LEN(INDEX($AI$6:$AI$37,$AS70))&gt;180,"…","")),"")</x:f>
      </x:c>
      <x:c r="K70" s="2031"/>
      <x:c r="L70" s="2031"/>
      <x:c r="M70" s="2033"/>
      <x:c r="AS70" t="str">
        <x:f>IF(10&gt;$H$16+$I$16,"",MATCH(LARGE($AC$6:$AC$37,10),$AC$6:$AC$37,0))</x:f>
      </x:c>
    </x:row>
    <x:row r="71" s="1211" customFormat="1" ht="24" customHeight="1">
      <x:c r="B71" s="1923"/>
      <x:c r="C71" s="1923"/>
      <x:c r="D71" s="1923"/>
      <x:c r="E71" s="1923"/>
      <x:c r="F71" s="1923"/>
      <x:c r="G71" s="1923"/>
      <x:c r="H71" s="1923"/>
      <x:c r="I71" s="1923"/>
      <x:c r="J71" s="1923"/>
      <x:c r="K71" s="1923"/>
      <x:c r="L71" s="1923"/>
      <x:c r="M71" s="1923"/>
    </x:row>
    <x:row r="72" s="1211" customFormat="1" ht="24" customHeight="1">
      <x:c r="B72" s="1949" t="str">
        <x:v>Les actions sont abrégées ici. Consulter l’onglet ONR de la cible pour lire le texte complet et préparer la mise en œuvre.</x:v>
      </x:c>
      <x:c r="C72" s="1949"/>
      <x:c r="D72" s="1949"/>
      <x:c r="E72" s="1949"/>
      <x:c r="F72" s="1949"/>
      <x:c r="G72" s="1949"/>
      <x:c r="H72" s="1949"/>
      <x:c r="I72" s="1949"/>
      <x:c r="J72" s="1949"/>
      <x:c r="K72" s="1949"/>
      <x:c r="L72" s="1949"/>
      <x:c r="M72" s="1949"/>
    </x:row>
    <x:row r="73" s="1211" customFormat="1" ht="24" customHeight="1">
      <x:c r="B73" s="1949" t="str">
        <x:v>Au-delà de dix priorités, consulter « Résultats détaillés ». Les égalités de priorité sont classées par numéro, sans différence d’importance.</x:v>
      </x:c>
      <x:c r="C73" s="1949"/>
      <x:c r="D73" s="1949"/>
      <x:c r="E73" s="1949"/>
      <x:c r="F73" s="1949"/>
      <x:c r="G73" s="1949"/>
      <x:c r="H73" s="1949"/>
      <x:c r="I73" s="1949"/>
      <x:c r="J73" s="1949"/>
      <x:c r="K73" s="1949"/>
      <x:c r="L73" s="1949"/>
      <x:c r="M73" s="1949"/>
    </x:row>
    <x:row r="74" s="1211" customFormat="1" ht="24" customHeight="1">
      <x:c r="B74" s="1923"/>
      <x:c r="C74" s="1923"/>
      <x:c r="D74" s="1923"/>
      <x:c r="E74" s="1923"/>
      <x:c r="F74" s="1923"/>
      <x:c r="G74" s="1923"/>
      <x:c r="H74" s="1923"/>
      <x:c r="I74" s="1923"/>
      <x:c r="J74" s="1923"/>
      <x:c r="K74" s="1923"/>
      <x:c r="L74" s="1923"/>
      <x:c r="M74" s="1923"/>
    </x:row>
    <x:row r="75" s="1211" customFormat="1"/>
    <x:row r="76" s="1211" customFormat="1"/>
    <x:row r="77" s="1211" customFormat="1"/>
    <x:row r="78" s="1211" customFormat="1"/>
    <x:row r="79" s="1211" customFormat="1"/>
    <x:row r="80" s="1211" customFormat="1"/>
    <x:row r="81" s="1211" customFormat="1"/>
    <x:row r="82" s="1211" customFormat="1"/>
    <x:row r="83" s="1211" customFormat="1"/>
    <x:row r="84" s="1211" customFormat="1"/>
    <x:row r="85" s="1211" customFormat="1"/>
    <x:row r="86" s="1211" customFormat="1"/>
    <x:row r="87" s="1211" customFormat="1"/>
    <x:row r="88" s="1211" customFormat="1"/>
    <x:row r="89" s="1211" customFormat="1"/>
    <x:row r="90" s="1211" customFormat="1"/>
    <x:row r="91" s="1211" customFormat="1"/>
    <x:row r="92" s="1211" customFormat="1"/>
    <x:row r="93" s="1211" customFormat="1"/>
    <x:row r="94" s="1211" customFormat="1"/>
    <x:row r="95" s="1211" customFormat="1"/>
    <x:row r="96" s="1211" customFormat="1"/>
    <x:row r="97" s="1211" customFormat="1"/>
    <x:row r="98" s="1211" customFormat="1"/>
    <x:row r="99" s="1211" customFormat="1"/>
    <x:row r="100" s="1211" customFormat="1"/>
    <x:row r="101" s="1211" customFormat="1"/>
    <x:row r="102" s="1211" customFormat="1"/>
    <x:row r="103" s="1211" customFormat="1"/>
    <x:row r="104" s="1211" customFormat="1"/>
    <x:row r="105" s="1211" customFormat="1"/>
    <x:row r="106" s="1211" customFormat="1"/>
    <x:row r="107" s="1211" customFormat="1"/>
    <x:row r="108" s="1211" customFormat="1"/>
    <x:row r="109" s="1211" customFormat="1"/>
    <x:row r="110" s="1211" customFormat="1"/>
    <x:row r="111" s="1211" customFormat="1"/>
    <x:row r="112" s="1211" customFormat="1"/>
    <x:row r="113" s="1211" customFormat="1"/>
    <x:row r="114" s="1211" customFormat="1"/>
    <x:row r="115" s="1211" customFormat="1"/>
    <x:row r="116" s="1211" customFormat="1"/>
    <x:row r="117" s="1211" customFormat="1"/>
    <x:row r="118" s="1211" customFormat="1"/>
    <x:row r="119" s="1211" customFormat="1"/>
    <x:row r="120" s="1211" customFormat="1"/>
    <x:row r="121" s="1211" customFormat="1"/>
    <x:row r="122" s="1211" customFormat="1"/>
    <x:row r="123" s="1211" customFormat="1"/>
    <x:row r="124" s="1211" customFormat="1"/>
    <x:row r="125" s="1211" customFormat="1"/>
    <x:row r="126" s="1211" customFormat="1"/>
    <x:row r="127" s="1211" customFormat="1"/>
    <x:row r="128" s="1211" customFormat="1"/>
    <x:row r="129" s="1211" customFormat="1"/>
    <x:row r="130" s="1211" customFormat="1"/>
    <x:row r="131" s="1211" customFormat="1"/>
    <x:row r="132" s="1211" customFormat="1"/>
    <x:row r="133" s="1211" customFormat="1"/>
    <x:row r="134" s="1211" customFormat="1"/>
    <x:row r="135" s="1211" customFormat="1"/>
    <x:row r="136" s="1211" customFormat="1"/>
    <x:row r="137" s="1211" customFormat="1"/>
    <x:row r="138" s="1211" customFormat="1"/>
    <x:row r="139" s="1211" customFormat="1"/>
    <x:row r="140" s="1211" customFormat="1"/>
    <x:row r="141" s="1211" customFormat="1"/>
    <x:row r="142" s="1211" customFormat="1"/>
    <x:row r="143" s="1211" customFormat="1"/>
    <x:row r="144" s="1211" customFormat="1"/>
    <x:row r="145" s="1211" customFormat="1"/>
    <x:row r="146" s="1211" customFormat="1"/>
    <x:row r="147" s="1211" customFormat="1"/>
    <x:row r="148" s="1211" customFormat="1"/>
    <x:row r="149" s="1211" customFormat="1"/>
    <x:row r="150" s="1211" customFormat="1"/>
    <x:row r="151" s="1211" customFormat="1"/>
    <x:row r="152" s="1211" customFormat="1"/>
    <x:row r="153" s="1211" customFormat="1"/>
    <x:row r="154" s="1211" customFormat="1"/>
    <x:row r="155" s="1211" customFormat="1"/>
    <x:row r="156" s="1211" customFormat="1"/>
    <x:row r="157" s="1211" customFormat="1"/>
    <x:row r="158" s="1211" customFormat="1"/>
    <x:row r="159" s="1211" customFormat="1"/>
    <x:row r="160" s="1211" customFormat="1"/>
    <x:row r="161" s="1211" customFormat="1"/>
    <x:row r="162" s="1211" customFormat="1"/>
    <x:row r="163" s="1211" customFormat="1"/>
    <x:row r="164" s="1211" customFormat="1"/>
    <x:row r="165" s="1211" customFormat="1"/>
    <x:row r="166" s="1211" customFormat="1"/>
    <x:row r="167" s="1211" customFormat="1"/>
    <x:row r="168" s="1211" customFormat="1"/>
    <x:row r="169" s="1211" customFormat="1"/>
    <x:row r="170" s="1211" customFormat="1"/>
    <x:row r="171" s="1211" customFormat="1"/>
    <x:row r="172" s="1211" customFormat="1"/>
    <x:row r="173" s="1211" customFormat="1"/>
    <x:row r="174" s="1211" customFormat="1"/>
    <x:row r="175" s="1211" customFormat="1"/>
    <x:row r="176" s="1211" customFormat="1"/>
    <x:row r="177" s="1211" customFormat="1"/>
    <x:row r="178" s="1211" customFormat="1"/>
    <x:row r="179" s="1211" customFormat="1"/>
    <x:row r="180" s="1211" customFormat="1"/>
    <x:row r="181" s="1211" customFormat="1"/>
    <x:row r="182" s="1211" customFormat="1"/>
    <x:row r="183" s="1211" customFormat="1"/>
    <x:row r="184" s="1211" customFormat="1"/>
    <x:row r="185" s="1211" customFormat="1"/>
    <x:row r="186" s="1211" customFormat="1"/>
    <x:row r="187" s="1211" customFormat="1"/>
    <x:row r="188" s="1211" customFormat="1"/>
    <x:row r="189" s="1211" customFormat="1"/>
    <x:row r="190" s="1211" customFormat="1"/>
    <x:row r="191" s="1211" customFormat="1"/>
    <x:row r="192" s="1211" customFormat="1"/>
    <x:row r="193" s="1211" customFormat="1"/>
    <x:row r="194" s="1211" customFormat="1"/>
    <x:row r="195" s="1211" customFormat="1"/>
    <x:row r="196" s="1211" customFormat="1"/>
    <x:row r="197" s="1211" customFormat="1"/>
    <x:row r="198" s="1211" customFormat="1"/>
    <x:row r="199" s="1211" customFormat="1"/>
    <x:row r="200" s="1211" customFormat="1"/>
    <x:row r="201" s="1211" customFormat="1"/>
    <x:row r="202" s="1211" customFormat="1"/>
    <x:row r="203" s="1211" customFormat="1"/>
    <x:row r="204" s="1211" customFormat="1"/>
    <x:row r="205" s="1211" customFormat="1"/>
    <x:row r="206" s="1211" customFormat="1"/>
    <x:row r="207" s="1211" customFormat="1"/>
    <x:row r="208" s="1211" customFormat="1"/>
    <x:row r="209" s="1211" customFormat="1"/>
    <x:row r="210" s="1211" customFormat="1"/>
    <x:row r="211" s="1211" customFormat="1"/>
    <x:row r="212" s="1211" customFormat="1"/>
    <x:row r="213" s="1211" customFormat="1"/>
    <x:row r="214" s="1211" customFormat="1"/>
    <x:row r="215" s="1211" customFormat="1"/>
    <x:row r="216" s="1211" customFormat="1"/>
    <x:row r="217" s="1211" customFormat="1"/>
    <x:row r="218" s="1211" customFormat="1"/>
    <x:row r="219" s="1211" customFormat="1"/>
    <x:row r="220" s="1211" customFormat="1"/>
    <x:row r="221" s="1211" customFormat="1"/>
    <x:row r="222" s="1211" customFormat="1"/>
    <x:row r="223" s="1211" customFormat="1"/>
    <x:row r="224" s="1211" customFormat="1"/>
    <x:row r="225" s="1211" customFormat="1"/>
    <x:row r="226" s="1211" customFormat="1"/>
    <x:row r="227" s="1211" customFormat="1"/>
    <x:row r="228" s="1211" customFormat="1"/>
    <x:row r="229" s="1211" customFormat="1"/>
    <x:row r="230" s="1211" customFormat="1"/>
    <x:row r="231" s="1211" customFormat="1"/>
    <x:row r="232" s="1211" customFormat="1"/>
    <x:row r="233" s="1211" customFormat="1"/>
    <x:row r="234" s="1211" customFormat="1"/>
    <x:row r="235" s="1211" customFormat="1"/>
    <x:row r="236" s="1211" customFormat="1"/>
    <x:row r="237" s="1211" customFormat="1"/>
    <x:row r="238" s="1211" customFormat="1"/>
    <x:row r="239" s="1211" customFormat="1"/>
    <x:row r="240" s="1211" customFormat="1"/>
    <x:row r="241" s="1211" customFormat="1"/>
    <x:row r="242" s="1211" customFormat="1"/>
    <x:row r="243" s="1211" customFormat="1"/>
    <x:row r="244" s="1211" customFormat="1"/>
    <x:row r="245" s="1211" customFormat="1"/>
    <x:row r="246" s="1211" customFormat="1"/>
    <x:row r="247" s="1211" customFormat="1"/>
    <x:row r="248" s="1211" customFormat="1"/>
    <x:row r="249" s="1211" customFormat="1"/>
    <x:row r="250" s="1211" customFormat="1"/>
    <x:row r="251" s="1211" customFormat="1"/>
    <x:row r="252" s="1211" customFormat="1"/>
    <x:row r="253" s="1211" customFormat="1"/>
    <x:row r="254" s="1211" customFormat="1"/>
    <x:row r="255" s="1211" customFormat="1"/>
    <x:row r="256" s="1211" customFormat="1"/>
    <x:row r="257" s="1211" customFormat="1"/>
    <x:row r="258" s="1211" customFormat="1"/>
    <x:row r="259" s="1211" customFormat="1"/>
    <x:row r="260" s="1211" customFormat="1"/>
    <x:row r="261" s="1211" customFormat="1"/>
    <x:row r="262" s="1211" customFormat="1"/>
    <x:row r="263" s="1211" customFormat="1"/>
    <x:row r="264" s="1211" customFormat="1"/>
    <x:row r="265" s="1211" customFormat="1"/>
    <x:row r="266" s="1211" customFormat="1"/>
    <x:row r="267" s="1211" customFormat="1"/>
    <x:row r="268" s="1211" customFormat="1"/>
    <x:row r="269" s="1211" customFormat="1"/>
    <x:row r="270" s="1211" customFormat="1"/>
    <x:row r="271" s="1211" customFormat="1"/>
    <x:row r="272" s="1211" customFormat="1"/>
    <x:row r="273" s="1211" customFormat="1"/>
    <x:row r="274" s="1211" customFormat="1"/>
    <x:row r="275" s="1211" customFormat="1"/>
    <x:row r="276" s="1211" customFormat="1"/>
    <x:row r="277" s="1211" customFormat="1"/>
    <x:row r="278" s="1211" customFormat="1"/>
    <x:row r="279" s="1211" customFormat="1"/>
    <x:row r="280" s="1211" customFormat="1"/>
    <x:row r="281" s="1211" customFormat="1"/>
    <x:row r="282" s="1211" customFormat="1"/>
    <x:row r="283" s="1211" customFormat="1"/>
    <x:row r="284" s="1211" customFormat="1"/>
    <x:row r="285" s="1211" customFormat="1"/>
    <x:row r="286" s="1211" customFormat="1"/>
    <x:row r="287" s="1211" customFormat="1"/>
    <x:row r="288" s="1211" customFormat="1"/>
    <x:row r="289" s="1211" customFormat="1"/>
    <x:row r="290" s="1211" customFormat="1"/>
    <x:row r="291" s="1211" customFormat="1"/>
    <x:row r="292" s="1211" customFormat="1"/>
    <x:row r="293" s="1211" customFormat="1"/>
    <x:row r="294" s="1211" customFormat="1"/>
    <x:row r="295" s="1211" customFormat="1"/>
    <x:row r="296" s="1211" customFormat="1"/>
    <x:row r="297" s="1211" customFormat="1"/>
    <x:row r="298" s="1211" customFormat="1"/>
    <x:row r="299" s="1211" customFormat="1"/>
    <x:row r="300" s="1211" customFormat="1"/>
    <x:row r="301" s="1211" customFormat="1"/>
    <x:row r="302" s="1211" customFormat="1"/>
    <x:row r="303" s="1211" customFormat="1"/>
    <x:row r="304" s="1211" customFormat="1"/>
    <x:row r="305" s="1211" customFormat="1"/>
    <x:row r="306" s="1211" customFormat="1"/>
    <x:row r="307" s="1211" customFormat="1"/>
    <x:row r="308" s="1211" customFormat="1"/>
    <x:row r="309" s="1211" customFormat="1"/>
    <x:row r="310" s="1211" customFormat="1"/>
    <x:row r="311" s="1211" customFormat="1"/>
    <x:row r="312" s="1211" customFormat="1"/>
    <x:row r="313" s="1211" customFormat="1"/>
    <x:row r="314" s="1211" customFormat="1"/>
    <x:row r="315" s="1211" customFormat="1"/>
    <x:row r="316" s="1211" customFormat="1"/>
    <x:row r="317" s="1211" customFormat="1"/>
    <x:row r="318" s="1211" customFormat="1"/>
    <x:row r="319" s="1211" customFormat="1"/>
    <x:row r="320" s="1211" customFormat="1"/>
    <x:row r="321" s="1211" customFormat="1"/>
    <x:row r="322" s="1211" customFormat="1"/>
    <x:row r="323" s="1211" customFormat="1"/>
    <x:row r="324" s="1211" customFormat="1"/>
    <x:row r="325" s="1211" customFormat="1"/>
    <x:row r="326" s="1211" customFormat="1"/>
    <x:row r="327" s="1211" customFormat="1"/>
    <x:row r="328" s="1211" customFormat="1"/>
    <x:row r="329" s="1211" customFormat="1"/>
    <x:row r="330" s="1211" customFormat="1"/>
    <x:row r="331" s="1211" customFormat="1"/>
    <x:row r="332" s="1211" customFormat="1"/>
    <x:row r="333" s="1211" customFormat="1"/>
    <x:row r="334" s="1211" customFormat="1"/>
    <x:row r="335" s="1211" customFormat="1"/>
    <x:row r="336" s="1211" customFormat="1"/>
    <x:row r="337" s="1211" customFormat="1"/>
    <x:row r="338" s="1211" customFormat="1"/>
    <x:row r="339" s="1211" customFormat="1"/>
    <x:row r="340" s="1211" customFormat="1"/>
    <x:row r="341" s="1211" customFormat="1"/>
    <x:row r="342" s="1211" customFormat="1"/>
    <x:row r="343" s="1211" customFormat="1"/>
    <x:row r="344" s="1211" customFormat="1"/>
    <x:row r="345" s="1211" customFormat="1"/>
    <x:row r="346" s="1211" customFormat="1"/>
    <x:row r="347" s="1211" customFormat="1"/>
    <x:row r="348" s="1211" customFormat="1"/>
    <x:row r="349" s="1211" customFormat="1"/>
    <x:row r="350" s="1211" customFormat="1"/>
    <x:row r="351" s="1211" customFormat="1"/>
    <x:row r="352" s="1211" customFormat="1"/>
    <x:row r="353" s="1211" customFormat="1"/>
    <x:row r="354" s="1211" customFormat="1"/>
    <x:row r="355" s="1211" customFormat="1"/>
    <x:row r="356" s="1211" customFormat="1"/>
    <x:row r="357" s="1211" customFormat="1"/>
    <x:row r="358" s="1211" customFormat="1"/>
    <x:row r="359" s="1211" customFormat="1"/>
    <x:row r="360" s="1211" customFormat="1"/>
    <x:row r="361" s="1211" customFormat="1"/>
    <x:row r="362" s="1211" customFormat="1"/>
    <x:row r="363" s="1211" customFormat="1"/>
    <x:row r="364" s="1211" customFormat="1"/>
    <x:row r="365" s="1211" customFormat="1"/>
    <x:row r="366" s="1211" customFormat="1"/>
    <x:row r="367" s="1211" customFormat="1"/>
    <x:row r="368" s="1211" customFormat="1"/>
    <x:row r="369" s="1211" customFormat="1"/>
    <x:row r="370" s="1211" customFormat="1"/>
    <x:row r="371" s="1211" customFormat="1"/>
    <x:row r="372" s="1211" customFormat="1"/>
    <x:row r="373" s="1211" customFormat="1"/>
    <x:row r="374" s="1211" customFormat="1"/>
    <x:row r="375" s="1211" customFormat="1"/>
    <x:row r="376" s="1211" customFormat="1"/>
    <x:row r="377" s="1211" customFormat="1"/>
    <x:row r="378" s="1211" customFormat="1"/>
    <x:row r="379" s="1211" customFormat="1"/>
    <x:row r="380" s="1211" customFormat="1"/>
    <x:row r="381" s="1211" customFormat="1"/>
    <x:row r="382" s="1211" customFormat="1"/>
    <x:row r="383" s="1211" customFormat="1"/>
    <x:row r="384" s="1211" customFormat="1"/>
    <x:row r="385" s="1211" customFormat="1"/>
    <x:row r="386" s="1211" customFormat="1"/>
    <x:row r="387" s="1211" customFormat="1"/>
    <x:row r="388" s="1211" customFormat="1"/>
    <x:row r="389" s="1211" customFormat="1"/>
    <x:row r="390" s="1211" customFormat="1"/>
    <x:row r="391" s="1211" customFormat="1"/>
    <x:row r="392" s="1211" customFormat="1"/>
    <x:row r="393" s="1211" customFormat="1"/>
    <x:row r="394" s="1211" customFormat="1"/>
    <x:row r="395" s="1211" customFormat="1"/>
    <x:row r="396" s="1211" customFormat="1"/>
    <x:row r="397" s="1211" customFormat="1"/>
    <x:row r="398" s="1211" customFormat="1"/>
    <x:row r="399" s="1211" customFormat="1"/>
    <x:row r="400" s="1211" customFormat="1"/>
    <x:row r="401" s="1211" customFormat="1"/>
    <x:row r="402" s="1211" customFormat="1"/>
    <x:row r="403" s="1211" customFormat="1"/>
    <x:row r="404" s="1211" customFormat="1"/>
    <x:row r="405" s="1211" customFormat="1"/>
    <x:row r="406" s="1211" customFormat="1"/>
    <x:row r="407" s="1211" customFormat="1"/>
    <x:row r="408" s="1211" customFormat="1"/>
    <x:row r="409" s="1211" customFormat="1"/>
    <x:row r="410" s="1211" customFormat="1"/>
    <x:row r="411" s="1211" customFormat="1"/>
    <x:row r="412" s="1211" customFormat="1"/>
    <x:row r="413" s="1211" customFormat="1"/>
    <x:row r="414" s="1211" customFormat="1"/>
    <x:row r="415" s="1211" customFormat="1"/>
    <x:row r="416" s="1211" customFormat="1"/>
    <x:row r="417" s="1211" customFormat="1"/>
    <x:row r="418" s="1211" customFormat="1"/>
    <x:row r="419" s="1211" customFormat="1"/>
    <x:row r="420" s="1211" customFormat="1"/>
    <x:row r="421" s="1211" customFormat="1"/>
    <x:row r="422" s="1211" customFormat="1"/>
    <x:row r="423" s="1211" customFormat="1"/>
    <x:row r="424" s="1211" customFormat="1"/>
    <x:row r="425" s="1211" customFormat="1"/>
    <x:row r="426" s="1211" customFormat="1"/>
    <x:row r="427" s="1211" customFormat="1"/>
    <x:row r="428" s="1211" customFormat="1"/>
    <x:row r="429" s="1211" customFormat="1"/>
    <x:row r="430" s="1211" customFormat="1"/>
    <x:row r="431" s="1211" customFormat="1"/>
    <x:row r="432" s="1211" customFormat="1"/>
    <x:row r="433" s="1211" customFormat="1"/>
    <x:row r="434" s="1211" customFormat="1"/>
    <x:row r="435" s="1211" customFormat="1"/>
    <x:row r="436" s="1211" customFormat="1"/>
    <x:row r="437" s="1211" customFormat="1"/>
    <x:row r="438" s="1211" customFormat="1"/>
    <x:row r="439" s="1211" customFormat="1"/>
    <x:row r="440" s="1211" customFormat="1"/>
    <x:row r="441" s="1211" customFormat="1"/>
    <x:row r="442" s="1211" customFormat="1"/>
    <x:row r="443" s="1211" customFormat="1"/>
    <x:row r="444" s="1211" customFormat="1"/>
    <x:row r="445" s="1211" customFormat="1"/>
    <x:row r="446" s="1211" customFormat="1"/>
    <x:row r="447" s="1211" customFormat="1"/>
    <x:row r="448" s="1211" customFormat="1"/>
    <x:row r="449" s="1211" customFormat="1"/>
    <x:row r="450" s="1211" customFormat="1"/>
    <x:row r="451" s="1211" customFormat="1"/>
    <x:row r="452" s="1211" customFormat="1"/>
    <x:row r="453" s="1211" customFormat="1"/>
    <x:row r="454" s="1211" customFormat="1"/>
    <x:row r="455" s="1211" customFormat="1"/>
    <x:row r="456" s="1211" customFormat="1"/>
    <x:row r="457" s="1211" customFormat="1"/>
    <x:row r="458" s="1211" customFormat="1"/>
    <x:row r="459" s="1211" customFormat="1"/>
    <x:row r="460" s="1211" customFormat="1"/>
    <x:row r="461" s="1211" customFormat="1"/>
    <x:row r="462" s="1211" customFormat="1"/>
    <x:row r="463" s="1211" customFormat="1"/>
    <x:row r="464" s="1211" customFormat="1"/>
    <x:row r="465" s="1211" customFormat="1"/>
    <x:row r="466" s="1211" customFormat="1"/>
    <x:row r="467" s="1211" customFormat="1"/>
    <x:row r="468" s="1211" customFormat="1"/>
    <x:row r="469" s="1211" customFormat="1"/>
    <x:row r="470" s="1211" customFormat="1"/>
    <x:row r="471" s="1211" customFormat="1"/>
    <x:row r="472" s="1211" customFormat="1"/>
    <x:row r="473" s="1211" customFormat="1"/>
    <x:row r="474" s="1211" customFormat="1"/>
    <x:row r="475" s="1211" customFormat="1"/>
    <x:row r="476" s="1211" customFormat="1"/>
    <x:row r="477" s="1211" customFormat="1"/>
    <x:row r="478" s="1211" customFormat="1"/>
    <x:row r="479" s="1211" customFormat="1"/>
    <x:row r="480" s="1211" customFormat="1"/>
    <x:row r="481" s="1211" customFormat="1"/>
    <x:row r="482" s="1211" customFormat="1"/>
    <x:row r="483" s="1211" customFormat="1"/>
    <x:row r="484" s="1211" customFormat="1"/>
    <x:row r="485" s="1211" customFormat="1"/>
    <x:row r="486" s="1211" customFormat="1"/>
    <x:row r="487" s="1211" customFormat="1"/>
    <x:row r="488" s="1211" customFormat="1"/>
    <x:row r="489" s="1211" customFormat="1"/>
    <x:row r="490" s="1211" customFormat="1"/>
    <x:row r="491" s="1211" customFormat="1"/>
    <x:row r="492" s="1211" customFormat="1"/>
    <x:row r="493" s="1211" customFormat="1"/>
    <x:row r="494" s="1211" customFormat="1"/>
    <x:row r="495" s="1211" customFormat="1"/>
    <x:row r="496" s="1211" customFormat="1"/>
    <x:row r="497" s="1211" customFormat="1"/>
    <x:row r="498" s="1211" customFormat="1"/>
    <x:row r="499" s="1211" customFormat="1"/>
    <x:row r="500" s="1211" customFormat="1"/>
    <x:row r="501" s="1211" customFormat="1"/>
    <x:row r="502" s="1211" customFormat="1"/>
    <x:row r="503" s="1211" customFormat="1"/>
    <x:row r="504" s="1211" customFormat="1"/>
    <x:row r="505" s="1211" customFormat="1"/>
    <x:row r="506" s="1211" customFormat="1"/>
    <x:row r="507" s="1211" customFormat="1"/>
    <x:row r="508" s="1211" customFormat="1"/>
    <x:row r="509" s="1211" customFormat="1"/>
    <x:row r="510" s="1211" customFormat="1"/>
    <x:row r="511" s="1211" customFormat="1"/>
    <x:row r="512" s="1211" customFormat="1"/>
    <x:row r="513" s="1211" customFormat="1"/>
    <x:row r="514" s="1211" customFormat="1"/>
    <x:row r="515" s="1211" customFormat="1"/>
    <x:row r="516" s="1211" customFormat="1"/>
    <x:row r="517" s="1211" customFormat="1"/>
    <x:row r="518" s="1211" customFormat="1"/>
    <x:row r="519" s="1211" customFormat="1"/>
    <x:row r="520" s="1211" customFormat="1"/>
    <x:row r="521" s="1211" customFormat="1"/>
    <x:row r="522" s="1211" customFormat="1"/>
    <x:row r="523" s="1211" customFormat="1"/>
    <x:row r="524" s="1211" customFormat="1"/>
    <x:row r="525" s="1211" customFormat="1"/>
    <x:row r="526" s="1211" customFormat="1"/>
    <x:row r="527" s="1211" customFormat="1"/>
    <x:row r="528" s="1211" customFormat="1"/>
    <x:row r="529" s="1211" customFormat="1"/>
    <x:row r="530" s="1211" customFormat="1"/>
    <x:row r="531" s="1211" customFormat="1"/>
    <x:row r="532" s="1211" customFormat="1"/>
    <x:row r="533" s="1211" customFormat="1"/>
    <x:row r="534" s="1211" customFormat="1"/>
    <x:row r="535" s="1211" customFormat="1"/>
    <x:row r="536" s="1211" customFormat="1"/>
    <x:row r="537" s="1211" customFormat="1"/>
    <x:row r="538" s="1211" customFormat="1"/>
    <x:row r="539" s="1211" customFormat="1"/>
    <x:row r="540" s="1211" customFormat="1"/>
    <x:row r="541" s="1211" customFormat="1"/>
    <x:row r="542" s="1211" customFormat="1"/>
    <x:row r="543" s="1211" customFormat="1"/>
    <x:row r="544" s="1211" customFormat="1"/>
    <x:row r="545" s="1211" customFormat="1"/>
    <x:row r="546" s="1211" customFormat="1"/>
    <x:row r="547" s="1211" customFormat="1"/>
    <x:row r="548" s="1211" customFormat="1"/>
    <x:row r="549" s="1211" customFormat="1"/>
    <x:row r="550" s="1211" customFormat="1"/>
    <x:row r="551" s="1211" customFormat="1"/>
    <x:row r="552" s="1211" customFormat="1"/>
    <x:row r="553" s="1211" customFormat="1"/>
    <x:row r="554" s="1211" customFormat="1"/>
    <x:row r="555" s="1211" customFormat="1"/>
    <x:row r="556" s="1211" customFormat="1"/>
    <x:row r="557" s="1211" customFormat="1"/>
    <x:row r="558" s="1211" customFormat="1"/>
    <x:row r="559" s="1211" customFormat="1"/>
    <x:row r="560" s="1211" customFormat="1"/>
    <x:row r="561" s="1211" customFormat="1"/>
    <x:row r="562" s="1211" customFormat="1"/>
    <x:row r="563" s="1211" customFormat="1"/>
    <x:row r="564" s="1211" customFormat="1"/>
    <x:row r="565" s="1211" customFormat="1"/>
    <x:row r="566" s="1211" customFormat="1"/>
    <x:row r="567" s="1211" customFormat="1"/>
    <x:row r="568" s="1211" customFormat="1"/>
    <x:row r="569" s="1211" customFormat="1"/>
    <x:row r="570" s="1211" customFormat="1"/>
    <x:row r="571" s="1211" customFormat="1"/>
    <x:row r="572" s="1211" customFormat="1"/>
    <x:row r="573" s="1211" customFormat="1"/>
    <x:row r="574" s="1211" customFormat="1"/>
    <x:row r="575" s="1211" customFormat="1"/>
    <x:row r="576" s="1211" customFormat="1"/>
    <x:row r="577" s="1211" customFormat="1"/>
    <x:row r="578" s="1211" customFormat="1"/>
    <x:row r="579" s="1211" customFormat="1"/>
    <x:row r="580" s="1211" customFormat="1"/>
    <x:row r="581" s="1211" customFormat="1"/>
    <x:row r="582" s="1211" customFormat="1"/>
    <x:row r="583" s="1211" customFormat="1"/>
    <x:row r="584" s="1211" customFormat="1"/>
    <x:row r="585" s="1211" customFormat="1"/>
    <x:row r="586" s="1211" customFormat="1"/>
    <x:row r="587" s="1211" customFormat="1"/>
    <x:row r="588" s="1211" customFormat="1"/>
    <x:row r="589" s="1211" customFormat="1"/>
    <x:row r="590" s="1211" customFormat="1"/>
    <x:row r="591" s="1211" customFormat="1"/>
    <x:row r="592" s="1211" customFormat="1"/>
    <x:row r="593" s="1211" customFormat="1"/>
    <x:row r="594" s="1211" customFormat="1"/>
    <x:row r="595" s="1211" customFormat="1"/>
    <x:row r="596" s="1211" customFormat="1"/>
    <x:row r="597" s="1211" customFormat="1"/>
    <x:row r="598" s="1211" customFormat="1"/>
    <x:row r="599" s="1211" customFormat="1"/>
    <x:row r="600" s="1211" customFormat="1"/>
    <x:row r="601" s="1211" customFormat="1"/>
    <x:row r="602" s="1211" customFormat="1"/>
    <x:row r="603" s="1211" customFormat="1"/>
    <x:row r="604" s="1211" customFormat="1"/>
    <x:row r="605" s="1211" customFormat="1"/>
    <x:row r="606" s="1211" customFormat="1"/>
    <x:row r="607" s="1211" customFormat="1"/>
    <x:row r="608" s="1211" customFormat="1"/>
    <x:row r="609" s="1211" customFormat="1"/>
    <x:row r="610" s="1211" customFormat="1"/>
    <x:row r="611" s="1211" customFormat="1"/>
    <x:row r="612" s="1211" customFormat="1"/>
    <x:row r="613" s="1211" customFormat="1"/>
    <x:row r="614" s="1211" customFormat="1"/>
    <x:row r="615" s="1211" customFormat="1"/>
    <x:row r="616" s="1211" customFormat="1"/>
    <x:row r="617" s="1211" customFormat="1"/>
    <x:row r="618" s="1211" customFormat="1"/>
    <x:row r="619" s="1211" customFormat="1"/>
    <x:row r="620" s="1211" customFormat="1"/>
    <x:row r="621" s="1211" customFormat="1"/>
    <x:row r="622" s="1211" customFormat="1"/>
    <x:row r="623" s="1211" customFormat="1"/>
    <x:row r="624" s="1211" customFormat="1"/>
    <x:row r="625" s="1211" customFormat="1"/>
    <x:row r="626" s="1211" customFormat="1"/>
    <x:row r="627" s="1211" customFormat="1"/>
    <x:row r="628" s="1211" customFormat="1"/>
    <x:row r="629" s="1211" customFormat="1"/>
    <x:row r="630" s="1211" customFormat="1"/>
    <x:row r="631" s="1211" customFormat="1"/>
    <x:row r="632" s="1211" customFormat="1"/>
    <x:row r="633" s="1211" customFormat="1"/>
    <x:row r="634" s="1211" customFormat="1"/>
    <x:row r="635" s="1211" customFormat="1"/>
    <x:row r="636" s="1211" customFormat="1"/>
    <x:row r="637" s="1211" customFormat="1"/>
    <x:row r="638" s="1211" customFormat="1"/>
    <x:row r="639" s="1211" customFormat="1"/>
    <x:row r="640" s="1211" customFormat="1"/>
    <x:row r="641" s="1211" customFormat="1"/>
    <x:row r="642" s="1211" customFormat="1"/>
    <x:row r="643" s="1211" customFormat="1"/>
    <x:row r="644" s="1211" customFormat="1"/>
    <x:row r="645" s="1211" customFormat="1"/>
    <x:row r="646" s="1211" customFormat="1"/>
    <x:row r="647" s="1211" customFormat="1"/>
    <x:row r="648" s="1211" customFormat="1"/>
    <x:row r="649" s="1211" customFormat="1"/>
    <x:row r="650" s="1211" customFormat="1"/>
    <x:row r="651" s="1211" customFormat="1"/>
    <x:row r="652" s="1211" customFormat="1"/>
    <x:row r="653" s="1211" customFormat="1"/>
    <x:row r="654" s="1211" customFormat="1"/>
    <x:row r="655" s="1211" customFormat="1"/>
    <x:row r="656" s="1211" customFormat="1"/>
    <x:row r="657" s="1211" customFormat="1"/>
    <x:row r="658" s="1211" customFormat="1"/>
    <x:row r="659" s="1211" customFormat="1"/>
    <x:row r="660" s="1211" customFormat="1"/>
    <x:row r="661" s="1211" customFormat="1"/>
    <x:row r="662" s="1211" customFormat="1"/>
    <x:row r="663" s="1211" customFormat="1"/>
    <x:row r="664" s="1211" customFormat="1"/>
    <x:row r="665" s="1211" customFormat="1"/>
    <x:row r="666" s="1211" customFormat="1"/>
    <x:row r="667" s="1211" customFormat="1"/>
    <x:row r="668" s="1211" customFormat="1"/>
    <x:row r="669" s="1211" customFormat="1"/>
    <x:row r="670" s="1211" customFormat="1"/>
    <x:row r="671" s="1211" customFormat="1"/>
    <x:row r="672" s="1211" customFormat="1"/>
    <x:row r="673" s="1211" customFormat="1"/>
    <x:row r="674" s="1211" customFormat="1"/>
    <x:row r="675" s="1211" customFormat="1"/>
    <x:row r="676" s="1211" customFormat="1"/>
    <x:row r="677" s="1211" customFormat="1"/>
    <x:row r="678" s="1211" customFormat="1"/>
    <x:row r="679" s="1211" customFormat="1"/>
    <x:row r="680" s="1211" customFormat="1"/>
    <x:row r="681" s="1211" customFormat="1"/>
    <x:row r="682" s="1211" customFormat="1"/>
    <x:row r="683" s="1211" customFormat="1"/>
    <x:row r="684" s="1211" customFormat="1"/>
    <x:row r="685" s="1211" customFormat="1"/>
    <x:row r="686" s="1211" customFormat="1"/>
    <x:row r="687" s="1211" customFormat="1"/>
    <x:row r="688" s="1211" customFormat="1"/>
    <x:row r="689" s="1211" customFormat="1"/>
    <x:row r="690" s="1211" customFormat="1"/>
    <x:row r="691" s="1211" customFormat="1"/>
    <x:row r="692" s="1211" customFormat="1"/>
    <x:row r="693" s="1211" customFormat="1"/>
    <x:row r="694" s="1211" customFormat="1"/>
    <x:row r="695" s="1211" customFormat="1"/>
    <x:row r="696" s="1211" customFormat="1"/>
    <x:row r="697" s="1211" customFormat="1"/>
    <x:row r="698" s="1211" customFormat="1"/>
    <x:row r="699" s="1211" customFormat="1"/>
    <x:row r="700" s="1211" customFormat="1"/>
    <x:row r="701" s="1211" customFormat="1"/>
    <x:row r="702" s="1211" customFormat="1"/>
    <x:row r="703" s="1211" customFormat="1"/>
    <x:row r="704" s="1211" customFormat="1"/>
    <x:row r="705" s="1211" customFormat="1"/>
    <x:row r="706" s="1211" customFormat="1"/>
    <x:row r="707" s="1211" customFormat="1"/>
    <x:row r="708" s="1211" customFormat="1"/>
    <x:row r="709" s="1211" customFormat="1"/>
    <x:row r="710" s="1211" customFormat="1"/>
    <x:row r="711" s="1211" customFormat="1"/>
    <x:row r="712" s="1211" customFormat="1"/>
    <x:row r="713" s="1211" customFormat="1"/>
    <x:row r="714" s="1211" customFormat="1"/>
    <x:row r="715" s="1211" customFormat="1"/>
    <x:row r="716" s="1211" customFormat="1"/>
    <x:row r="717" s="1211" customFormat="1"/>
    <x:row r="718" s="1211" customFormat="1"/>
    <x:row r="719" s="1211" customFormat="1"/>
    <x:row r="720" s="1211" customFormat="1"/>
    <x:row r="721" s="1211" customFormat="1"/>
    <x:row r="722" s="1211" customFormat="1"/>
    <x:row r="723" s="1211" customFormat="1"/>
    <x:row r="724" s="1211" customFormat="1"/>
    <x:row r="725" s="1211" customFormat="1"/>
    <x:row r="726" s="1211" customFormat="1"/>
    <x:row r="727" s="1211" customFormat="1"/>
    <x:row r="728" s="1211" customFormat="1"/>
    <x:row r="729" s="1211" customFormat="1"/>
    <x:row r="730" s="1211" customFormat="1"/>
    <x:row r="731" s="1211" customFormat="1"/>
    <x:row r="732" s="1211" customFormat="1"/>
    <x:row r="733" s="1211" customFormat="1"/>
    <x:row r="734" s="1211" customFormat="1"/>
    <x:row r="735" s="1211" customFormat="1"/>
    <x:row r="736" s="1211" customFormat="1"/>
    <x:row r="737" s="1211" customFormat="1"/>
    <x:row r="738" s="1211" customFormat="1"/>
    <x:row r="739" s="1211" customFormat="1"/>
    <x:row r="740" s="1211" customFormat="1"/>
    <x:row r="741" s="1211" customFormat="1"/>
    <x:row r="742" s="1211" customFormat="1"/>
    <x:row r="743" s="1211" customFormat="1"/>
    <x:row r="744" s="1211" customFormat="1"/>
    <x:row r="745" s="1211" customFormat="1"/>
    <x:row r="746" s="1211" customFormat="1"/>
    <x:row r="747" s="1211" customFormat="1"/>
    <x:row r="748" s="1211" customFormat="1"/>
    <x:row r="749" s="1211" customFormat="1"/>
    <x:row r="750" s="1211" customFormat="1"/>
    <x:row r="751" s="1211" customFormat="1"/>
    <x:row r="752" s="1211" customFormat="1"/>
    <x:row r="753" s="1211" customFormat="1"/>
    <x:row r="754" s="1211" customFormat="1"/>
    <x:row r="755" s="1211" customFormat="1"/>
    <x:row r="756" s="1211" customFormat="1"/>
    <x:row r="757" s="1211" customFormat="1"/>
    <x:row r="758" s="1211" customFormat="1"/>
    <x:row r="759" s="1211" customFormat="1"/>
    <x:row r="760" s="1211" customFormat="1"/>
    <x:row r="761" s="1211" customFormat="1"/>
    <x:row r="762" s="1211" customFormat="1"/>
    <x:row r="763" s="1211" customFormat="1"/>
    <x:row r="764" s="1211" customFormat="1"/>
    <x:row r="765" s="1211" customFormat="1"/>
    <x:row r="766" s="1211" customFormat="1"/>
    <x:row r="767" s="1211" customFormat="1"/>
    <x:row r="768" s="1211" customFormat="1"/>
    <x:row r="769" s="1211" customFormat="1"/>
    <x:row r="770" s="1211" customFormat="1"/>
    <x:row r="771" s="1211" customFormat="1"/>
    <x:row r="772" s="1211" customFormat="1"/>
    <x:row r="773" s="1211" customFormat="1"/>
    <x:row r="774" s="1211" customFormat="1"/>
    <x:row r="775" s="1211" customFormat="1"/>
    <x:row r="776" s="1211" customFormat="1"/>
    <x:row r="777" s="1211" customFormat="1"/>
    <x:row r="778" s="1211" customFormat="1"/>
    <x:row r="779" s="1211" customFormat="1"/>
    <x:row r="780" s="1211" customFormat="1"/>
    <x:row r="781" s="1211" customFormat="1"/>
    <x:row r="782" s="1211" customFormat="1"/>
    <x:row r="783" s="1211" customFormat="1"/>
    <x:row r="784" s="1211" customFormat="1"/>
    <x:row r="785" s="1211" customFormat="1"/>
    <x:row r="786" s="1211" customFormat="1"/>
    <x:row r="787" s="1211" customFormat="1"/>
    <x:row r="788" s="1211" customFormat="1"/>
    <x:row r="789" s="1211" customFormat="1"/>
    <x:row r="790" s="1211" customFormat="1"/>
    <x:row r="791" s="1211" customFormat="1"/>
    <x:row r="792" s="1211" customFormat="1"/>
    <x:row r="793" s="1211" customFormat="1"/>
    <x:row r="794" s="1211" customFormat="1"/>
    <x:row r="795" s="1211" customFormat="1"/>
    <x:row r="796" s="1211" customFormat="1"/>
    <x:row r="797" s="1211" customFormat="1"/>
    <x:row r="798" s="1211" customFormat="1"/>
    <x:row r="799" s="1211" customFormat="1"/>
    <x:row r="800" s="1211" customFormat="1"/>
    <x:row r="801" s="1211" customFormat="1"/>
    <x:row r="802" s="1211" customFormat="1"/>
    <x:row r="803" s="1211" customFormat="1"/>
    <x:row r="804" s="1211" customFormat="1"/>
    <x:row r="805" s="1211" customFormat="1"/>
    <x:row r="806" s="1211" customFormat="1"/>
    <x:row r="807" s="1211" customFormat="1"/>
    <x:row r="808" s="1211" customFormat="1"/>
    <x:row r="809" s="1211" customFormat="1"/>
    <x:row r="810" s="1211" customFormat="1"/>
    <x:row r="811" s="1211" customFormat="1"/>
    <x:row r="812" s="1211" customFormat="1"/>
    <x:row r="813" s="1211" customFormat="1"/>
    <x:row r="814" s="1211" customFormat="1"/>
    <x:row r="815" s="1211" customFormat="1"/>
    <x:row r="816" s="1211" customFormat="1"/>
    <x:row r="817" s="1211" customFormat="1"/>
    <x:row r="818" s="1211" customFormat="1"/>
    <x:row r="819" s="1211" customFormat="1"/>
    <x:row r="820" s="1211" customFormat="1"/>
    <x:row r="821" s="1211" customFormat="1"/>
    <x:row r="822" s="1211" customFormat="1"/>
    <x:row r="823" s="1211" customFormat="1"/>
    <x:row r="824" s="1211" customFormat="1"/>
    <x:row r="825" s="1211" customFormat="1"/>
    <x:row r="826" s="1211" customFormat="1"/>
    <x:row r="827" s="1211" customFormat="1"/>
    <x:row r="828" s="1211" customFormat="1"/>
    <x:row r="829" s="1211" customFormat="1"/>
    <x:row r="830" s="1211" customFormat="1"/>
    <x:row r="831" s="1211" customFormat="1"/>
    <x:row r="832" s="1211" customFormat="1"/>
    <x:row r="833" s="1211" customFormat="1"/>
    <x:row r="834" s="1211" customFormat="1"/>
    <x:row r="835" s="1211" customFormat="1"/>
    <x:row r="836" s="1211" customFormat="1"/>
    <x:row r="837" s="1211" customFormat="1"/>
    <x:row r="838" s="1211" customFormat="1"/>
    <x:row r="839" s="1211" customFormat="1"/>
    <x:row r="840" s="1211" customFormat="1"/>
    <x:row r="841" s="1211" customFormat="1"/>
    <x:row r="842" s="1211" customFormat="1"/>
    <x:row r="843" s="1211" customFormat="1"/>
    <x:row r="844" s="1211" customFormat="1"/>
    <x:row r="845" s="1211" customFormat="1"/>
    <x:row r="846" s="1211" customFormat="1"/>
    <x:row r="847" s="1211" customFormat="1"/>
    <x:row r="848" s="1211" customFormat="1"/>
    <x:row r="849" s="1211" customFormat="1"/>
    <x:row r="850" s="1211" customFormat="1"/>
    <x:row r="851" s="1211" customFormat="1"/>
    <x:row r="852" s="1211" customFormat="1"/>
    <x:row r="853" s="1211" customFormat="1"/>
    <x:row r="854" s="1211" customFormat="1"/>
    <x:row r="855" s="1211" customFormat="1"/>
    <x:row r="856" s="1211" customFormat="1"/>
    <x:row r="857" s="1211" customFormat="1"/>
    <x:row r="858" s="1211" customFormat="1"/>
    <x:row r="859" s="1211" customFormat="1"/>
    <x:row r="860" s="1211" customFormat="1"/>
    <x:row r="861" s="1211" customFormat="1"/>
    <x:row r="862" s="1211" customFormat="1"/>
    <x:row r="863" s="1211" customFormat="1"/>
    <x:row r="864" s="1211" customFormat="1"/>
    <x:row r="865" s="1211" customFormat="1"/>
    <x:row r="866" s="1211" customFormat="1"/>
    <x:row r="867" s="1211" customFormat="1"/>
    <x:row r="868" s="1211" customFormat="1"/>
    <x:row r="869" s="1211" customFormat="1"/>
    <x:row r="870" s="1211" customFormat="1"/>
    <x:row r="871" s="1211" customFormat="1"/>
    <x:row r="872" s="1211" customFormat="1"/>
    <x:row r="873" s="1211" customFormat="1"/>
    <x:row r="874" s="1211" customFormat="1"/>
    <x:row r="875" s="1211" customFormat="1"/>
    <x:row r="876" s="1211" customFormat="1"/>
    <x:row r="877" s="1211" customFormat="1"/>
    <x:row r="878" s="1211" customFormat="1"/>
    <x:row r="879" s="1211" customFormat="1"/>
    <x:row r="880" s="1211" customFormat="1"/>
    <x:row r="881" s="1211" customFormat="1"/>
    <x:row r="882" s="1211" customFormat="1"/>
    <x:row r="883" s="1211" customFormat="1"/>
    <x:row r="884" s="1211" customFormat="1"/>
    <x:row r="885" s="1211" customFormat="1"/>
    <x:row r="886" s="1211" customFormat="1"/>
    <x:row r="887" s="1211" customFormat="1"/>
    <x:row r="888" s="1211" customFormat="1"/>
    <x:row r="889" s="1211" customFormat="1"/>
    <x:row r="890" s="1211" customFormat="1"/>
    <x:row r="891" s="1211" customFormat="1"/>
    <x:row r="892" s="1211" customFormat="1"/>
    <x:row r="893" s="1211" customFormat="1"/>
    <x:row r="894" s="1211" customFormat="1"/>
    <x:row r="895" s="1211" customFormat="1"/>
    <x:row r="896" s="1211" customFormat="1"/>
    <x:row r="897" s="1211" customFormat="1"/>
    <x:row r="898" s="1211" customFormat="1"/>
    <x:row r="899" s="1211" customFormat="1"/>
    <x:row r="900" s="1211" customFormat="1"/>
    <x:row r="901" s="1211" customFormat="1"/>
    <x:row r="902" s="1211" customFormat="1"/>
    <x:row r="903" s="1211" customFormat="1"/>
    <x:row r="904" s="1211" customFormat="1"/>
    <x:row r="905" s="1211" customFormat="1"/>
    <x:row r="906" s="1211" customFormat="1"/>
    <x:row r="907" s="1211" customFormat="1"/>
    <x:row r="908" s="1211" customFormat="1"/>
    <x:row r="909" s="1211" customFormat="1"/>
    <x:row r="910" s="1211" customFormat="1"/>
    <x:row r="911" s="1211" customFormat="1"/>
    <x:row r="912" s="1211" customFormat="1"/>
    <x:row r="913" s="1211" customFormat="1"/>
    <x:row r="914" s="1211" customFormat="1"/>
    <x:row r="915" s="1211" customFormat="1"/>
    <x:row r="916" s="1211" customFormat="1"/>
    <x:row r="917" s="1211" customFormat="1"/>
    <x:row r="918" s="1211" customFormat="1"/>
    <x:row r="919" s="1211" customFormat="1"/>
    <x:row r="920" s="1211" customFormat="1"/>
    <x:row r="921" s="1211" customFormat="1"/>
    <x:row r="922" s="1211" customFormat="1"/>
    <x:row r="923" s="1211" customFormat="1"/>
    <x:row r="924" s="1211" customFormat="1"/>
    <x:row r="925" s="1211" customFormat="1"/>
    <x:row r="926" s="1211" customFormat="1"/>
    <x:row r="927" s="1211" customFormat="1"/>
    <x:row r="928" s="1211" customFormat="1"/>
    <x:row r="929" s="1211" customFormat="1"/>
    <x:row r="930" s="1211" customFormat="1"/>
    <x:row r="931" s="1211" customFormat="1"/>
    <x:row r="932" s="1211" customFormat="1"/>
    <x:row r="933" s="1211" customFormat="1"/>
    <x:row r="934" s="1211" customFormat="1"/>
    <x:row r="935" s="1211" customFormat="1"/>
    <x:row r="936" s="1211" customFormat="1"/>
    <x:row r="937" s="1211" customFormat="1"/>
    <x:row r="938" s="1211" customFormat="1"/>
    <x:row r="939" s="1211" customFormat="1"/>
    <x:row r="940" s="1211" customFormat="1"/>
    <x:row r="941" s="1211" customFormat="1"/>
    <x:row r="942" s="1211" customFormat="1"/>
    <x:row r="943" s="1211" customFormat="1"/>
    <x:row r="944" s="1211" customFormat="1"/>
    <x:row r="945" s="1211" customFormat="1"/>
    <x:row r="946" s="1211" customFormat="1"/>
    <x:row r="947" s="1211" customFormat="1"/>
    <x:row r="948" s="1211" customFormat="1"/>
    <x:row r="949" s="1211" customFormat="1"/>
    <x:row r="950" s="1211" customFormat="1"/>
    <x:row r="951" s="1211" customFormat="1"/>
    <x:row r="952" s="1211" customFormat="1"/>
    <x:row r="953" s="1211" customFormat="1"/>
    <x:row r="954" s="1211" customFormat="1"/>
    <x:row r="955" s="1211" customFormat="1"/>
    <x:row r="956" s="1211" customFormat="1"/>
    <x:row r="957" s="1211" customFormat="1"/>
    <x:row r="958" s="1211" customFormat="1"/>
    <x:row r="959" s="1211" customFormat="1"/>
    <x:row r="960" s="1211" customFormat="1"/>
    <x:row r="961" s="1211" customFormat="1"/>
    <x:row r="962" s="1211" customFormat="1"/>
    <x:row r="963" s="1211" customFormat="1"/>
    <x:row r="964" s="1211" customFormat="1"/>
    <x:row r="965" s="1211" customFormat="1"/>
    <x:row r="966" s="1211" customFormat="1"/>
    <x:row r="967" s="1211" customFormat="1"/>
    <x:row r="968" s="1211" customFormat="1"/>
    <x:row r="969" s="1211" customFormat="1"/>
    <x:row r="970" s="1211" customFormat="1"/>
    <x:row r="971" s="1211" customFormat="1"/>
    <x:row r="972" s="1211" customFormat="1"/>
    <x:row r="973" s="1211" customFormat="1"/>
    <x:row r="974" s="1211" customFormat="1"/>
    <x:row r="975" s="1211" customFormat="1"/>
    <x:row r="976" s="1211" customFormat="1"/>
    <x:row r="977" s="1211" customFormat="1"/>
    <x:row r="978" s="1211" customFormat="1"/>
    <x:row r="979" s="1211" customFormat="1"/>
    <x:row r="980" s="1211" customFormat="1"/>
    <x:row r="981" s="1211" customFormat="1"/>
    <x:row r="982" s="1211" customFormat="1"/>
    <x:row r="983" s="1211" customFormat="1"/>
    <x:row r="984" s="1211" customFormat="1"/>
    <x:row r="985" s="1211" customFormat="1"/>
    <x:row r="986" s="1211" customFormat="1"/>
    <x:row r="987" s="1211" customFormat="1"/>
    <x:row r="988" s="1211" customFormat="1"/>
    <x:row r="989" s="1211" customFormat="1"/>
    <x:row r="990" s="1211" customFormat="1"/>
    <x:row r="991" s="1211" customFormat="1"/>
    <x:row r="992" s="1211" customFormat="1"/>
    <x:row r="993" s="1211" customFormat="1"/>
    <x:row r="994" s="1211" customFormat="1"/>
    <x:row r="995" s="1211" customFormat="1"/>
    <x:row r="996" s="1211" customFormat="1"/>
    <x:row r="997" s="1211" customFormat="1"/>
    <x:row r="998" s="1211" customFormat="1"/>
    <x:row r="999" s="1211" customFormat="1"/>
    <x:row r="1000" s="1211" customFormat="1"/>
    <x:row r="1001" s="1211" customFormat="1"/>
    <x:row r="1002" s="1211" customFormat="1"/>
    <x:row r="1003" s="1211" customFormat="1"/>
    <x:row r="1004" s="1211" customFormat="1"/>
    <x:row r="1005" s="1211" customFormat="1"/>
    <x:row r="1006" s="1211" customFormat="1"/>
    <x:row r="1007" s="1211" customFormat="1"/>
    <x:row r="1008" s="1211" customFormat="1"/>
    <x:row r="1009" s="1211" customFormat="1"/>
    <x:row r="1010" s="1211" customFormat="1"/>
    <x:row r="1011" s="1211" customFormat="1"/>
    <x:row r="1012" s="1211" customFormat="1"/>
    <x:row r="1013" s="1211" customFormat="1"/>
    <x:row r="1014" s="1211" customFormat="1"/>
    <x:row r="1015" s="1211" customFormat="1"/>
    <x:row r="1016" s="1211" customFormat="1"/>
    <x:row r="1017" s="1211" customFormat="1"/>
    <x:row r="1018" s="1211" customFormat="1"/>
    <x:row r="1019" s="1211" customFormat="1"/>
    <x:row r="1020" s="1211" customFormat="1"/>
    <x:row r="1021" s="1211" customFormat="1"/>
    <x:row r="1022" s="1211" customFormat="1"/>
    <x:row r="1023" s="1211" customFormat="1"/>
    <x:row r="1024" s="1211" customFormat="1"/>
    <x:row r="1025" s="1211" customFormat="1"/>
    <x:row r="1026" s="1211" customFormat="1"/>
    <x:row r="1027" s="1211" customFormat="1"/>
    <x:row r="1028" s="1211" customFormat="1"/>
    <x:row r="1029" s="1211" customFormat="1"/>
    <x:row r="1030" s="1211" customFormat="1"/>
    <x:row r="1031" s="1211" customFormat="1"/>
    <x:row r="1032" s="1211" customFormat="1"/>
    <x:row r="1033" s="1211" customFormat="1"/>
    <x:row r="1034" s="1211" customFormat="1"/>
    <x:row r="1035" s="1211" customFormat="1"/>
    <x:row r="1036" s="1211" customFormat="1"/>
    <x:row r="1037" s="1211" customFormat="1"/>
    <x:row r="1038" s="1211" customFormat="1"/>
    <x:row r="1039" s="1211" customFormat="1"/>
    <x:row r="1040" s="1211" customFormat="1"/>
    <x:row r="1041" s="1211" customFormat="1"/>
    <x:row r="1042" s="1211" customFormat="1"/>
    <x:row r="1043" s="1211" customFormat="1"/>
    <x:row r="1044" s="1211" customFormat="1"/>
    <x:row r="1045" s="1211" customFormat="1"/>
    <x:row r="1046" s="1211" customFormat="1"/>
    <x:row r="1047" s="1211" customFormat="1"/>
    <x:row r="1048" s="1211" customFormat="1"/>
    <x:row r="1049" s="1211" customFormat="1"/>
    <x:row r="1050" s="1211" customFormat="1"/>
    <x:row r="1051" s="1211" customFormat="1"/>
    <x:row r="1052" s="1211" customFormat="1"/>
    <x:row r="1053" s="1211" customFormat="1"/>
    <x:row r="1054" s="1211" customFormat="1"/>
    <x:row r="1055" s="1211" customFormat="1"/>
    <x:row r="1056" s="1211" customFormat="1"/>
    <x:row r="1057" s="1211" customFormat="1"/>
    <x:row r="1058" s="1211" customFormat="1"/>
    <x:row r="1059" s="1211" customFormat="1"/>
    <x:row r="1060" s="1211" customFormat="1"/>
    <x:row r="1061" s="1211" customFormat="1"/>
    <x:row r="1062" s="1211" customFormat="1"/>
    <x:row r="1063" s="1211" customFormat="1"/>
    <x:row r="1064" s="1211" customFormat="1"/>
    <x:row r="1065" s="1211" customFormat="1"/>
    <x:row r="1066" s="1211" customFormat="1"/>
    <x:row r="1067" s="1211" customFormat="1"/>
    <x:row r="1068" s="1211" customFormat="1"/>
    <x:row r="1069" s="1211" customFormat="1"/>
    <x:row r="1070" s="1211" customFormat="1"/>
    <x:row r="1071" s="1211" customFormat="1"/>
    <x:row r="1072" s="1211" customFormat="1"/>
    <x:row r="1073" s="1211" customFormat="1"/>
    <x:row r="1074" s="1211" customFormat="1"/>
    <x:row r="1075" s="1211" customFormat="1"/>
    <x:row r="1076" s="1211" customFormat="1"/>
    <x:row r="1077" s="1211" customFormat="1"/>
    <x:row r="1078" s="1211" customFormat="1"/>
    <x:row r="1079" s="1211" customFormat="1"/>
    <x:row r="1080" s="1211" customFormat="1"/>
    <x:row r="1081" s="1211" customFormat="1"/>
    <x:row r="1082" s="1211" customFormat="1"/>
    <x:row r="1083" s="1211" customFormat="1"/>
    <x:row r="1084" s="1211" customFormat="1"/>
    <x:row r="1085" s="1211" customFormat="1"/>
    <x:row r="1086" s="1211" customFormat="1"/>
    <x:row r="1087" s="1211" customFormat="1"/>
    <x:row r="1088" s="1211" customFormat="1"/>
    <x:row r="1089" s="1211" customFormat="1"/>
    <x:row r="1090" s="1211" customFormat="1"/>
    <x:row r="1091" s="1211" customFormat="1"/>
    <x:row r="1092" s="1211" customFormat="1"/>
    <x:row r="1093" s="1211" customFormat="1"/>
    <x:row r="1094" s="1211" customFormat="1"/>
    <x:row r="1095" s="1211" customFormat="1"/>
    <x:row r="1096" s="1211" customFormat="1"/>
    <x:row r="1097" s="1211" customFormat="1"/>
    <x:row r="1098" s="1211" customFormat="1"/>
    <x:row r="1099" s="1211" customFormat="1"/>
    <x:row r="1100" s="1211" customFormat="1"/>
    <x:row r="1101" s="1211" customFormat="1"/>
    <x:row r="1102" s="1211" customFormat="1"/>
    <x:row r="1103" s="1211" customFormat="1"/>
    <x:row r="1104" s="1211" customFormat="1"/>
    <x:row r="1105" s="1211" customFormat="1"/>
    <x:row r="1106" s="1211" customFormat="1"/>
    <x:row r="1107" s="1211" customFormat="1"/>
    <x:row r="1108" s="1211" customFormat="1"/>
    <x:row r="1109" s="1211" customFormat="1"/>
    <x:row r="1110" s="1211" customFormat="1"/>
    <x:row r="1111" s="1211" customFormat="1"/>
    <x:row r="1112" s="1211" customFormat="1"/>
    <x:row r="1113" s="1211" customFormat="1"/>
    <x:row r="1114" s="1211" customFormat="1"/>
    <x:row r="1115" s="1211" customFormat="1"/>
    <x:row r="1116" s="1211" customFormat="1"/>
    <x:row r="1117" s="1211" customFormat="1"/>
    <x:row r="1118" s="1211" customFormat="1"/>
    <x:row r="1119" s="1211" customFormat="1"/>
    <x:row r="1120" s="1211" customFormat="1"/>
    <x:row r="1121" s="1211" customFormat="1"/>
    <x:row r="1122" s="1211" customFormat="1"/>
    <x:row r="1123" s="1211" customFormat="1"/>
    <x:row r="1124" s="1211" customFormat="1"/>
    <x:row r="1125" s="1211" customFormat="1"/>
    <x:row r="1126" s="1211" customFormat="1"/>
    <x:row r="1127" s="1211" customFormat="1"/>
    <x:row r="1128" s="1211" customFormat="1"/>
    <x:row r="1129" s="1211" customFormat="1"/>
    <x:row r="1130" s="1211" customFormat="1"/>
    <x:row r="1131" s="1211" customFormat="1"/>
    <x:row r="1132" s="1211" customFormat="1"/>
    <x:row r="1133" s="1211" customFormat="1"/>
    <x:row r="1134" s="1211" customFormat="1"/>
    <x:row r="1135" s="1211" customFormat="1"/>
    <x:row r="1136" s="1211" customFormat="1"/>
    <x:row r="1137" s="1211" customFormat="1"/>
    <x:row r="1138" s="1211" customFormat="1"/>
    <x:row r="1139" s="1211" customFormat="1"/>
    <x:row r="1140" s="1211" customFormat="1"/>
    <x:row r="1141" s="1211" customFormat="1"/>
    <x:row r="1142" s="1211" customFormat="1"/>
    <x:row r="1143" s="1211" customFormat="1"/>
    <x:row r="1144" s="1211" customFormat="1"/>
    <x:row r="1145" s="1211" customFormat="1"/>
    <x:row r="1146" s="1211" customFormat="1"/>
    <x:row r="1147" s="1211" customFormat="1"/>
    <x:row r="1148" s="1211" customFormat="1"/>
    <x:row r="1149" s="1211" customFormat="1"/>
    <x:row r="1150" s="1211" customFormat="1"/>
    <x:row r="1151" s="1211" customFormat="1"/>
    <x:row r="1152" s="1211" customFormat="1"/>
    <x:row r="1153" s="1211" customFormat="1"/>
    <x:row r="1154" s="1211" customFormat="1"/>
    <x:row r="1155" s="1211" customFormat="1"/>
    <x:row r="1156" s="1211" customFormat="1"/>
    <x:row r="1157" s="1211" customFormat="1"/>
    <x:row r="1158" s="1211" customFormat="1"/>
    <x:row r="1159" s="1211" customFormat="1"/>
    <x:row r="1160" s="1211" customFormat="1"/>
    <x:row r="1161" s="1211" customFormat="1"/>
    <x:row r="1162" s="1211" customFormat="1"/>
    <x:row r="1163" s="1211" customFormat="1"/>
    <x:row r="1164" s="1211" customFormat="1"/>
    <x:row r="1165" s="1211" customFormat="1"/>
    <x:row r="1166" s="1211" customFormat="1"/>
    <x:row r="1167" s="1211" customFormat="1"/>
    <x:row r="1168" s="1211" customFormat="1"/>
    <x:row r="1169" s="1211" customFormat="1"/>
    <x:row r="1170" s="1211" customFormat="1"/>
    <x:row r="1171" s="1211" customFormat="1"/>
    <x:row r="1172" s="1211" customFormat="1"/>
    <x:row r="1173" s="1211" customFormat="1"/>
    <x:row r="1174" s="1211" customFormat="1"/>
    <x:row r="1175" s="1211" customFormat="1"/>
    <x:row r="1176" s="1211" customFormat="1"/>
    <x:row r="1177" s="1211" customFormat="1"/>
    <x:row r="1178" s="1211" customFormat="1"/>
    <x:row r="1179" s="1211" customFormat="1"/>
    <x:row r="1180" s="1211" customFormat="1"/>
    <x:row r="1181" s="1211" customFormat="1"/>
    <x:row r="1182" s="1211" customFormat="1"/>
    <x:row r="1183" s="1211" customFormat="1"/>
    <x:row r="1184" s="1211" customFormat="1"/>
    <x:row r="1185" s="1211" customFormat="1"/>
    <x:row r="1186" s="1211" customFormat="1"/>
    <x:row r="1187" s="1211" customFormat="1"/>
    <x:row r="1188" s="1211" customFormat="1"/>
    <x:row r="1189" s="1211" customFormat="1"/>
    <x:row r="1190" s="1211" customFormat="1"/>
    <x:row r="1191" s="1211" customFormat="1"/>
    <x:row r="1192" s="1211" customFormat="1"/>
    <x:row r="1193" s="1211" customFormat="1"/>
    <x:row r="1194" s="1211" customFormat="1"/>
    <x:row r="1195" s="1211" customFormat="1"/>
    <x:row r="1196" s="1211" customFormat="1"/>
    <x:row r="1197" s="1211" customFormat="1"/>
    <x:row r="1198" s="1211" customFormat="1"/>
    <x:row r="1199" s="1211" customFormat="1"/>
    <x:row r="1200" s="1211" customFormat="1"/>
    <x:row r="1201" s="1211" customFormat="1"/>
    <x:row r="1202" s="1211" customFormat="1"/>
    <x:row r="1203" s="1211" customFormat="1"/>
    <x:row r="1204" s="1211" customFormat="1"/>
    <x:row r="1205" s="1211" customFormat="1"/>
    <x:row r="1206" s="1211" customFormat="1"/>
    <x:row r="1207" s="1211" customFormat="1"/>
    <x:row r="1208" s="1211" customFormat="1"/>
    <x:row r="1209" s="1211" customFormat="1"/>
    <x:row r="1210" s="1211" customFormat="1"/>
    <x:row r="1211" s="1211" customFormat="1"/>
    <x:row r="1212" s="1211" customFormat="1"/>
    <x:row r="1213" s="1211" customFormat="1"/>
    <x:row r="1214" s="1211" customFormat="1"/>
    <x:row r="1215" s="1211" customFormat="1"/>
    <x:row r="1216" s="1211" customFormat="1"/>
    <x:row r="1217" s="1211" customFormat="1"/>
    <x:row r="1218" s="1211" customFormat="1"/>
    <x:row r="1219" s="1211" customFormat="1"/>
    <x:row r="1220" s="1211" customFormat="1"/>
    <x:row r="1221" s="1211" customFormat="1"/>
    <x:row r="1222" s="1211" customFormat="1"/>
    <x:row r="1223" s="1211" customFormat="1"/>
    <x:row r="1224" s="1211" customFormat="1"/>
    <x:row r="1225" s="1211" customFormat="1"/>
    <x:row r="1226" s="1211" customFormat="1"/>
    <x:row r="1227" s="1211" customFormat="1"/>
    <x:row r="1228" s="1211" customFormat="1"/>
    <x:row r="1229" s="1211" customFormat="1"/>
    <x:row r="1230" s="1211" customFormat="1"/>
    <x:row r="1231" s="1211" customFormat="1"/>
    <x:row r="1232" s="1211" customFormat="1"/>
    <x:row r="1233" s="1211" customFormat="1"/>
    <x:row r="1234" s="1211" customFormat="1"/>
    <x:row r="1235" s="1211" customFormat="1"/>
    <x:row r="1236" s="1211" customFormat="1"/>
    <x:row r="1237" s="1211" customFormat="1"/>
    <x:row r="1238" s="1211" customFormat="1"/>
    <x:row r="1239" s="1211" customFormat="1"/>
    <x:row r="1240" s="1211" customFormat="1"/>
    <x:row r="1241" s="1211" customFormat="1"/>
    <x:row r="1242" s="1211" customFormat="1"/>
    <x:row r="1243" s="1211" customFormat="1"/>
    <x:row r="1244" s="1211" customFormat="1"/>
    <x:row r="1245" s="1211" customFormat="1"/>
    <x:row r="1246" s="1211" customFormat="1"/>
    <x:row r="1247" s="1211" customFormat="1"/>
    <x:row r="1248" s="1211" customFormat="1"/>
    <x:row r="1249" s="1211" customFormat="1"/>
    <x:row r="1250" s="1211" customFormat="1"/>
    <x:row r="1251" s="1211" customFormat="1"/>
    <x:row r="1252" s="1211" customFormat="1"/>
    <x:row r="1253" s="1211" customFormat="1"/>
    <x:row r="1254" s="1211" customFormat="1"/>
    <x:row r="1255" s="1211" customFormat="1"/>
    <x:row r="1256" s="1211" customFormat="1"/>
    <x:row r="1257" s="1211" customFormat="1"/>
    <x:row r="1258" s="1211" customFormat="1"/>
    <x:row r="1259" s="1211" customFormat="1"/>
    <x:row r="1260" s="1211" customFormat="1"/>
    <x:row r="1261" s="1211" customFormat="1"/>
    <x:row r="1262" s="1211" customFormat="1"/>
    <x:row r="1263" s="1211" customFormat="1"/>
    <x:row r="1264" s="1211" customFormat="1"/>
    <x:row r="1265" s="1211" customFormat="1"/>
    <x:row r="1266" s="1211" customFormat="1"/>
    <x:row r="1267" s="1211" customFormat="1"/>
    <x:row r="1268" s="1211" customFormat="1"/>
    <x:row r="1269" s="1211" customFormat="1"/>
    <x:row r="1270" s="1211" customFormat="1"/>
    <x:row r="1271" s="1211" customFormat="1"/>
    <x:row r="1272" s="1211" customFormat="1"/>
    <x:row r="1273" s="1211" customFormat="1"/>
    <x:row r="1274" s="1211" customFormat="1"/>
    <x:row r="1275" s="1211" customFormat="1"/>
    <x:row r="1276" s="1211" customFormat="1"/>
    <x:row r="1277" s="1211" customFormat="1"/>
    <x:row r="1278" s="1211" customFormat="1"/>
    <x:row r="1279" s="1211" customFormat="1"/>
    <x:row r="1280" s="1211" customFormat="1"/>
    <x:row r="1281" s="1211" customFormat="1"/>
    <x:row r="1282" s="1211" customFormat="1"/>
    <x:row r="1283" s="1211" customFormat="1"/>
    <x:row r="1284" s="1211" customFormat="1"/>
    <x:row r="1285" s="1211" customFormat="1"/>
    <x:row r="1286" s="1211" customFormat="1"/>
    <x:row r="1287" s="1211" customFormat="1"/>
    <x:row r="1288" s="1211" customFormat="1"/>
    <x:row r="1289" s="1211" customFormat="1"/>
    <x:row r="1290" s="1211" customFormat="1"/>
    <x:row r="1291" s="1211" customFormat="1"/>
    <x:row r="1292" s="1211" customFormat="1"/>
    <x:row r="1293" s="1211" customFormat="1"/>
    <x:row r="1294" s="1211" customFormat="1"/>
    <x:row r="1295" s="1211" customFormat="1"/>
    <x:row r="1296" s="1211" customFormat="1"/>
    <x:row r="1297" s="1211" customFormat="1"/>
    <x:row r="1298" s="1211" customFormat="1"/>
    <x:row r="1299" s="1211" customFormat="1"/>
    <x:row r="1300" s="1211" customFormat="1"/>
    <x:row r="1301" s="1211" customFormat="1"/>
    <x:row r="1302" s="1211" customFormat="1"/>
    <x:row r="1303" s="1211" customFormat="1"/>
    <x:row r="1304" s="1211" customFormat="1"/>
    <x:row r="1305" s="1211" customFormat="1"/>
    <x:row r="1306" s="1211" customFormat="1"/>
    <x:row r="1307" s="1211" customFormat="1"/>
    <x:row r="1308" s="1211" customFormat="1"/>
    <x:row r="1309" s="1211" customFormat="1"/>
    <x:row r="1310" s="1211" customFormat="1"/>
    <x:row r="1311" s="1211" customFormat="1"/>
    <x:row r="1312" s="1211" customFormat="1"/>
    <x:row r="1313" s="1211" customFormat="1"/>
    <x:row r="1314" s="1211" customFormat="1"/>
    <x:row r="1315" s="1211" customFormat="1"/>
    <x:row r="1316" s="1211" customFormat="1"/>
    <x:row r="1317" s="1211" customFormat="1"/>
    <x:row r="1318" s="1211" customFormat="1"/>
    <x:row r="1319" s="1211" customFormat="1"/>
    <x:row r="1320" s="1211" customFormat="1"/>
    <x:row r="1321" s="1211" customFormat="1"/>
    <x:row r="1322" s="1211" customFormat="1"/>
    <x:row r="1323" s="1211" customFormat="1"/>
    <x:row r="1324" s="1211" customFormat="1"/>
    <x:row r="1325" s="1211" customFormat="1"/>
    <x:row r="1326" s="1211" customFormat="1"/>
    <x:row r="1327" s="1211" customFormat="1"/>
    <x:row r="1328" s="1211" customFormat="1"/>
    <x:row r="1329" s="1211" customFormat="1"/>
    <x:row r="1330" s="1211" customFormat="1"/>
    <x:row r="1331" s="1211" customFormat="1"/>
    <x:row r="1332" s="1211" customFormat="1"/>
    <x:row r="1333" s="1211" customFormat="1"/>
    <x:row r="1334" s="1211" customFormat="1"/>
    <x:row r="1335" s="1211" customFormat="1"/>
    <x:row r="1336" s="1211" customFormat="1"/>
    <x:row r="1337" s="1211" customFormat="1"/>
    <x:row r="1338" s="1211" customFormat="1"/>
    <x:row r="1339" s="1211" customFormat="1"/>
    <x:row r="1340" s="1211" customFormat="1"/>
    <x:row r="1341" s="1211" customFormat="1"/>
    <x:row r="1342" s="1211" customFormat="1"/>
    <x:row r="1343" s="1211" customFormat="1"/>
    <x:row r="1344" s="1211" customFormat="1"/>
    <x:row r="1345" s="1211" customFormat="1"/>
    <x:row r="1346" s="1211" customFormat="1"/>
    <x:row r="1347" s="1211" customFormat="1"/>
    <x:row r="1348" s="1211" customFormat="1"/>
    <x:row r="1349" s="1211" customFormat="1"/>
    <x:row r="1350" s="1211" customFormat="1"/>
    <x:row r="1351" s="1211" customFormat="1"/>
    <x:row r="1352" s="1211" customFormat="1"/>
    <x:row r="1353" s="1211" customFormat="1"/>
    <x:row r="1354" s="1211" customFormat="1"/>
    <x:row r="1355" s="1211" customFormat="1"/>
    <x:row r="1356" s="1211" customFormat="1"/>
    <x:row r="1357" s="1211" customFormat="1"/>
    <x:row r="1358" s="1211" customFormat="1"/>
    <x:row r="1359" s="1211" customFormat="1"/>
    <x:row r="1360" s="1211" customFormat="1"/>
    <x:row r="1361" s="1211" customFormat="1"/>
    <x:row r="1362" s="1211" customFormat="1"/>
    <x:row r="1363" s="1211" customFormat="1"/>
    <x:row r="1364" s="1211" customFormat="1"/>
    <x:row r="1365" s="1211" customFormat="1"/>
  </x:sheetData>
  <x:mergeCells>
    <x:mergeCell ref="B2:J2"/>
    <x:mergeCell ref="B3:J3"/>
    <x:mergeCell ref="B5:C5"/>
    <x:mergeCell ref="B6:C6"/>
    <x:mergeCell ref="D5:E5"/>
    <x:mergeCell ref="D6:E6"/>
    <x:mergeCell ref="F5:G5"/>
    <x:mergeCell ref="F6:G6"/>
    <x:mergeCell ref="H5:I5"/>
    <x:mergeCell ref="H6:I6"/>
    <x:mergeCell ref="J5:K5"/>
    <x:mergeCell ref="J6:K6"/>
    <x:mergeCell ref="L5:M5"/>
    <x:mergeCell ref="L6:M6"/>
    <x:mergeCell ref="B7:M7"/>
    <x:mergeCell ref="B9:M9"/>
    <x:mergeCell ref="B18:M18"/>
    <x:mergeCell ref="B19:M19"/>
    <x:mergeCell ref="B21:M21"/>
    <x:mergeCell ref="B37:M37"/>
    <x:mergeCell ref="B38:G38"/>
    <x:mergeCell ref="I38:M38"/>
    <x:mergeCell ref="I39:L39"/>
    <x:mergeCell ref="I40:L40"/>
    <x:mergeCell ref="I41:L41"/>
    <x:mergeCell ref="I42:L42"/>
    <x:mergeCell ref="I43:L43"/>
    <x:mergeCell ref="I44:L44"/>
    <x:mergeCell ref="B45:G46"/>
    <x:mergeCell ref="I45:M46"/>
    <x:mergeCell ref="B48:M48"/>
    <x:mergeCell ref="B49:F49"/>
    <x:mergeCell ref="H49:M49"/>
    <x:mergeCell ref="B50:F50"/>
    <x:mergeCell ref="H50:M50"/>
    <x:mergeCell ref="B51:F51"/>
    <x:mergeCell ref="H51:M51"/>
    <x:mergeCell ref="B52:F52"/>
    <x:mergeCell ref="H52:M52"/>
    <x:mergeCell ref="B53:F53"/>
    <x:mergeCell ref="H53:M53"/>
    <x:mergeCell ref="B54:F54"/>
    <x:mergeCell ref="H54:M54"/>
    <x:mergeCell ref="B56:M56"/>
    <x:mergeCell ref="B58:M58"/>
    <x:mergeCell ref="B59:M59"/>
    <x:mergeCell ref="C60:F60"/>
    <x:mergeCell ref="J60:M60"/>
    <x:mergeCell ref="C61:F61"/>
    <x:mergeCell ref="J61:M61"/>
    <x:mergeCell ref="C62:F62"/>
    <x:mergeCell ref="J62:M62"/>
    <x:mergeCell ref="C63:F63"/>
    <x:mergeCell ref="J63:M63"/>
    <x:mergeCell ref="C64:F64"/>
    <x:mergeCell ref="J64:M64"/>
    <x:mergeCell ref="C65:F65"/>
    <x:mergeCell ref="J65:M65"/>
    <x:mergeCell ref="C66:F66"/>
    <x:mergeCell ref="J66:M66"/>
    <x:mergeCell ref="C67:F67"/>
    <x:mergeCell ref="J67:M67"/>
    <x:mergeCell ref="C68:F68"/>
    <x:mergeCell ref="J68:M68"/>
    <x:mergeCell ref="C69:F69"/>
    <x:mergeCell ref="J69:M69"/>
    <x:mergeCell ref="C70:F70"/>
    <x:mergeCell ref="J70:M70"/>
    <x:mergeCell ref="B72:M72"/>
    <x:mergeCell ref="B73:M73"/>
  </x:mergeCells>
  <x:conditionalFormatting sqref="L11:L15">
    <x:cfRule type="cellIs" dxfId="1661" priority="3" operator="greaterThan">
      <x:formula>0</x:formula>
    </x:cfRule>
  </x:conditionalFormatting>
  <x:conditionalFormatting sqref="G50:G54">
    <x:cfRule type="cellIs" dxfId="1662" priority="4" operator="greaterThan">
      <x:formula>0</x:formula>
    </x:cfRule>
  </x:conditionalFormatting>
  <x:conditionalFormatting sqref="G61:G70">
    <x:cfRule type="cellIs" dxfId="1663" priority="5" operator="equal">
      <x:formula>"Urgente"</x:formula>
    </x:cfRule>
    <x:cfRule type="cellIs" dxfId="1664" priority="6" operator="equal">
      <x:formula>"Prioritaire"</x:formula>
    </x:cfRule>
  </x:conditionalFormatting>
  <x:pageMargins left="0.25" right="0.25" top="0.35" bottom="0.35" header="0.15" footer="0.15"/>
  <x:pageSetup orientation="landscape" paperSize="9" fitToWidth="1" fitToHeight="0"/>
  <x:drawing xmlns:r="http://schemas.openxmlformats.org/officeDocument/2006/relationships" r:id="logoINR20261007"/>
  <x:extLst>
    <x:ext xmlns:x14="http://schemas.microsoft.com/office/spreadsheetml/2009/9/main" xmlns:xm="http://schemas.microsoft.com/office/excel/2006/main" uri="{78C0D931-6437-407d-A8EE-F0AAD7539E65}">
      <x14:conditionalFormattings>
        <x14:conditionalFormatting>
          <x14:cfRule type="dataBar" priority="1" id="{54AD6DB4-C8DC-F8F5-35B7-459A804E5B9E}">
            <x14:dataBar gradient="0">
              <x14:cfvo type="num">
                <xm:f>0</xm:f>
              </x14:cfvo>
              <x14:cfvo type="num">
                <xm:f>1</xm:f>
              </x14:cfvo>
              <x14:fillColor rgb="FF5B8C76"/>
            </x14:dataBar>
          </x14:cfRule>
          <xm:sqref>F6:F10</xm:sqref>
        </x14:conditionalFormatting>
      </x14:conditionalFormattings>
    </x:ext>
  </x:extLst>
</x: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32"/>
  <sheetViews>
    <sheetView workbookViewId="0">
      <selection activeCell="D10" sqref="D10"/>
    </sheetView>
  </sheetViews>
  <sheetFormatPr baseColWidth="10" defaultColWidth="11.5" defaultRowHeight="13"/>
  <sheetData>
    <row r="1" spans="1:2">
      <c r="A1" t="inlineStr">
        <is>
          <t>1.1</t>
        </is>
      </c>
      <c r="B1" t="inlineStr">
        <is>
          <t>Prendre en compte toute la vie des équipements et des logiciels de la collectivité, de l'achat à la fin de vie, y compris ceux des écoles et des services aux habitants.</t>
        </is>
      </c>
    </row>
    <row r="2" spans="1:2">
      <c r="A2" t="inlineStr">
        <is>
          <t>1.2</t>
        </is>
      </c>
      <c r="B2" t="inlineStr">
        <is>
          <t>Utiliser plus longtemps les équipements des agents, des élus et des écoles, même après leur amortissement, en organisant leur réparation et leur réaffectation entre services.</t>
        </is>
      </c>
    </row>
    <row r="3" spans="1:2">
      <c r="A3" t="inlineStr">
        <is>
          <t>1.3</t>
        </is>
      </c>
      <c r="B3" t="inlineStr">
        <is>
          <t>Concevoir des sites, des téléservices et des applications de la collectivité qui limitent leurs effets sur l'environnement, en suivant le RGESN, et choisir des technologies qui contribuent aux ODD.</t>
        </is>
      </c>
    </row>
    <row r="4" spans="1:2">
      <c r="A4" t="inlineStr">
        <is>
          <t>1.4</t>
        </is>
      </c>
      <c r="B4" t="inlineStr">
        <is>
          <t>Adopter, dans les services et les assemblées, des pratiques qui consomment moins de matériel, d'énergie, de papier et d'impressions.</t>
        </is>
      </c>
    </row>
    <row r="5" spans="1:2">
      <c r="A5" t="inlineStr">
        <is>
          <t>1.5</t>
        </is>
      </c>
      <c r="B5" t="inlineStr">
        <is>
          <t>Confier les équipements en fin d'usage à des structures locales de réemploi et de l'économie sociale et solidaire, et suivre ce qu'ils deviennent.</t>
        </is>
      </c>
    </row>
    <row r="6" spans="1:2">
      <c r="A6" t="inlineStr">
        <is>
          <t>1.6</t>
        </is>
      </c>
      <c r="B6" t="inlineStr">
        <is>
          <t>Alimenter les bâtiments, les salles serveurs et les services hébergés avec des énergies renouvelables, et favoriser leur production sur le territoire.</t>
        </is>
      </c>
    </row>
    <row r="7" spans="1:2">
      <c r="A7" t="inlineStr">
        <is>
          <t>1.7</t>
        </is>
      </c>
      <c r="B7" t="inlineStr">
        <is>
          <t>Réserver l'intelligence artificielle aux besoins du service public qui la justifient, et choisir des solutions sobres.</t>
        </is>
      </c>
    </row>
    <row r="8" spans="1:2">
      <c r="A8" t="inlineStr">
        <is>
          <t>1.8</t>
        </is>
      </c>
      <c r="B8" t="inlineStr">
        <is>
          <t>Mesurer et réduire ce que consomment les outils d'intelligence artificielle utilisés par la collectivité et ses prestataires.</t>
        </is>
      </c>
    </row>
    <row r="9" spans="1:2">
      <c r="A9" t="inlineStr">
        <is>
          <t>2.1</t>
        </is>
      </c>
      <c r="B9" t="inlineStr">
        <is>
          <t>Intégrer dans les marchés publics du numérique des clauses sociales et environnementales, et des critères de durabilité, de réparabilité et de réemploi.</t>
        </is>
      </c>
    </row>
    <row r="10" spans="1:2">
      <c r="A10" t="inlineStr">
        <is>
          <t>2.2</t>
        </is>
      </c>
      <c r="B10" t="inlineStr">
        <is>
          <t>Rendre accessibles à toutes et tous les sites, les téléservices et les documents de la collectivité. Publier la déclaration d'accessibilité et le schéma pluriannuel prévus par le RGAA.</t>
        </is>
      </c>
    </row>
    <row r="11" spans="1:2">
      <c r="A11" t="inlineStr">
        <is>
          <t>2.3</t>
        </is>
      </c>
      <c r="B11" t="inlineStr">
        <is>
          <t>Proposer des téléservices utiles, faciles à utiliser et réellement utilisés par les habitants, avec une démarche simple de bout en bout.</t>
        </is>
      </c>
    </row>
    <row r="12" spans="1:2">
      <c r="A12" t="inlineStr">
        <is>
          <t>2.4</t>
        </is>
      </c>
      <c r="B12" t="inlineStr">
        <is>
          <t>Concevoir les services numériques avec les habitants, les agents d'accueil et les associations, en partant de leurs besoins réels.</t>
        </is>
      </c>
    </row>
    <row r="13" spans="1:2">
      <c r="A13" t="inlineStr">
        <is>
          <t>2.5</t>
        </is>
      </c>
      <c r="B13" t="inlineStr">
        <is>
          <t>Vérifier que l'intelligence artificielle utilisée dans les services publics ne discrimine aucun habitant et reste utilisable par toutes et tous.</t>
        </is>
      </c>
    </row>
    <row r="14" spans="1:2">
      <c r="A14" t="inlineStr">
        <is>
          <t>3.1</t>
        </is>
      </c>
      <c r="B14" t="inlineStr">
        <is>
          <t>Utiliser les données du territoire et des habitants avec mesure, au service de l'intérêt général, en respectant les personnes et l'environnement.</t>
        </is>
      </c>
    </row>
    <row r="15" spans="1:2">
      <c r="A15" t="inlineStr">
        <is>
          <t>3.2</t>
        </is>
      </c>
      <c r="B15" t="inlineStr">
        <is>
          <t>Supprimer des sites et des téléservices de la collectivité les interfaces qui trompent ou poussent les usagers (« dark patterns »), et respecter la réglementation.</t>
        </is>
      </c>
    </row>
    <row r="16" spans="1:2">
      <c r="A16" t="inlineStr">
        <is>
          <t>3.3</t>
        </is>
      </c>
      <c r="B16" t="inlineStr">
        <is>
          <t>Collecter seulement les données nécessaires à chaque démarche, tenir à jour le registre des traitements et respecter le RGPD avec l'appui du délégué à la protection des données.</t>
        </is>
      </c>
    </row>
    <row r="17" spans="1:2">
      <c r="A17" t="inlineStr">
        <is>
          <t>3.4</t>
        </is>
      </c>
      <c r="B17" t="inlineStr">
        <is>
          <t>Diversifier les recrutements dans les métiers du numérique de la collectivité : femmes, reconversions, apprentissage, personnes en situation de handicap.</t>
        </is>
      </c>
    </row>
    <row r="18" spans="1:2">
      <c r="A18" t="inlineStr">
        <is>
          <t>3.5</t>
        </is>
      </c>
      <c r="B18" t="inlineStr">
        <is>
          <t>Améliorer les conditions de travail des agents du numérique et exiger de bonnes conditions de travail chez les prestataires.</t>
        </is>
      </c>
    </row>
    <row r="19" spans="1:2">
      <c r="A19" t="inlineStr">
        <is>
          <t>3.6</t>
        </is>
      </c>
      <c r="B19" t="inlineStr">
        <is>
          <t>Fixer des règles éthiques pour les algorithmes publics, en particulier l'intelligence artificielle. Publier les principales règles des algorithmes qui fondent des décisions individuelles.</t>
        </is>
      </c>
    </row>
    <row r="20" spans="1:2">
      <c r="A20" t="inlineStr">
        <is>
          <t>3.7</t>
        </is>
      </c>
      <c r="B20" t="inlineStr">
        <is>
          <t>Intégrer le numérique responsable au rapport de développement durable de la collectivité, et le faire connaître aux habitants et aux partenaires.</t>
        </is>
      </c>
    </row>
    <row r="21" spans="1:2">
      <c r="A21" t="inlineStr">
        <is>
          <t>3.8</t>
        </is>
      </c>
      <c r="B21" t="inlineStr">
        <is>
          <t>Indiquer aux habitants quand une intelligence artificielle leur répond, expliquer comment elle décide, et garder une décision humaine pour les sujets sensibles.</t>
        </is>
      </c>
    </row>
    <row r="22" spans="1:2">
      <c r="A22" t="inlineStr">
        <is>
          <t>4.1</t>
        </is>
      </c>
      <c r="B22" t="inlineStr">
        <is>
          <t>Mesurer l'empreinte environnementale du numérique de la collectivité avec des méthodes communes, pour se comparer à d'autres collectivités.</t>
        </is>
      </c>
    </row>
    <row r="23" spans="1:2">
      <c r="A23" t="inlineStr">
        <is>
          <t>4.2</t>
        </is>
      </c>
      <c r="B23" t="inlineStr">
        <is>
          <t>Évaluer les services numériques au fil du temps, avec les usagers, et publier les résultats.</t>
        </is>
      </c>
    </row>
    <row r="24" spans="1:2">
      <c r="A24" t="inlineStr">
        <is>
          <t>4.3</t>
        </is>
      </c>
      <c r="B24" t="inlineStr">
        <is>
          <t>Expérimenter de nouveaux outils numériques pour le territoire. Évaluer leurs effets avant de les généraliser, et expliquer les résultats aux habitants.</t>
        </is>
      </c>
    </row>
    <row r="25" spans="1:2">
      <c r="A25" t="inlineStr">
        <is>
          <t>4.4</t>
        </is>
      </c>
      <c r="B25" t="inlineStr">
        <is>
          <t>Garder la maîtrise des données publiques, des outils et des choix techniques : solutions libres, hébergement de confiance, réversibilité des contrats.</t>
        </is>
      </c>
    </row>
    <row r="26" spans="1:2">
      <c r="A26" t="inlineStr">
        <is>
          <t>5.1</t>
        </is>
      </c>
      <c r="B26" t="inlineStr">
        <is>
          <t>Concevoir les services numériques comme des réponses aux besoins sociaux du territoire, avec les acteurs de l'action sociale et de la médiation.</t>
        </is>
      </c>
    </row>
    <row r="27" spans="1:2">
      <c r="A27" t="inlineStr">
        <is>
          <t>5.2</t>
        </is>
      </c>
      <c r="B27" t="inlineStr">
        <is>
          <t>Faire connaître et soutenir les initiatives des agents qui encouragent la coopération entre services et le bien-être au travail.</t>
        </is>
      </c>
    </row>
    <row r="28" spans="1:2">
      <c r="A28" t="inlineStr">
        <is>
          <t>5.3</t>
        </is>
      </c>
      <c r="B28" t="inlineStr">
        <is>
          <t>Associer les habitants, les associations, les entreprises et les autres collectivités du territoire aux choix numériques, en s'appuyant sur leur expertise.</t>
        </is>
      </c>
    </row>
    <row r="29" spans="1:2">
      <c r="A29" t="inlineStr">
        <is>
          <t>5.4</t>
        </is>
      </c>
      <c r="B29" t="inlineStr">
        <is>
          <t>Préparer un territoire où les générations futures pourront innover, vivre ensemble et préserver les écosystèmes, notamment par l'éducation au numérique responsable dans les écoles.</t>
        </is>
      </c>
    </row>
    <row r="30" spans="1:2">
      <c r="A30" t="inlineStr">
        <is>
          <t>5.5</t>
        </is>
      </c>
      <c r="B30" t="inlineStr">
        <is>
          <t>Suivre la stratégie numérique responsable de la collectivité avec quelques indicateurs, et en rendre compte aux élus.</t>
        </is>
      </c>
    </row>
    <row r="31" spans="1:2">
      <c r="A31" t="inlineStr">
        <is>
          <t>5.6</t>
        </is>
      </c>
      <c r="B31" t="inlineStr">
        <is>
          <t>Proposer des améliorations pour un numérique responsable, y compris des solutions sans outil numérique, comme le maintien d'un accueil physique.</t>
        </is>
      </c>
    </row>
    <row r="32" spans="1:2">
      <c r="A32" t="inlineStr">
        <is>
          <t>5.7</t>
        </is>
      </c>
      <c r="B32" t="inlineStr">
        <is>
          <t>Décider avec les agents et leurs représentants comment utiliser l'intelligence artificielle. Les former à ses limites et préserver le sens du service public.</t>
        </is>
      </c>
    </row>
  </sheetData>
  <pageMargins left="0.7" right="0.7" top="0.75" bottom="0.75" header="0.3" footer="0.3"/>
  <drawing r:id="logoINR20261007"/>
</worksheet>
</file>

<file path=xl/worksheets/sheet13.xml><?xml version="1.0" encoding="utf-8"?>
<x:worksheet xmlns:x="http://schemas.openxmlformats.org/spreadsheetml/2006/main">
  <x:sheetPr>
    <x:tabColor theme="4"/>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16.6640625" style="866" hidden="1" customWidth="1"/>
    <x:col min="13" max="13" width="17.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8.6640625" style="871" hidden="1" customWidth="1"/>
    <x:col min="24" max="24" width="78.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Cibles propres au secteur · Collectivités territoriales</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731" t="str">
        <x:v>Cibles à évaluer</x:v>
      </x:c>
      <x:c r="C4" s="1732"/>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733"/>
      <x:c r="C5" s="1734"/>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752"/>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766"/>
      <x:c r="W6" s="1765"/>
      <x:c r="X6" s="1107"/>
    </x:row>
    <x:row r="7" s="952" customFormat="1" ht="76" customHeight="1">
      <x:c r="A7" s="951"/>
      <x:c r="B7" s="1803" t="inlineStr">
        <x:is>
          <x:t xml:space="preserve">C.1</x:t>
        </x:is>
      </x:c>
      <x:c r="C7" s="1795" t="inlineStr">
        <x:is>
          <x:t xml:space="preserve">Évaluer l'utilité environnementale et sociale des objets connectés et des projets de « territoire intelligent » avant de les déployer : capteurs, éclairage, vidéoprotection, plateformes de données.</x:t>
        </x:is>
      </x:c>
      <x:c r="D7" s="1798"/>
      <x:c r="E7" s="1802"/>
      <x:c r="F7" s="1802"/>
      <x:c r="G7" s="1798"/>
      <x:c r="H7" s="1802"/>
      <x:c r="I7" s="1799"/>
      <x:c r="J7" s="1806" t="str">
        <x:f>S7</x:f>
      </x:c>
      <x:c r="K7" s="1777" t="str">
        <x:f>IF(IF(ISNUMBER(E7),AND(E7&gt;=0,E7&lt;=3,MOD(E7,1)=0),FALSE),IF(E7=0,0,IF(IF(ISNUMBER(F7),AND(F7&gt;=1,F7&lt;=4,MOD(F7,1)=0),FALSE),E7*10+F7,"")),"")</x:f>
      </x:c>
      <x:c r="L7" s="1777" t="b">
        <x:f>IF(ISNUMBER(K7),K7=31,FALSE)</x:f>
        <x:v>0</x:v>
      </x:c>
      <x:c r="M7" s="1777" t="b">
        <x:f>IF(ISNUMBER(K7),OR(K7=21,K7=32),FALSE)</x:f>
        <x:v>0</x:v>
      </x:c>
      <x:c r="N7" s="1777" t="b">
        <x:f>IF(ISNUMBER(K7),OR(K7=22,K7=33),FALSE)</x:f>
        <x:v>0</x:v>
      </x:c>
      <x:c r="O7" s="1777" t="b">
        <x:f>IF(ISNUMBER(K7),OR(K7=11,K7=12),FALSE)</x:f>
        <x:v>0</x:v>
      </x:c>
      <x:c r="P7" s="1777" t="b">
        <x:f>IF(ISNUMBER(K7),OR(K7=23,K7=34),FALSE)</x:f>
        <x:v>0</x:v>
      </x:c>
      <x:c r="Q7" s="1777" t="b">
        <x:f>IF(ISNUMBER(K7),OR(K7=13,K7=14,K7=24),FALSE)</x:f>
        <x:v>0</x:v>
      </x:c>
      <x:c r="R7" s="1777" t="b">
        <x:f>IF(ISNUMBER(K7),K7=0,FALSE)</x:f>
        <x:v>0</x:v>
      </x:c>
      <x:c r="S7" s="1777" t="str">
        <x:f t="shared" ref="S7:S12" si="0">IF(ISNUMBER(T7),INDEX($L$5:$R$5,1,7-T7),"")</x:f>
      </x:c>
      <x:c r="T7" s="1777" t="str">
        <x:f t="shared" ref="T7:T12" si="1">IF(ISNUMBER(K7),IF(L7,6,IF(M7,5,IF(N7,4,IF(O7,3,IF(P7,2,IF(Q7,1,0)))))),"")</x:f>
      </x:c>
      <x:c r="U7" s="1790" t="str">
        <x:f>IF(AND(ISNUMBER(T7),ISNUMBER(H7)),IF(AND(H7&gt;=1,H7&lt;=4,MOD(H7,1)=0),T7*10+H7,""),"")</x:f>
      </x:c>
      <x:c r="V7" s="1799"/>
      <x:c r="W7" s="1103"/>
      <x:c r="X7" s="903"/>
    </x:row>
    <x:row r="8" s="952" customFormat="1" ht="77" customHeight="1">
      <x:c r="A8" s="951"/>
      <x:c r="B8" s="1804" t="inlineStr">
        <x:is>
          <x:t xml:space="preserve">C.2</x:t>
        </x:is>
      </x:c>
      <x:c r="C8" s="1796" t="inlineStr">
        <x:is>
          <x:t xml:space="preserve">Lutter contre l'illectronisme : soutenir la médiation numérique (conseillers numériques, espaces France Services, Aidants Connect), garder un accueil physique et une solution non numérique pour chaque démarche.</x:t>
        </x:is>
      </x:c>
      <x:c r="D8" s="1798"/>
      <x:c r="E8" s="1802"/>
      <x:c r="F8" s="1802"/>
      <x:c r="G8" s="1798"/>
      <x:c r="H8" s="1802"/>
      <x:c r="I8" s="1799"/>
      <x:c r="J8" s="1806" t="str">
        <x:f t="shared" ref="J8:J12" si="2">S8</x:f>
      </x:c>
      <x:c r="K8" s="1777" t="str">
        <x:f t="shared" ref="K8:K12" si="3">IF(IF(ISNUMBER(E8),AND(E8&gt;=0,E8&lt;=3,MOD(E8,1)=0),FALSE),IF(E8=0,0,IF(IF(ISNUMBER(F8),AND(F8&gt;=1,F8&lt;=4,MOD(F8,1)=0),FALSE),E8*10+F8,"")),"")</x:f>
      </x:c>
      <x:c r="L8" s="1777" t="b">
        <x:f t="shared" ref="L8:L12" si="4">IF(ISNUMBER(K8),K8=31,FALSE)</x:f>
        <x:v>0</x:v>
      </x:c>
      <x:c r="M8" s="1777" t="b">
        <x:f t="shared" ref="M8:M12" si="5">IF(ISNUMBER(K8),OR(K8=21,K8=32),FALSE)</x:f>
        <x:v>0</x:v>
      </x:c>
      <x:c r="N8" s="1777" t="b">
        <x:f t="shared" ref="N8:N12" si="6">IF(ISNUMBER(K8),OR(K8=22,K8=33),FALSE)</x:f>
        <x:v>0</x:v>
      </x:c>
      <x:c r="O8" s="1777" t="b">
        <x:f t="shared" ref="O8:O12" si="7">IF(ISNUMBER(K8),OR(K8=11,K8=12),FALSE)</x:f>
        <x:v>0</x:v>
      </x:c>
      <x:c r="P8" s="1777" t="b">
        <x:f t="shared" ref="P8:P12" si="8">IF(ISNUMBER(K8),OR(K8=23,K8=34),FALSE)</x:f>
        <x:v>0</x:v>
      </x:c>
      <x:c r="Q8" s="1777" t="b">
        <x:f t="shared" ref="Q8:Q12" si="9">IF(ISNUMBER(K8),OR(K8=13,K8=14,K8=24),FALSE)</x:f>
        <x:v>0</x:v>
      </x:c>
      <x:c r="R8" s="1777" t="b">
        <x:f t="shared" ref="R8:R12" si="10">IF(ISNUMBER(K8),K8=0,FALSE)</x:f>
        <x:v>0</x:v>
      </x:c>
      <x:c r="S8" s="1777" t="str">
        <x:f t="shared" si="0">IF(ISNUMBER(T8),INDEX($L$5:$R$5,1,7-T8),"")</x:f>
      </x:c>
      <x:c r="T8" s="1777" t="str">
        <x:f t="shared" si="1">IF(ISNUMBER(K8),IF(L8,6,IF(M8,5,IF(N8,4,IF(O8,3,IF(P8,2,IF(Q8,1,0)))))),"")</x:f>
      </x:c>
      <x:c r="U8" s="1790" t="str">
        <x:f t="shared" ref="U8:U12" si="11">IF(AND(ISNUMBER(T8),ISNUMBER(H8)),IF(AND(H8&gt;=1,H8&lt;=4,MOD(H8,1)=0),T8*10+H8,""),"")</x:f>
      </x:c>
      <x:c r="V8" s="1799"/>
      <x:c r="W8" s="1118"/>
      <x:c r="X8" s="1117"/>
    </x:row>
    <x:row r="9" s="952" customFormat="1" ht="76" customHeight="1">
      <x:c r="A9" s="951"/>
      <x:c r="B9" s="1804" t="inlineStr">
        <x:is>
          <x:t xml:space="preserve">C.3</x:t>
        </x:is>
      </x:c>
      <x:c r="C9" s="1796" t="inlineStr">
        <x:is>
          <x:t xml:space="preserve">Ouvrir les données publiques et les codes sources de la collectivité, dans le respect de la vie privée, pour qu'ils servent à d'autres.</x:t>
        </x:is>
      </x:c>
      <x:c r="D9" s="1798"/>
      <x:c r="E9" s="1802"/>
      <x:c r="F9" s="1802"/>
      <x:c r="G9" s="1798"/>
      <x:c r="H9" s="1802"/>
      <x:c r="I9" s="1799"/>
      <x:c r="J9" s="1806" t="str">
        <x:f t="shared" si="2">S9</x:f>
      </x:c>
      <x:c r="K9" s="1783" t="str">
        <x:f t="shared" si="3">IF(IF(ISNUMBER(E9),AND(E9&gt;=0,E9&lt;=3,MOD(E9,1)=0),FALSE),IF(E9=0,0,IF(IF(ISNUMBER(F9),AND(F9&gt;=1,F9&lt;=4,MOD(F9,1)=0),FALSE),E9*10+F9,"")),"")</x:f>
      </x:c>
      <x:c r="L9" s="1783" t="b">
        <x:f t="shared" si="4">IF(ISNUMBER(K9),K9=31,FALSE)</x:f>
        <x:v>0</x:v>
      </x:c>
      <x:c r="M9" s="1783" t="b">
        <x:f t="shared" si="5">IF(ISNUMBER(K9),OR(K9=21,K9=32),FALSE)</x:f>
        <x:v>0</x:v>
      </x:c>
      <x:c r="N9" s="1783" t="b">
        <x:f t="shared" si="6">IF(ISNUMBER(K9),OR(K9=22,K9=33),FALSE)</x:f>
        <x:v>0</x:v>
      </x:c>
      <x:c r="O9" s="1783" t="b">
        <x:f t="shared" si="7">IF(ISNUMBER(K9),OR(K9=11,K9=12),FALSE)</x:f>
        <x:v>0</x:v>
      </x:c>
      <x:c r="P9" s="1783" t="b">
        <x:f t="shared" si="8">IF(ISNUMBER(K9),OR(K9=23,K9=34),FALSE)</x:f>
        <x:v>0</x:v>
      </x:c>
      <x:c r="Q9" s="1783" t="b">
        <x:f t="shared" si="9">IF(ISNUMBER(K9),OR(K9=13,K9=14,K9=24),FALSE)</x:f>
        <x:v>0</x:v>
      </x:c>
      <x:c r="R9" s="1783" t="b">
        <x:f t="shared" si="10">IF(ISNUMBER(K9),K9=0,FALSE)</x:f>
        <x:v>0</x:v>
      </x:c>
      <x:c r="S9" s="1783" t="str">
        <x:f t="shared" si="0">IF(ISNUMBER(T9),INDEX($L$5:$R$5,1,7-T9),"")</x:f>
      </x:c>
      <x:c r="T9" s="1783" t="str">
        <x:f t="shared" si="1">IF(ISNUMBER(K9),IF(L9,6,IF(M9,5,IF(N9,4,IF(O9,3,IF(P9,2,IF(Q9,1,0)))))),"")</x:f>
      </x:c>
      <x:c r="U9" s="1783" t="str">
        <x:f t="shared" si="11">IF(AND(ISNUMBER(T9),ISNUMBER(H9)),IF(AND(H9&gt;=1,H9&lt;=4,MOD(H9,1)=0),T9*10+H9,""),"")</x:f>
      </x:c>
      <x:c r="V9" s="1799"/>
      <x:c r="W9" s="1104"/>
      <x:c r="X9" s="1116"/>
    </x:row>
    <x:row r="10" s="952" customFormat="1" ht="70" customHeight="1">
      <x:c r="A10" s="951"/>
      <x:c r="B10" s="1804" t="inlineStr">
        <x:is>
          <x:t xml:space="preserve">C.4</x:t>
        </x:is>
      </x:c>
      <x:c r="C10" s="1796" t="inlineStr">
        <x:is>
          <x:t xml:space="preserve">Mutualiser les moyens numériques avec d'autres collectivités et préparer la continuité des services publics en cas de crise, notamment de cyberattaque.</x:t>
        </x:is>
      </x:c>
      <x:c r="D10" s="1798"/>
      <x:c r="E10" s="1802"/>
      <x:c r="F10" s="1802"/>
      <x:c r="G10" s="1798"/>
      <x:c r="H10" s="1802"/>
      <x:c r="I10" s="1799"/>
      <x:c r="J10" s="1806" t="str">
        <x:f t="shared" si="2">S10</x:f>
      </x:c>
      <x:c r="K10" s="1786" t="str">
        <x:f t="shared" si="3">IF(IF(ISNUMBER(E10),AND(E10&gt;=0,E10&lt;=3,MOD(E10,1)=0),FALSE),IF(E10=0,0,IF(IF(ISNUMBER(F10),AND(F10&gt;=1,F10&lt;=4,MOD(F10,1)=0),FALSE),E10*10+F10,"")),"")</x:f>
      </x:c>
      <x:c r="L10" s="1786" t="b">
        <x:f t="shared" si="4">IF(ISNUMBER(K10),K10=31,FALSE)</x:f>
        <x:v>0</x:v>
      </x:c>
      <x:c r="M10" s="1786" t="b">
        <x:f t="shared" si="5">IF(ISNUMBER(K10),OR(K10=21,K10=32),FALSE)</x:f>
        <x:v>0</x:v>
      </x:c>
      <x:c r="N10" s="1786" t="b">
        <x:f t="shared" si="6">IF(ISNUMBER(K10),OR(K10=22,K10=33),FALSE)</x:f>
        <x:v>0</x:v>
      </x:c>
      <x:c r="O10" s="1786" t="b">
        <x:f t="shared" si="7">IF(ISNUMBER(K10),OR(K10=11,K10=12),FALSE)</x:f>
        <x:v>0</x:v>
      </x:c>
      <x:c r="P10" s="1786" t="b">
        <x:f t="shared" si="8">IF(ISNUMBER(K10),OR(K10=23,K10=34),FALSE)</x:f>
        <x:v>0</x:v>
      </x:c>
      <x:c r="Q10" s="1786" t="b">
        <x:f t="shared" si="9">IF(ISNUMBER(K10),OR(K10=13,K10=14,K10=24),FALSE)</x:f>
        <x:v>0</x:v>
      </x:c>
      <x:c r="R10" s="1786" t="b">
        <x:f t="shared" si="10">IF(ISNUMBER(K10),K10=0,FALSE)</x:f>
        <x:v>0</x:v>
      </x:c>
      <x:c r="S10" s="1786" t="str">
        <x:f t="shared" si="0">IF(ISNUMBER(T10),INDEX($L$5:$R$5,1,7-T10),"")</x:f>
      </x:c>
      <x:c r="T10" s="1786" t="str">
        <x:f t="shared" si="1">IF(ISNUMBER(K10),IF(L10,6,IF(M10,5,IF(N10,4,IF(O10,3,IF(P10,2,IF(Q10,1,0)))))),"")</x:f>
      </x:c>
      <x:c r="U10" s="1790" t="str">
        <x:f t="shared" si="11">IF(AND(ISNUMBER(T10),ISNUMBER(H10)),IF(AND(H10&gt;=1,H10&lt;=4,MOD(H10,1)=0),T10*10+H10,""),"")</x:f>
      </x:c>
      <x:c r="V10" s="1798"/>
      <x:c r="W10" s="1105"/>
      <x:c r="X10" s="903"/>
    </x:row>
    <x:row r="11" s="952" customFormat="1" ht="100" customHeight="1">
      <x:c r="A11" s="951"/>
      <x:c r="B11" s="1805" t="inlineStr">
        <x:is>
          <x:t xml:space="preserve">C.5</x:t>
        </x:is>
      </x:c>
      <x:c r="C11" s="1797" t="inlineStr">
        <x:is>
          <x:t xml:space="preserve">Adopter et faire vivre la stratégie numérique responsable prévue par la loi REEN : obligatoire pour les communes et intercommunalités de plus de 50 000 habitants, recommandée pour les autres. Fixer des objectifs de réduction de l'empreinte du numérique, suivre leur mise en œuvre et former les élus et les agents.</x:t>
        </x:is>
      </x:c>
      <x:c r="D11" s="1798"/>
      <x:c r="E11" s="1802"/>
      <x:c r="F11" s="1802"/>
      <x:c r="G11" s="1798"/>
      <x:c r="H11" s="1802"/>
      <x:c r="I11" s="1799"/>
      <x:c r="J11" s="1806" t="str">
        <x:f t="shared" si="2">S11</x:f>
      </x:c>
      <x:c r="K11" s="1786" t="str">
        <x:f t="shared" si="3">IF(IF(ISNUMBER(E11),AND(E11&gt;=0,E11&lt;=3,MOD(E11,1)=0),FALSE),IF(E11=0,0,IF(IF(ISNUMBER(F11),AND(F11&gt;=1,F11&lt;=4,MOD(F11,1)=0),FALSE),E11*10+F11,"")),"")</x:f>
      </x:c>
      <x:c r="L11" s="1786" t="b">
        <x:f t="shared" si="4">IF(ISNUMBER(K11),K11=31,FALSE)</x:f>
        <x:v>0</x:v>
      </x:c>
      <x:c r="M11" s="1786" t="b">
        <x:f t="shared" si="5">IF(ISNUMBER(K11),OR(K11=21,K11=32),FALSE)</x:f>
        <x:v>0</x:v>
      </x:c>
      <x:c r="N11" s="1786" t="b">
        <x:f t="shared" si="6">IF(ISNUMBER(K11),OR(K11=22,K11=33),FALSE)</x:f>
        <x:v>0</x:v>
      </x:c>
      <x:c r="O11" s="1786" t="b">
        <x:f t="shared" si="7">IF(ISNUMBER(K11),OR(K11=11,K11=12),FALSE)</x:f>
        <x:v>0</x:v>
      </x:c>
      <x:c r="P11" s="1786" t="b">
        <x:f t="shared" si="8">IF(ISNUMBER(K11),OR(K11=23,K11=34),FALSE)</x:f>
        <x:v>0</x:v>
      </x:c>
      <x:c r="Q11" s="1786" t="b">
        <x:f t="shared" si="9">IF(ISNUMBER(K11),OR(K11=13,K11=14,K11=24),FALSE)</x:f>
        <x:v>0</x:v>
      </x:c>
      <x:c r="R11" s="1786" t="b">
        <x:f t="shared" si="10">IF(ISNUMBER(K11),K11=0,FALSE)</x:f>
        <x:v>0</x:v>
      </x:c>
      <x:c r="S11" s="1786" t="str">
        <x:f t="shared" si="0">IF(ISNUMBER(T11),INDEX($L$5:$R$5,1,7-T11),"")</x:f>
      </x:c>
      <x:c r="T11" s="1786" t="str">
        <x:f t="shared" si="1">IF(ISNUMBER(K11),IF(L11,6,IF(M11,5,IF(N11,4,IF(O11,3,IF(P11,2,IF(Q11,1,0)))))),"")</x:f>
      </x:c>
      <x:c r="U11" s="1790" t="str">
        <x:f t="shared" si="11">IF(AND(ISNUMBER(T11),ISNUMBER(H11)),IF(AND(H11&gt;=1,H11&lt;=4,MOD(H11,1)=0),T11*10+H11,""),"")</x:f>
      </x:c>
      <x:c r="V11" s="1798"/>
      <x:c r="W11" s="1119"/>
      <x:c r="X11" s="1114"/>
    </x:row>
    <x:row r="12" s="953" customFormat="1" ht="100" customHeight="1">
      <x:c r="A12" s="951"/>
      <x:c r="B12" s="1804" t="inlineStr">
        <x:is>
          <x:t xml:space="preserve">C.6</x:t>
        </x:is>
      </x:c>
      <x:c r="C12" s="1797" t="inlineStr">
        <x:is>
          <x:t xml:space="preserve">Rendre accessibles les contenus que la collectivité produit chaque jour : documents, publications sur les réseaux sociaux, vidéos sous-titrées, textes en facile à lire et à comprendre (FALC). Former les agents qui les produisent et offrir un accueil accessible, y compris aux personnes sourdes et malentendantes.</x:t>
        </x:is>
      </x:c>
      <x:c r="D12" s="1798"/>
      <x:c r="E12" s="1802"/>
      <x:c r="F12" s="1802"/>
      <x:c r="G12" s="1798"/>
      <x:c r="H12" s="1802"/>
      <x:c r="I12" s="1799"/>
      <x:c r="J12" s="1806" t="str">
        <x:f t="shared" si="2">S12</x:f>
      </x:c>
      <x:c r="K12" s="1786" t="str">
        <x:f t="shared" si="3">IF(IF(ISNUMBER(E12),AND(E12&gt;=0,E12&lt;=3,MOD(E12,1)=0),FALSE),IF(E12=0,0,IF(IF(ISNUMBER(F12),AND(F12&gt;=1,F12&lt;=4,MOD(F12,1)=0),FALSE),E12*10+F12,"")),"")</x:f>
      </x:c>
      <x:c r="L12" s="1786" t="b">
        <x:f t="shared" si="4">IF(ISNUMBER(K12),K12=31,FALSE)</x:f>
        <x:v>0</x:v>
      </x:c>
      <x:c r="M12" s="1786" t="b">
        <x:f t="shared" si="5">IF(ISNUMBER(K12),OR(K12=21,K12=32),FALSE)</x:f>
        <x:v>0</x:v>
      </x:c>
      <x:c r="N12" s="1786" t="b">
        <x:f t="shared" si="6">IF(ISNUMBER(K12),OR(K12=22,K12=33),FALSE)</x:f>
        <x:v>0</x:v>
      </x:c>
      <x:c r="O12" s="1786" t="b">
        <x:f t="shared" si="7">IF(ISNUMBER(K12),OR(K12=11,K12=12),FALSE)</x:f>
        <x:v>0</x:v>
      </x:c>
      <x:c r="P12" s="1786" t="b">
        <x:f t="shared" si="8">IF(ISNUMBER(K12),OR(K12=23,K12=34),FALSE)</x:f>
        <x:v>0</x:v>
      </x:c>
      <x:c r="Q12" s="1786" t="b">
        <x:f t="shared" si="9">IF(ISNUMBER(K12),OR(K12=13,K12=14,K12=24),FALSE)</x:f>
        <x:v>0</x:v>
      </x:c>
      <x:c r="R12" s="1786" t="b">
        <x:f t="shared" si="10">IF(ISNUMBER(K12),K12=0,FALSE)</x:f>
        <x:v>0</x:v>
      </x:c>
      <x:c r="S12" s="1786" t="str">
        <x:f t="shared" si="0">IF(ISNUMBER(T12),INDEX($L$5:$R$5,1,7-T12),"")</x:f>
      </x:c>
      <x:c r="T12" s="1786" t="str">
        <x:f t="shared" si="1">IF(ISNUMBER(K12),IF(L12,6,IF(M12,5,IF(N12,4,IF(O12,3,IF(P12,2,IF(Q12,1,0)))))),"")</x:f>
      </x:c>
      <x:c r="U12" s="1790" t="str">
        <x:f t="shared" si="11">IF(AND(ISNUMBER(T12),ISNUMBER(H12)),IF(AND(H12&gt;=1,H12&lt;=4,MOD(H12,1)=0),T12*10+H12,""),"")</x:f>
      </x:c>
      <x:c r="V12" s="1798"/>
      <x:c r="W12" s="1120"/>
      <x:c r="X12" s="1114"/>
    </x:row>
    <x:row r="13" ht="88.5" customHeight="1">
      <x:c r="B13" s="1804" t="inlineStr">
        <x:is>
          <x:t xml:space="preserve">C.7</x:t>
        </x:is>
      </x:c>
      <x:c r="C13" s="1797" t="inlineStr">
        <x:is>
          <x:t xml:space="preserve">Recenser les usages de l'intelligence artificielle dans la collectivité, y compris l'IA générative utilisée par les agents. Les encadrer par une charte, vérifier les obligations du règlement européen sur l'IA, et informer les habitants des usages qui les concernent.</x:t>
        </x:is>
      </x:c>
      <x:c r="D13" s="1798"/>
      <x:c r="E13" s="1802"/>
      <x:c r="F13" s="1802"/>
      <x:c r="G13" s="1798"/>
      <x:c r="H13" s="1802"/>
      <x:c r="I13" s="1799"/>
      <x:c r="J13" s="1806" t="str">
        <x:f t="shared" ref="J13" si="12">S13</x:f>
      </x:c>
      <x:c r="K13" s="1786" t="str">
        <x:f t="shared" ref="K13" si="13">IF(IF(ISNUMBER(E13),AND(E13&gt;=0,E13&lt;=3,MOD(E13,1)=0),FALSE),IF(E13=0,0,IF(IF(ISNUMBER(F13),AND(F13&gt;=1,F13&lt;=4,MOD(F13,1)=0),FALSE),E13*10+F13,"")),"")</x:f>
      </x:c>
      <x:c r="L13" s="1786" t="b">
        <x:f t="shared" ref="L13" si="14">IF(ISNUMBER(K13),K13=31,FALSE)</x:f>
        <x:v>0</x:v>
      </x:c>
      <x:c r="M13" s="1786" t="b">
        <x:f t="shared" ref="M13" si="15">IF(ISNUMBER(K13),OR(K13=21,K13=32),FALSE)</x:f>
        <x:v>0</x:v>
      </x:c>
      <x:c r="N13" s="1786" t="b">
        <x:f t="shared" ref="N13" si="16">IF(ISNUMBER(K13),OR(K13=22,K13=33),FALSE)</x:f>
        <x:v>0</x:v>
      </x:c>
      <x:c r="O13" s="1786" t="b">
        <x:f t="shared" ref="O13" si="17">IF(ISNUMBER(K13),OR(K13=11,K13=12),FALSE)</x:f>
        <x:v>0</x:v>
      </x:c>
      <x:c r="P13" s="1786" t="b">
        <x:f t="shared" ref="P13" si="18">IF(ISNUMBER(K13),OR(K13=23,K13=34),FALSE)</x:f>
        <x:v>0</x:v>
      </x:c>
      <x:c r="Q13" s="1786" t="b">
        <x:f t="shared" ref="Q13" si="19">IF(ISNUMBER(K13),OR(K13=13,K13=14,K13=24),FALSE)</x:f>
        <x:v>0</x:v>
      </x:c>
      <x:c r="R13" s="1786" t="b">
        <x:f t="shared" ref="R13" si="20">IF(ISNUMBER(K13),K13=0,FALSE)</x:f>
        <x:v>0</x:v>
      </x:c>
      <x:c r="S13" s="1786" t="str">
        <x:f t="shared" ref="S13" si="21">IF(ISNUMBER(T13),INDEX($L$5:$R$5,1,7-T13),"")</x:f>
      </x:c>
      <x:c r="T13" s="1786" t="str">
        <x:f t="shared" ref="T13" si="22">IF(ISNUMBER(K13),IF(L13,6,IF(M13,5,IF(N13,4,IF(O13,3,IF(P13,2,IF(Q13,1,0)))))),"")</x:f>
      </x:c>
      <x:c r="U13" s="1790" t="str">
        <x:f t="shared" ref="U13" si="23">IF(AND(ISNUMBER(T13),ISNUMBER(H13)),IF(AND(H13&gt;=1,H13&lt;=4,MOD(H13,1)=0),T13*10+H13,""),"")</x:f>
      </x:c>
      <x:c r="V13" s="1798"/>
      <x:c r="W13" s="1121"/>
      <x:c r="X13" s="1114"/>
    </x:row>
    <x:row r="14" ht="88.5" customHeight="1">
      <x:c r="B14" s="1804" t="inlineStr">
        <x:is>
          <x:t xml:space="preserve">C.8</x:t>
        </x:is>
      </x:c>
      <x:c r="C14" s="1797" t="inlineStr">
        <x:is>
          <x:t xml:space="preserve">Ouvrir la décision publique avec des outils de participation citoyenne (civic tech) : consultations, budgets participatifs, signalements. Choisir des outils ouverts, accessibles et sobres, comme les logiciels libres, et les compléter par des temps d'échange en présentiel.</x:t>
        </x:is>
      </x:c>
      <x:c r="D14" s="1798"/>
      <x:c r="E14" s="1802"/>
      <x:c r="F14" s="1802"/>
      <x:c r="G14" s="1798"/>
      <x:c r="H14" s="1802"/>
      <x:c r="I14" s="1799"/>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21"/>
      <x:c r="X14" s="1114"/>
    </x:row>
  </x:sheetData>
  <x:mergeCells>
    <x:mergeCell ref="B6:W6"/>
    <x:mergeCell ref="B4:C5"/>
    <x:mergeCell ref="D4:E4"/>
    <x:mergeCell ref="F4:G4"/>
    <x:mergeCell ref="H4:I4"/>
    <x:mergeCell ref="V4:X4"/>
    <x:mergeCell ref="B2:J3"/>
  </x:mergeCells>
  <x:conditionalFormatting sqref="J7:J14">
    <x:cfRule type="expression" dxfId="1626" priority="271">
      <x:formula>AND(ISNUMBER($T7),$T7=6)</x:formula>
    </x:cfRule>
    <x:cfRule type="expression" dxfId="1627" priority="272">
      <x:formula>AND(ISNUMBER($T7),$T7=5)</x:formula>
    </x:cfRule>
    <x:cfRule type="expression" dxfId="1628" priority="273">
      <x:formula>AND(ISNUMBER($T7),$T7=4)</x:formula>
    </x:cfRule>
    <x:cfRule type="expression" dxfId="1629" priority="274">
      <x:formula>AND(ISNUMBER($T7),$T7=3)</x:formula>
    </x:cfRule>
    <x:cfRule type="expression" dxfId="1630" priority="275">
      <x:formula>AND(ISNUMBER($T7),$T7=2)</x:formula>
    </x:cfRule>
    <x:cfRule type="expression" dxfId="1631" priority="276">
      <x:formula>AND(ISNUMBER($T7),$T7=1)</x:formula>
    </x:cfRule>
    <x:cfRule type="expression" dxfId="1632" priority="277">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13</vt:i4>
      </vt:variant>
      <vt:variant>
        <vt:lpstr>Plages nommées</vt:lpstr>
      </vt:variant>
      <vt:variant>
        <vt:i4>2</vt:i4>
      </vt:variant>
    </vt:vector>
  </HeadingPairs>
  <TitlesOfParts>
    <vt:vector size="15" baseType="lpstr">
      <vt:lpstr>Accueil</vt:lpstr>
      <vt:lpstr>Méthodologie</vt:lpstr>
      <vt:lpstr>Contexte</vt:lpstr>
      <vt:lpstr>ONR 1</vt:lpstr>
      <vt:lpstr>ONR 2</vt:lpstr>
      <vt:lpstr>ONR 3</vt:lpstr>
      <vt:lpstr>ONR 4</vt:lpstr>
      <vt:lpstr>ONR 5</vt:lpstr>
      <vt:lpstr>Cibles métier</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GPC-ONR · Version collectivités territoriales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