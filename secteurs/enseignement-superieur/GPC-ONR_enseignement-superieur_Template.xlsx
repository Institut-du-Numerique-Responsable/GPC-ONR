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summary20261007_drawing3.xml" ContentType="application/vnd.openxmlformats-officedocument.drawing+xml"/>
  <Override PartName="/xl/drawings/charts/summary20261007_chart1.xml" ContentType="application/vnd.openxmlformats-officedocument.drawingml.chart+xml"/>
  <Default Extension="png" ContentType="image/png"/>
  <Override PartName="/xl/drawings/inr20261007_drawing4.xml" ContentType="application/vnd.openxmlformats-officedocument.drawing+xml"/>
  <Override PartName="/xl/drawings/inr20261007_drawing5.xml" ContentType="application/vnd.openxmlformats-officedocument.drawing+xml"/>
  <Override PartName="/xl/drawings/inr20261007_drawing6.xml" ContentType="application/vnd.openxmlformats-officedocument.drawing+xml"/>
  <Override PartName="/xl/drawings/inr20261007_drawing7.xml" ContentType="application/vnd.openxmlformats-officedocument.drawing+xml"/>
  <Override PartName="/xl/drawings/inr20261007_drawing8.xml" ContentType="application/vnd.openxmlformats-officedocument.drawing+xml"/>
  <Override PartName="/xl/drawings/inr20261007_drawing10.xml" ContentType="application/vnd.openxmlformats-officedocument.drawing+xml"/>
  <Override PartName="/xl/drawings/charts/inr20261007_chart1.xml" ContentType="application/vnd.openxmlformats-officedocument.drawingml.chart+xml"/>
  <Override PartName="/xl/drawings/charts/inr20261007_chart2.xml" ContentType="application/vnd.openxmlformats-officedocument.drawingml.chart+xml"/>
  <Override PartName="/xl/drawings/inr20261007_drawing3.xml" ContentType="application/vnd.openxmlformats-officedocument.drawing+xml"/>
  <Override PartName="/xl/drawings/inr20261007_drawing9.xml" ContentType="application/vnd.openxmlformats-officedocument.drawing+xml"/>
  <Override PartName="/xl/drawings/inr20261007_drawing11.xml" ContentType="application/vnd.openxmlformats-officedocument.drawing+xml"/>
  <Override PartName="/xl/worksheets/sheet13.xml" ContentType="application/vnd.openxmlformats-officedocument.spreadsheetml.worksheet+xml"/>
  <Override PartName="/xl/comments7.xml" ContentType="application/vnd.openxmlformats-officedocument.spreadsheetml.comments+xml"/>
  <Override PartName="/xl/drawings/inr20261007_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8_{110A7F95-4F06-7A4C-9991-43459C783435}" xr6:coauthVersionLast="47" xr6:coauthVersionMax="47" xr10:uidLastSave="{00000000-0000-0000-0000-000000000000}"/>
  <bookViews>
    <workbookView xWindow="27940" yWindow="9160" windowWidth="32420" windowHeight="19880" tabRatio="879"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Cibles métier" sheetId="72" r:id="rIdCiblesMetier"/>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10">'Résultats détaillés'!$B$2:$X$35</definedName>
    <definedName name="_xlnm.Print_Area" localSheetId="3">'ONR 1'!$B$2:$V$14</definedName>
    <definedName name="_xlnm.Print_Titles" localSheetId="3">'ONR 1'!$4:$6,'ONR 1'!$B:$C</definedName>
    <definedName name="_xlnm.Print_Area" localSheetId="4">'ONR 2'!$B$2:$V$11</definedName>
    <definedName name="_xlnm.Print_Titles" localSheetId="4">'ONR 2'!$4:$6,'ONR 2'!$B:$C</definedName>
    <definedName name="_xlnm.Print_Area" localSheetId="5">'ONR 3'!$B$2:$V$14</definedName>
    <definedName name="_xlnm.Print_Titles" localSheetId="5">'ONR 3'!$4:$6,'ONR 3'!$B:$C</definedName>
    <definedName name="_xlnm.Print_Area" localSheetId="6">'ONR 4'!$B$2:$V$10</definedName>
    <definedName name="_xlnm.Print_Titles" localSheetId="6">'ONR 4'!$4:$6,'ONR 4'!$B:$C</definedName>
    <definedName name="_xlnm.Print_Area" localSheetId="7">'ONR 5'!$B$2:$V$13</definedName>
    <definedName name="_xlnm.Print_Titles" localSheetId="7">'ONR 5'!$4:$6,'ONR 5'!$B:$C</definedName>
    <definedName name="_xlnm.Print_Area" localSheetId="11">'Résultats synthèse'!$B$2:$M$73</definedName>
    <definedName name="_xlnm.Print_Area" localSheetId="8">'Cibles métier'!$B$2:$V$11</definedName>
    <definedName name="_xlnm.Print_Titles" localSheetId="8">'Cibles métier'!$4:$6,'Cibles métier'!$B:$C</definedName>
  </definedNames>
  <calcPr calcId="191028" fullCalcOnLoad="1" calcMode="auto" forceFullCalc="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t>Décrire les opportunités et les menaces associées à cette cible pour l’organisation : enjeux économiques, sociaux, environnementaux, réglementaires ou opérationnels.</t>
      </text>
    </comment>
    <comment ref="E5" authorId="1" shapeId="0" xr:uid="{00000000-0006-0000-0300-000003000000}">
      <text>
        <t>Évaluer l’importance de la cible pour l’organisation.
0 : non applicable ; 1 : peu importante ; 2 : importante ; 3 : très importante.
Une importance de 0 classe la cible comme non applicable, même sans note de performance.</t>
      </text>
    </comment>
    <comment ref="F5" authorId="1" shapeId="0" xr:uid="{00000000-0006-0000-0300-000004000000}">
      <text>
        <t>Évaluer la situation actuelle à partir d’éléments documentés.
1 : pas du tout atteinte ; 2 : atteinte en partie ; 3 : en voie d’être atteinte ; 4 : atteinte.
Laisser vide si la cible n’est pas évaluée ou n’est pas applicable.</t>
      </text>
    </comment>
    <comment ref="G5" authorId="1" shapeId="0" xr:uid="{00000000-0006-0000-0300-000005000000}">
      <text>
        <t>Justifier la note de performance avec les mesures déjà en place, les résultats observés, les indicateurs disponibles et les sources datées. Distinguer les actions réalisées des actions seulement prévues.</t>
      </text>
    </comment>
    <comment ref="I5" authorId="1" shapeId="0" xr:uid="{00000000-0006-0000-0300-000007000000}">
      <text>
        <t>Décrire les forces et les faiblesses internes : compétences, moyens humains, financiers et techniques, et partenaires disponibles pour agir sur la cible.</t>
      </text>
    </comment>
    <comment ref="J5" authorId="1" shapeId="0" xr:uid="{00000000-0006-0000-03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1" shapeId="0" xr:uid="{00000000-0006-0000-03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t>Décrire les opportunités et les menaces associées à cette cible pour l’organisation : enjeux économiques, sociaux, environnementaux, réglementaires ou opérationnels.</t>
      </text>
    </comment>
    <comment ref="E5" authorId="0" shapeId="0" xr:uid="{00000000-0006-0000-05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5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5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500-000007000000}">
      <text>
        <t>Décrire les forces et les faiblesses internes : compétences, moyens humains, financiers et techniques, et partenaires disponibles pour agir sur la cible.</t>
      </text>
    </comment>
    <comment ref="J5" authorId="0" shapeId="0" xr:uid="{00000000-0006-0000-05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5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t>Décrire les opportunités et les menaces associées à cette cible pour l’organisation : enjeux économiques, sociaux, environnementaux, réglementaires ou opérationnels.</t>
      </text>
    </comment>
    <comment ref="E5" authorId="0" shapeId="0" xr:uid="{988E1C45-7988-DB49-85E0-84F3DA705D86}">
      <text>
        <t>Évaluer l’importance de la cible pour l’organisation.
0 : non applicable ; 1 : peu importante ; 2 : importante ; 3 : très importante.
Une importance de 0 classe la cible comme non applicable, même sans note de performance.</t>
      </text>
    </comment>
    <comment ref="F5" authorId="0" shapeId="0" xr:uid="{6EFAD041-22B7-C04F-9E51-652EBA0E8A16}">
      <text>
        <t>Évaluer la situation actuelle à partir d’éléments documentés.
1 : pas du tout atteinte ; 2 : atteinte en partie ; 3 : en voie d’être atteinte ; 4 : atteinte.
Laisser vide si la cible n’est pas évaluée ou n’est pas applicable.</t>
      </text>
    </comment>
    <comment ref="G5" authorId="0" shapeId="0" xr:uid="{BD753896-2A33-C44A-9474-6ED31D82EDF1}">
      <text>
        <t>Justifier la note de performance avec les mesures déjà en place, les résultats observés, les indicateurs disponibles et les sources datées. Distinguer les actions réalisées des actions seulement prévues.</t>
      </text>
    </comment>
    <comment ref="H5" authorId="0" shapeId="0" xr:uid="{A0B61C8E-D016-114B-919D-21D504540378}">
      <text>
        <t>Identifier les compétences à mobiliser.
1 : équipe NR / RSE ; 2 : NR / RSE et DSI ; 3 : NR / RSE et équipe hors DSI ; 4 : intervention extérieure.
Ce choix n’entre pas dans le calcul du niveau de priorité.</t>
      </text>
    </comment>
    <comment ref="I5" authorId="0" shapeId="0" xr:uid="{81F53470-33EE-0B43-93A9-4C132E04A690}">
      <text>
        <t>Décrire les forces et les faiblesses internes : compétences, moyens humains, financiers et techniques, et partenaires disponibles pour agir sur la cible.</t>
      </text>
    </comment>
    <comment ref="J5" authorId="0" shapeId="0" xr:uid="{00000000-0006-0000-06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6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t>Décrire les opportunités et les menaces associées à cette cible pour l’organisation : enjeux économiques, sociaux, environnementaux, réglementaires ou opérationnels.</t>
      </text>
    </comment>
    <comment ref="E5" authorId="0" shapeId="0" xr:uid="{00000000-0006-0000-07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7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7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700-000007000000}">
      <text>
        <t>Décrire les forces et les faiblesses internes : compétences, moyens humains, financiers et techniques, et partenaires disponibles pour agir sur la cible.</t>
      </text>
    </comment>
    <comment ref="J5" authorId="0" shapeId="0" xr:uid="{00000000-0006-0000-07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7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t>Décrire les opportunités et les menaces associées à cette cible pour l’organisation : enjeux économiques, sociaux, environnementaux, réglementaires ou opérationnels.</t>
      </text>
    </comment>
    <comment ref="G3" authorId="0" shapeId="0" xr:uid="{00000000-0006-0000-1400-000002000000}">
      <text>
        <t>Justifier la note de performance avec les mesures déjà en place, les résultats observés, les indicateurs disponibles et les sources datées. Distinguer les actions réalisées des actions seulement prévues.</t>
      </text>
    </comment>
    <comment ref="I3" authorId="0" shapeId="0" xr:uid="{00000000-0006-0000-1400-000003000000}">
      <text>
        <t>Décrire les forces et les faiblesses internes : compétences, moyens humains, financiers et techniques, et partenaires disponibles pour agir sur la cible.</t>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sharedStrings.xml><?xml version="1.0" encoding="utf-8"?>
<sst xmlns="http://schemas.openxmlformats.org/spreadsheetml/2006/main" count="318" uniqueCount="136">
  <si>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</si>
  <si>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</si>
  <si>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</si>
  <si>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</si>
  <si>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</si>
  <si>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</si>
  <si>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</si>
  <si>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</si>
  <si>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</si>
  <si>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</si>
  <si>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t>
  </si>
  <si>
    <t>Importance de la cible</t>
  </si>
  <si>
    <t>Performance actuelle</t>
  </si>
  <si>
    <t>Compétences interne-externe</t>
  </si>
  <si>
    <t>Priorité</t>
  </si>
  <si>
    <t>Mise en œuvre</t>
  </si>
  <si>
    <t>Enjeux: opportunités et menaces</t>
  </si>
  <si>
    <t>Importance de la cible</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</si>
  <si>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</si>
  <si>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</si>
  <si>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</si>
  <si>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</si>
  <si>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</si>
  <si>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</si>
  <si>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</si>
  <si>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</si>
  <si>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</si>
  <si>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</si>
  <si>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</si>
  <si>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</si>
  <si>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</si>
  <si>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</si>
  <si>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</si>
  <si>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</si>
  <si>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</si>
  <si>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</si>
  <si>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</si>
  <si>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</si>
  <si>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allongeant la durée d'usage des équipements des personnels, des salles et des laboratoires, par la réparation et la réaffectation</t>
  </si>
  <si>
    <t>1.3</t>
  </si>
  <si>
    <t>En éco-concevant LMS, ENT, applications de scolarité et logiciels de recherche selon le RGESN, et en choisissant des technologies qui contribuent aux ODD</t>
  </si>
  <si>
    <t>1.4</t>
  </si>
  <si>
    <t>En favorisant, en formation, en administration et en recherche, des usages limitant les consommations de matériels, d'énergie et de consommables</t>
  </si>
  <si>
    <t>1.5</t>
  </si>
  <si>
    <t>En confiant nos équipements en fin d'usage aux filières de réemploi et de l'économie sociale et solidaire, au bénéfice des étudiants</t>
  </si>
  <si>
    <t>1.6</t>
  </si>
  <si>
    <t>En alimentant campus, centres de données et moyens de calcul avec des énergies renouvelables, et en valorisant leur chaleur</t>
  </si>
  <si>
    <t>1.7</t>
  </si>
  <si>
    <t>En réservant l'IA aux besoins de formation, de recherche et de gestion qui la justifient, et en privilégiant des IA frugales</t>
  </si>
  <si>
    <t xml:space="preserve">ONR 2 : Inclusion · S'engager à développer des services numériques accessibles à toutes et tous, inclusifs et durables</t>
  </si>
  <si>
    <t>2.1</t>
  </si>
  <si>
    <t>En généralisant les achats numériques responsables, laboratoires compris, avec des clauses sociales et environnementales</t>
  </si>
  <si>
    <t>2.2</t>
  </si>
  <si>
    <t>En rendant accessibles sites, ENT, LMS et ressources pédagogiques, et en mesurant leur conformité au RGAA</t>
  </si>
  <si>
    <t>2.3</t>
  </si>
  <si>
    <t>En proposant aux étudiants et aux personnels des outils Utiles, Utilisables et Utilisés, plutôt qu'une multitude de plateformes</t>
  </si>
  <si>
    <t>2.4</t>
  </si>
  <si>
    <t>En concevant les services avec les étudiants, enseignants, chercheurs et personnels, pour livrer ce dont ils ont besoin</t>
  </si>
  <si>
    <t xml:space="preserve">ONR 3 : RSE · S'engager pour des pratiques numériques éthiques et responsables</t>
  </si>
  <si>
    <t>3.1</t>
  </si>
  <si>
    <t>En développant des usages raisonnés des données de formation et de recherche, dans le respect des personnes et de l'environnement</t>
  </si>
  <si>
    <t>3.2</t>
  </si>
  <si>
    <t>En bannissant des services numériques de l'établissement les pratiques trompeuses et les dark patterns</t>
  </si>
  <si>
    <t>3.3</t>
  </si>
  <si>
    <t>En ne collectant que les données nécessaires, projets de recherche compris, en conformité avec le RGPD et avec l'appui du DPO</t>
  </si>
  <si>
    <t>3.4</t>
  </si>
  <si>
    <t>En favorisant la diversité des profils dans les formations et les métiers du numérique de l'établissement</t>
  </si>
  <si>
    <t>3.5</t>
  </si>
  <si>
    <t>En améliorant les conditions de travail des personnels du numérique, doctorants et contractuels compris</t>
  </si>
  <si>
    <t>3.6</t>
  </si>
  <si>
    <t>En s'inscrivant dans des dispositifs d'éthique algorithmique pour la formation et la recherche, avec le comité d'éthique</t>
  </si>
  <si>
    <t>3.7</t>
  </si>
  <si>
    <t>En intégrant le numérique responsable à la démarche DD&amp;RS de l'établissement et en la valorisant</t>
  </si>
  <si>
    <t xml:space="preserve">ONR 4 : Résilience et stratégie · S'engager vers un numérique responsable, indispensable pour assurer la résilience des organisations</t>
  </si>
  <si>
    <t>4.1</t>
  </si>
  <si>
    <t>En mesurant l'empreinte du numérique de l'établissement et des projets de recherche avec des méthodes communes</t>
  </si>
  <si>
    <t>4.2</t>
  </si>
  <si>
    <t>En évaluant les services numériques dans la durée avec étudiants et personnels, et en partageant les résultats</t>
  </si>
  <si>
    <t>4.3</t>
  </si>
  <si>
    <t>En expérimentant de nouveaux outils pédagogiques et de recherche, avec une analyse d'impact transparente</t>
  </si>
  <si>
    <t>4.4</t>
  </si>
  <si>
    <t>En garantissant la souveraineté numérique de l'établissement : logiciels libres, hébergement de confiance, infrastructures mutualisées</t>
  </si>
  <si>
    <t xml:space="preserve">ONR 5 : Management · S'engager à faire les choses avec sens en respectant et en préservant les ressources qui produisent</t>
  </si>
  <si>
    <t>5.1</t>
  </si>
  <si>
    <t>En incluant l'innovation sociale dans la définition des services numériques, au plus près des besoins des étudiants</t>
  </si>
  <si>
    <t>5.2</t>
  </si>
  <si>
    <t>En valorisant les initiatives des personnels et des étudiants qui favorisent la coopération et le bien-être</t>
  </si>
  <si>
    <t>5.3</t>
  </si>
  <si>
    <t>En associant étudiants, personnels, chercheurs et partenaires du territoire aux choix numériques</t>
  </si>
  <si>
    <t>5.4</t>
  </si>
  <si>
    <t>En formant des diplômés capables d'innover pour un monde ouvert à l'autre et soucieux de l'équilibre des écosystèmes</t>
  </si>
  <si>
    <t>5.5</t>
  </si>
  <si>
    <t>En suivant les indicateurs de performance et de conformité, en cohérence avec le plan de transition et le label DD&amp;RS</t>
  </si>
  <si>
    <t>5.6</t>
  </si>
  <si>
    <t>En proposant des pistes d'amélioration du numérique responsable, y compris non numériques</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</si>
  <si>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</si>
  <si>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</si>
  <si>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</si>
  <si>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</si>
  <si>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</si>
  <si>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</si>
  <si>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</si>
  <si>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</si>
  <si>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</si>
  <si>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</si>
  <si>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</si>
  <si>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</si>
  <si>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</si>
  <si>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</si>
  <si>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</si>
  <si>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</si>
  <si>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</si>
  <si>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</si>
  <si>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</si>
  <si>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</si>
  <si>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</si>
  <si>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</si>
  <si>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</si>
  <si>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</si>
  <si>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</si>
  <si>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</si>
  <si>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</si>
  <si>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</si>
  <si>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</si>
  <si>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</si>
  <si>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</si>
  <si>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</si>
  <si>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</si>
  <si>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</si>
  <si>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</si>
  <si>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</si>
  <si>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</si>
  <si>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de l'établissement, laboratoires et calcul compris</t>
  </si>
  <si>
    <t xml:space="preserve">Compétences </t>
  </si>
  <si>
    <t>Compétences</t>
  </si>
  <si>
    <t>En associant étudiants, personnels, chercheurs et partenaires du territoire aux choix numériques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</si>
</sst>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C]d\ mmm\ yyyy;@"/>
    <numFmt numFmtId="165" formatCode="0.0%"/>
    <numFmt numFmtId="166" formatCode="0"/>
  </numFmts>
  <fonts count="249">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sz val="14"/>
      <color theme="5"/>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1"/>
      <color rgb="FF000000"/>
      <name val="Arial"/>
    </font>
    <font>
      <b/>
      <sz val="11"/>
      <color rgb="FF000000"/>
      <name val="Arial"/>
    </font>
    <font>
      <sz val="11"/>
      <color rgb="FF000000"/>
      <name val="Arial"/>
    </font>
    <font>
      <b/>
      <sz val="18"/>
      <color rgb="FF000000"/>
      <name val="Arial"/>
    </font>
    <font>
      <b/>
      <sz val="12"/>
      <color rgb="FFFFFFFF"/>
      <name val="Arial"/>
    </font>
    <font>
      <b/>
      <sz val="11"/>
      <color rgb="FF404040"/>
      <name val="Arial"/>
    </font>
    <font>
      <b/>
      <sz val="22"/>
      <color rgb="FF000000"/>
      <name val="Arial"/>
    </font>
    <font>
      <sz val="10"/>
      <color rgb="FF404040"/>
      <name val="Arial"/>
    </font>
    <font>
      <sz val="10"/>
      <color rgb="FF404040"/>
      <name val="Arial"/>
    </font>
  </fonts>
  <fills count="237">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solid">
        <fgColor rgb="FFD9D9D9"/>
      </patternFill>
    </fill>
    <fill>
      <patternFill patternType="solid">
        <fgColor rgb="FF4F81BD"/>
      </patternFill>
    </fill>
    <fill>
      <patternFill patternType="solid">
        <fgColor rgb="FF4BACC6"/>
      </patternFill>
    </fill>
    <fill>
      <patternFill patternType="solid">
        <fgColor rgb="FFCCC1DA"/>
      </patternFill>
    </fill>
    <fill>
      <patternFill patternType="solid">
        <fgColor rgb="FFE6B9B8"/>
      </patternFill>
    </fill>
    <fill>
      <patternFill patternType="solid">
        <fgColor rgb="FFF2F2F2"/>
      </patternFill>
    </fill>
    <fill>
      <patternFill patternType="solid">
        <fgColor rgb="FFFFFFFF"/>
      </patternFill>
    </fill>
    <fill>
      <patternFill patternType="solid">
        <fgColor rgb="FFFFF2CC"/>
      </patternFill>
    </fill>
    <fill>
      <patternFill patternType="solid">
        <fgColor rgb="FFF79646"/>
      </patternFill>
    </fill>
    <fill>
      <patternFill patternType="solid">
        <fgColor rgb="FF9BBB59"/>
      </patternFill>
    </fill>
    <fill>
      <patternFill patternType="solid">
        <fgColor rgb="FF00B0F0"/>
      </patternFill>
    </fill>
    <fill>
      <patternFill patternType="solid">
        <fgColor rgb="FF8064A2"/>
      </patternFill>
    </fill>
    <fill>
      <patternFill patternType="solid">
        <fgColor rgb="FFFF0000"/>
      </patternFill>
    </fill>
    <fill>
      <patternFill patternType="solid">
        <fgColor rgb="FFFFC000"/>
      </patternFill>
    </fill>
    <fill>
      <patternFill patternType="solid">
        <fgColor rgb="FFFFFF00"/>
      </patternFill>
    </fill>
    <fill>
      <patternFill patternType="solid">
        <fgColor rgb="FF00B050"/>
      </patternFill>
    </fill>
    <fill>
      <patternFill patternType="solid">
        <fgColor rgb="FFD9EAD3"/>
      </patternFill>
    </fill>
    <fill>
      <patternFill patternType="solid">
        <fgColor rgb="FF92D050"/>
      </patternFill>
    </fill>
    <fill>
      <patternFill patternType="solid">
        <fgColor rgb="FFF2EDF6"/>
      </patternFill>
    </fill>
  </fills>
  <borders count="228">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A6A6A6"/>
      </left>
      <right style="thin">
        <color rgb="FFA6A6A6"/>
      </right>
      <top style="thin">
        <color rgb="FFA6A6A6"/>
      </top>
      <bottom style="thin">
        <color rgb="FFA6A6A6"/>
      </bottom>
    </border>
    <border>
      <left style="thin">
        <color rgb="FF777777"/>
      </left>
      <top style="thin">
        <color rgb="FF777777"/>
      </top>
    </border>
    <border>
      <top style="thin">
        <color rgb="FF777777"/>
      </top>
    </border>
    <border>
      <right style="thin">
        <color rgb="FF777777"/>
      </right>
      <top style="thin">
        <color rgb="FF777777"/>
      </top>
    </border>
    <border>
      <left style="thin">
        <color rgb="FF777777"/>
      </left>
    </border>
    <border>
      <right style="thin">
        <color rgb="FF777777"/>
      </right>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s>
  <cellStyleXfs count="8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7" fillId="53" borderId="53"/>
    <xf numFmtId="4" fontId="58" fillId="53" borderId="53" applyFont="0" applyFill="0" applyBorder="0" applyAlignment="0" applyProtection="0"/>
    <xf numFmtId="0" fontId="58" fillId="55" borderId="53" applyNumberFormat="0" applyFont="0" applyBorder="0" applyAlignment="0" applyProtection="0"/>
    <xf numFmtId="0" fontId="58" fillId="54" borderId="53" applyNumberFormat="0" applyFont="0" applyBorder="0" applyAlignment="0" applyProtection="0"/>
    <xf numFmtId="0" fontId="58" fillId="56" borderId="53" applyNumberFormat="0" applyFont="0" applyBorder="0" applyAlignment="0" applyProtection="0"/>
    <xf numFmtId="0" fontId="58" fillId="53" borderId="53" applyNumberFormat="0" applyFont="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120" fillId="109" borderId="106"/>
    <xf numFmtId="4" fontId="121" fillId="109" borderId="106" applyFont="0" applyFill="0" applyBorder="0" applyAlignment="0" applyProtection="0"/>
    <xf numFmtId="0" fontId="121" fillId="111" borderId="106" applyNumberFormat="0" applyFont="0" applyBorder="0" applyAlignment="0" applyProtection="0"/>
    <xf numFmtId="0" fontId="121" fillId="110" borderId="106" applyNumberFormat="0" applyFont="0" applyBorder="0" applyAlignment="0" applyProtection="0"/>
    <xf numFmtId="0" fontId="121" fillId="112" borderId="106" applyNumberFormat="0" applyFont="0" applyBorder="0" applyAlignment="0" applyProtection="0"/>
    <xf numFmtId="0" fontId="121" fillId="109" borderId="106" applyNumberFormat="0" applyFont="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77" fillId="162" borderId="159"/>
    <xf numFmtId="4" fontId="178" fillId="162" borderId="159" applyFont="0" applyFill="0" applyBorder="0" applyAlignment="0" applyProtection="0"/>
    <xf numFmtId="0" fontId="178" fillId="164" borderId="159" applyNumberFormat="0" applyFont="0" applyBorder="0" applyAlignment="0" applyProtection="0"/>
    <xf numFmtId="0" fontId="178" fillId="163" borderId="159" applyNumberFormat="0" applyFont="0" applyBorder="0" applyAlignment="0" applyProtection="0"/>
    <xf numFmtId="0" fontId="178" fillId="165" borderId="159" applyNumberFormat="0" applyFont="0" applyBorder="0" applyAlignment="0" applyProtection="0"/>
    <xf numFmtId="0" fontId="178" fillId="162" borderId="159" applyNumberFormat="0" applyFont="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cellStyleXfs>
  <cellXfs count="2038">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7" borderId="9" xfId="0" applyFont="1" applyFill="1" applyBorder="1" applyAlignment="1" applyProtection="1">
      <alignment horizontal="center" vertical="center" wrapText="1"/>
      <protection locked="0"/>
    </xf>
    <xf numFmtId="0" fontId="51" fillId="4" borderId="0" xfId="0" applyFont="1" applyFill="1" applyAlignment="1">
      <alignment horizontal="center" vertical="center" wrapText="1"/>
    </xf>
    <xf numFmtId="0" fontId="54" fillId="4" borderId="0" xfId="0" applyFont="1" applyFill="1" applyAlignment="1">
      <alignment horizontal="center" vertical="center" wrapText="1"/>
    </xf>
    <xf numFmtId="0" fontId="52" fillId="4" borderId="0" xfId="0" applyFont="1" applyFill="1" applyAlignment="1">
      <alignment vertical="top" wrapText="1"/>
    </xf>
    <xf numFmtId="0" fontId="55"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6"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3"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57" fillId="53" borderId="53" xfId="20"/>
    <xf numFmtId="0" fontId="57" fillId="57" borderId="53" xfId="20" applyFill="1"/>
    <xf numFmtId="0" fontId="66" fillId="57" borderId="53" xfId="20" applyFont="1" applyFill="1"/>
    <xf numFmtId="0" fontId="66" fillId="53" borderId="69" xfId="20" applyFont="1" applyBorder="1" applyAlignment="1">
      <alignment horizontal="center" vertical="center"/>
    </xf>
    <xf numFmtId="0" fontId="57" fillId="60" borderId="55" xfId="20" applyFill="1" applyBorder="1"/>
    <xf numFmtId="0" fontId="57" fillId="61" borderId="63" xfId="20" applyFill="1" applyBorder="1"/>
    <xf numFmtId="0" fontId="68" fillId="62" borderId="56" xfId="20" applyFont="1" applyFill="1" applyBorder="1" applyAlignment="1">
      <alignment horizontal="center" vertical="center" wrapText="1"/>
    </xf>
    <xf numFmtId="0" fontId="57" fillId="57" borderId="53" xfId="20" applyFill="1" applyAlignment="1">
      <alignment horizontal="left" vertical="center"/>
    </xf>
    <xf numFmtId="0" fontId="68" fillId="60" borderId="62" xfId="20" applyFont="1" applyFill="1" applyBorder="1" applyAlignment="1">
      <alignment horizontal="center" vertical="center" wrapText="1"/>
    </xf>
    <xf numFmtId="0" fontId="68" fillId="62" borderId="62" xfId="20" applyFont="1" applyFill="1" applyBorder="1" applyAlignment="1">
      <alignment horizontal="center" vertical="center" wrapText="1"/>
    </xf>
    <xf numFmtId="0" fontId="66" fillId="53" borderId="70" xfId="20" applyFont="1" applyBorder="1" applyAlignment="1">
      <alignment horizontal="center" vertical="center"/>
    </xf>
    <xf numFmtId="0" fontId="57" fillId="61" borderId="62" xfId="20" applyFill="1" applyBorder="1"/>
    <xf numFmtId="0" fontId="57" fillId="63" borderId="62" xfId="20" applyFill="1" applyBorder="1"/>
    <xf numFmtId="0" fontId="57" fillId="64" borderId="64" xfId="20" applyFill="1" applyBorder="1"/>
    <xf numFmtId="0" fontId="68" fillId="61" borderId="62" xfId="20" applyFont="1" applyFill="1" applyBorder="1" applyAlignment="1">
      <alignment horizontal="center" vertical="center" wrapText="1"/>
    </xf>
    <xf numFmtId="0" fontId="68" fillId="64" borderId="62" xfId="20" applyFont="1" applyFill="1" applyBorder="1" applyAlignment="1">
      <alignment horizontal="center" vertical="center" wrapText="1"/>
    </xf>
    <xf numFmtId="0" fontId="57" fillId="64" borderId="62" xfId="20" applyFill="1" applyBorder="1"/>
    <xf numFmtId="0" fontId="68" fillId="63" borderId="62" xfId="20" applyFont="1" applyFill="1" applyBorder="1" applyAlignment="1">
      <alignment horizontal="center" vertical="center" wrapText="1"/>
    </xf>
    <xf numFmtId="0" fontId="68" fillId="65" borderId="62" xfId="20" applyFont="1" applyFill="1" applyBorder="1" applyAlignment="1">
      <alignment horizontal="center" vertical="center" wrapText="1"/>
    </xf>
    <xf numFmtId="0" fontId="66" fillId="53" borderId="71" xfId="20" applyFont="1" applyBorder="1" applyAlignment="1">
      <alignment horizontal="center" vertical="center"/>
    </xf>
    <xf numFmtId="0" fontId="68" fillId="65" borderId="57" xfId="20" applyFont="1" applyFill="1" applyBorder="1" applyAlignment="1">
      <alignment horizontal="center" vertical="center" wrapText="1"/>
    </xf>
    <xf numFmtId="0" fontId="68" fillId="65" borderId="65" xfId="20" applyFont="1" applyFill="1" applyBorder="1" applyAlignment="1">
      <alignment horizontal="center" vertical="center" wrapText="1"/>
    </xf>
    <xf numFmtId="0" fontId="68" fillId="65" borderId="58" xfId="20" applyFont="1" applyFill="1" applyBorder="1" applyAlignment="1">
      <alignment horizontal="center" vertical="center" wrapText="1"/>
    </xf>
    <xf numFmtId="0" fontId="66" fillId="53" borderId="53" xfId="20" applyFont="1"/>
    <xf numFmtId="0" fontId="66" fillId="53" borderId="72" xfId="20" applyFont="1" applyBorder="1" applyAlignment="1">
      <alignment horizontal="center" vertical="center"/>
    </xf>
    <xf numFmtId="0" fontId="66" fillId="53" borderId="73" xfId="20" applyFont="1" applyBorder="1" applyAlignment="1">
      <alignment horizontal="center" vertical="center"/>
    </xf>
    <xf numFmtId="0" fontId="57" fillId="66" borderId="63" xfId="20" applyFill="1" applyBorder="1"/>
    <xf numFmtId="0" fontId="69" fillId="66" borderId="62" xfId="20" applyFont="1" applyFill="1" applyBorder="1" applyAlignment="1">
      <alignment horizontal="center" vertical="center" wrapText="1"/>
    </xf>
    <xf numFmtId="0" fontId="57" fillId="66" borderId="61" xfId="20" applyFill="1" applyBorder="1"/>
    <xf numFmtId="0" fontId="57" fillId="63" borderId="61" xfId="20" applyFill="1" applyBorder="1"/>
    <xf numFmtId="0" fontId="57" fillId="62" borderId="62" xfId="20" applyFill="1" applyBorder="1"/>
    <xf numFmtId="0" fontId="59" fillId="57" borderId="53" xfId="20" applyFont="1" applyFill="1" applyAlignment="1">
      <alignment horizontal="left" vertical="center"/>
    </xf>
    <xf numFmtId="0" fontId="59" fillId="57" borderId="53" xfId="20" applyFont="1" applyFill="1" applyAlignment="1">
      <alignment horizontal="left" vertical="center" wrapText="1"/>
    </xf>
    <xf numFmtId="0" fontId="59" fillId="57" borderId="55" xfId="20" applyFont="1" applyFill="1" applyBorder="1" applyAlignment="1">
      <alignment horizontal="left" vertical="center" wrapText="1"/>
    </xf>
    <xf numFmtId="0" fontId="71" fillId="57" borderId="56" xfId="20" applyFont="1" applyFill="1" applyBorder="1" applyAlignment="1">
      <alignment horizontal="left" vertical="center" wrapText="1"/>
    </xf>
    <xf numFmtId="0" fontId="59" fillId="57" borderId="66" xfId="20" applyFont="1" applyFill="1" applyBorder="1" applyAlignment="1">
      <alignment horizontal="left" vertical="center" wrapText="1"/>
    </xf>
    <xf numFmtId="0" fontId="71" fillId="57" borderId="68" xfId="20" applyFont="1" applyFill="1" applyBorder="1" applyAlignment="1">
      <alignment horizontal="left" vertical="center" wrapText="1"/>
    </xf>
    <xf numFmtId="0" fontId="59" fillId="57" borderId="61" xfId="20" applyFont="1" applyFill="1" applyBorder="1" applyAlignment="1">
      <alignment horizontal="left" vertical="center" wrapText="1"/>
    </xf>
    <xf numFmtId="0" fontId="71" fillId="57" borderId="64" xfId="20" applyFont="1" applyFill="1" applyBorder="1" applyAlignment="1">
      <alignment horizontal="left" vertical="center" wrapText="1"/>
    </xf>
    <xf numFmtId="0" fontId="59" fillId="57" borderId="87" xfId="20" applyFont="1" applyFill="1" applyBorder="1" applyAlignment="1">
      <alignment horizontal="left" vertical="center" wrapText="1"/>
    </xf>
    <xf numFmtId="0" fontId="71" fillId="57" borderId="88" xfId="20" applyFont="1" applyFill="1" applyBorder="1" applyAlignment="1">
      <alignment horizontal="left" vertical="center" wrapText="1"/>
    </xf>
    <xf numFmtId="0" fontId="59" fillId="57" borderId="57" xfId="20" applyFont="1" applyFill="1" applyBorder="1" applyAlignment="1">
      <alignment horizontal="left" vertical="center" wrapText="1"/>
    </xf>
    <xf numFmtId="0" fontId="71" fillId="57" borderId="58" xfId="20" applyFont="1" applyFill="1" applyBorder="1" applyAlignment="1">
      <alignment horizontal="left" vertical="center" wrapText="1"/>
    </xf>
    <xf numFmtId="164" fontId="71" fillId="57" borderId="58" xfId="20" applyNumberFormat="1" applyFont="1" applyFill="1" applyBorder="1" applyAlignment="1">
      <alignment horizontal="left" vertical="center" wrapText="1"/>
    </xf>
    <xf numFmtId="0" fontId="79" fillId="53" borderId="62" xfId="20" applyFont="1" applyBorder="1" applyAlignment="1">
      <alignment horizontal="center" vertical="center"/>
    </xf>
    <xf numFmtId="0" fontId="80" fillId="65" borderId="62" xfId="20" applyFont="1" applyFill="1" applyBorder="1" applyAlignment="1">
      <alignment horizontal="center" vertical="center" wrapText="1"/>
    </xf>
    <xf numFmtId="0" fontId="62" fillId="57" borderId="53" xfId="20" applyFont="1" applyFill="1"/>
    <xf numFmtId="0" fontId="62" fillId="57" borderId="53" xfId="20" applyFont="1" applyFill="1" applyAlignment="1">
      <alignment horizontal="center" vertical="center" wrapText="1"/>
    </xf>
    <xf numFmtId="0" fontId="62" fillId="57" borderId="53" xfId="20" applyFont="1" applyFill="1" applyAlignment="1">
      <alignment horizontal="left" vertical="top" wrapText="1"/>
    </xf>
    <xf numFmtId="0" fontId="62" fillId="57" borderId="53" xfId="20" applyFont="1" applyFill="1" applyAlignment="1">
      <alignment horizontal="justify"/>
    </xf>
    <xf numFmtId="0" fontId="62" fillId="57" borderId="53" xfId="20" applyFont="1" applyFill="1" applyAlignment="1">
      <alignment horizontal="center" vertical="center"/>
    </xf>
    <xf numFmtId="0" fontId="62" fillId="53" borderId="53" xfId="20" applyFont="1"/>
    <xf numFmtId="0" fontId="63" fillId="57" borderId="53" xfId="20" applyFont="1" applyFill="1" applyAlignment="1">
      <alignment vertical="center"/>
    </xf>
    <xf numFmtId="0" fontId="63" fillId="53" borderId="53" xfId="20" applyFont="1" applyAlignment="1">
      <alignment vertical="center"/>
    </xf>
    <xf numFmtId="0" fontId="62" fillId="53" borderId="53" xfId="20" applyFont="1" applyAlignment="1">
      <alignment horizontal="center" vertical="center" wrapText="1"/>
    </xf>
    <xf numFmtId="0" fontId="62" fillId="53" borderId="53" xfId="20" applyFont="1" applyAlignment="1">
      <alignment horizontal="left" vertical="top" wrapText="1"/>
    </xf>
    <xf numFmtId="0" fontId="62" fillId="53" borderId="53" xfId="20" applyFont="1" applyAlignment="1">
      <alignment horizontal="justify"/>
    </xf>
    <xf numFmtId="0" fontId="62" fillId="53" borderId="53" xfId="20" applyFont="1" applyAlignment="1">
      <alignment horizontal="center" vertical="center"/>
    </xf>
    <xf numFmtId="0" fontId="71" fillId="57" borderId="53" xfId="20" applyFont="1" applyFill="1" applyAlignment="1">
      <alignment horizontal="left" vertical="center" wrapText="1"/>
    </xf>
    <xf numFmtId="0" fontId="65" fillId="57" borderId="53" xfId="20" applyFont="1" applyFill="1" applyAlignment="1">
      <alignment horizontal="left" vertical="center"/>
    </xf>
    <xf numFmtId="0" fontId="65" fillId="53" borderId="53" xfId="20" applyFont="1"/>
    <xf numFmtId="0" fontId="84" fillId="53" borderId="53" xfId="20" applyFont="1"/>
    <xf numFmtId="0" fontId="84" fillId="57" borderId="53" xfId="20" applyFont="1" applyFill="1"/>
    <xf numFmtId="0" fontId="80" fillId="65" borderId="76" xfId="20" applyFont="1" applyFill="1" applyBorder="1" applyAlignment="1">
      <alignment horizontal="center" vertical="center" wrapText="1"/>
    </xf>
    <xf numFmtId="0" fontId="79" fillId="53" borderId="76" xfId="20" applyFont="1" applyBorder="1" applyAlignment="1">
      <alignment horizontal="center" vertical="center"/>
    </xf>
    <xf numFmtId="0" fontId="80" fillId="65" borderId="98" xfId="20" applyFont="1" applyFill="1" applyBorder="1" applyAlignment="1">
      <alignment horizontal="center" vertical="center" wrapText="1"/>
    </xf>
    <xf numFmtId="0" fontId="79" fillId="53" borderId="98" xfId="20" applyFont="1" applyBorder="1" applyAlignment="1">
      <alignment horizontal="center" vertical="center"/>
    </xf>
    <xf numFmtId="0" fontId="68" fillId="65" borderId="63" xfId="20" applyFont="1" applyFill="1" applyBorder="1" applyAlignment="1">
      <alignment horizontal="center" vertical="center" wrapText="1"/>
    </xf>
    <xf numFmtId="0" fontId="68" fillId="65" borderId="100" xfId="20" applyFont="1" applyFill="1" applyBorder="1" applyAlignment="1">
      <alignment horizontal="center" vertical="center" wrapText="1"/>
    </xf>
    <xf numFmtId="0" fontId="68" fillId="65" borderId="82" xfId="20" applyFont="1" applyFill="1" applyBorder="1" applyAlignment="1">
      <alignment horizontal="center" vertical="center" wrapText="1"/>
    </xf>
    <xf numFmtId="0" fontId="70" fillId="53" borderId="61" xfId="20" applyFont="1" applyBorder="1" applyAlignment="1">
      <alignment vertical="top" wrapText="1"/>
    </xf>
    <xf numFmtId="0" fontId="79" fillId="53" borderId="64" xfId="20" applyFont="1" applyBorder="1" applyAlignment="1">
      <alignment horizontal="center" vertical="center"/>
    </xf>
    <xf numFmtId="0" fontId="70" fillId="53" borderId="77" xfId="20" applyFont="1" applyBorder="1" applyAlignment="1">
      <alignment vertical="top" wrapText="1"/>
    </xf>
    <xf numFmtId="0" fontId="57" fillId="86" borderId="99" xfId="20" applyFill="1" applyBorder="1" applyAlignment="1">
      <alignment horizontal="center"/>
    </xf>
    <xf numFmtId="0" fontId="57" fillId="90" borderId="99" xfId="20" applyFill="1" applyBorder="1" applyAlignment="1">
      <alignment horizontal="center"/>
    </xf>
    <xf numFmtId="0" fontId="57" fillId="91" borderId="99" xfId="20" applyFill="1" applyBorder="1" applyAlignment="1">
      <alignment horizontal="center"/>
    </xf>
    <xf numFmtId="0" fontId="57" fillId="88" borderId="99" xfId="20" applyFill="1" applyBorder="1" applyAlignment="1">
      <alignment horizontal="center"/>
    </xf>
    <xf numFmtId="0" fontId="57" fillId="64" borderId="99" xfId="20" applyFill="1" applyBorder="1" applyAlignment="1">
      <alignment horizontal="center"/>
    </xf>
    <xf numFmtId="0" fontId="88" fillId="53" borderId="53" xfId="20" applyFont="1" applyAlignment="1"/>
    <xf numFmtId="0" fontId="90" fillId="59" borderId="55" xfId="20" applyFont="1" applyFill="1" applyBorder="1" applyAlignment="1">
      <alignment horizontal="center" vertical="center" wrapText="1"/>
    </xf>
    <xf numFmtId="0" fontId="90" fillId="59" borderId="97" xfId="20" applyFont="1" applyFill="1" applyBorder="1" applyAlignment="1">
      <alignment vertical="center" wrapText="1"/>
    </xf>
    <xf numFmtId="0" fontId="73" fillId="70" borderId="57" xfId="20" applyFont="1" applyFill="1" applyBorder="1" applyAlignment="1">
      <alignment horizontal="center" vertical="center" wrapText="1"/>
    </xf>
    <xf numFmtId="0" fontId="73" fillId="70" borderId="58" xfId="20" applyFont="1" applyFill="1" applyBorder="1" applyAlignment="1">
      <alignment horizontal="center" vertical="center" wrapText="1"/>
    </xf>
    <xf numFmtId="0" fontId="73" fillId="59" borderId="57" xfId="20" applyFont="1" applyFill="1" applyBorder="1" applyAlignment="1">
      <alignment horizontal="center" vertical="center" wrapText="1"/>
    </xf>
    <xf numFmtId="0" fontId="91" fillId="53" borderId="65" xfId="20" applyFont="1" applyBorder="1" applyAlignment="1"/>
    <xf numFmtId="0" fontId="91" fillId="57" borderId="65" xfId="20" applyFont="1" applyFill="1" applyBorder="1" applyAlignment="1"/>
    <xf numFmtId="0" fontId="73" fillId="69" borderId="65" xfId="20" applyFont="1" applyFill="1" applyBorder="1" applyAlignment="1">
      <alignment horizontal="center" vertical="center" wrapText="1"/>
    </xf>
    <xf numFmtId="0" fontId="73" fillId="69" borderId="58" xfId="20" applyFont="1" applyFill="1" applyBorder="1" applyAlignment="1">
      <alignment horizontal="center" vertical="center" wrapText="1"/>
    </xf>
    <xf numFmtId="0" fontId="91" fillId="53" borderId="62" xfId="20" applyFont="1" applyBorder="1"/>
    <xf numFmtId="0" fontId="91" fillId="53" borderId="62" xfId="20" applyFont="1" applyBorder="1" applyAlignment="1">
      <alignment wrapText="1"/>
    </xf>
    <xf numFmtId="0" fontId="91" fillId="53" borderId="62" xfId="20" applyFont="1" applyBorder="1" applyAlignment="1">
      <alignment wrapText="1"/>
    </xf>
    <xf numFmtId="0" fontId="91" fillId="57" borderId="62" xfId="20" applyFont="1" applyFill="1" applyBorder="1"/>
    <xf numFmtId="0" fontId="91" fillId="81" borderId="62" xfId="20" applyFont="1" applyFill="1" applyBorder="1"/>
    <xf numFmtId="0" fontId="91" fillId="81" borderId="62" xfId="20" applyFont="1" applyFill="1" applyBorder="1" applyAlignment="1">
      <alignment wrapText="1"/>
    </xf>
    <xf numFmtId="0" fontId="91" fillId="81" borderId="62" xfId="20" applyFont="1" applyFill="1" applyBorder="1" applyAlignment="1">
      <alignment wrapText="1"/>
    </xf>
    <xf numFmtId="0" fontId="91" fillId="77" borderId="62" xfId="20" applyFont="1" applyFill="1" applyBorder="1"/>
    <xf numFmtId="0" fontId="91" fillId="75" borderId="62" xfId="20" applyFont="1" applyFill="1" applyBorder="1"/>
    <xf numFmtId="0" fontId="91" fillId="75" borderId="62" xfId="20" applyFont="1" applyFill="1" applyBorder="1" applyAlignment="1">
      <alignment wrapText="1"/>
    </xf>
    <xf numFmtId="0" fontId="91" fillId="75" borderId="62" xfId="20" applyFont="1" applyFill="1" applyBorder="1" applyAlignment="1">
      <alignment wrapText="1"/>
    </xf>
    <xf numFmtId="0" fontId="91" fillId="74" borderId="62" xfId="20" applyFont="1" applyFill="1" applyBorder="1"/>
    <xf numFmtId="0" fontId="92" fillId="59" borderId="57" xfId="20" applyFont="1" applyFill="1" applyBorder="1" applyAlignment="1">
      <alignment horizontal="center" vertical="center" wrapText="1"/>
    </xf>
    <xf numFmtId="0" fontId="93" fillId="53" borderId="65" xfId="20" applyFont="1" applyBorder="1" applyAlignment="1"/>
    <xf numFmtId="0" fontId="93" fillId="57" borderId="65" xfId="20" applyFont="1" applyFill="1" applyBorder="1" applyAlignment="1"/>
    <xf numFmtId="0" fontId="92" fillId="69" borderId="65" xfId="20" applyFont="1" applyFill="1" applyBorder="1" applyAlignment="1">
      <alignment horizontal="center" vertical="center" wrapText="1"/>
    </xf>
    <xf numFmtId="0" fontId="91" fillId="94" borderId="62" xfId="20" applyFont="1" applyFill="1" applyBorder="1"/>
    <xf numFmtId="0" fontId="91" fillId="94" borderId="62" xfId="20" applyFont="1" applyFill="1" applyBorder="1" applyAlignment="1">
      <alignment wrapText="1"/>
    </xf>
    <xf numFmtId="0" fontId="91" fillId="94" borderId="62" xfId="20" applyFont="1" applyFill="1" applyBorder="1" applyAlignment="1">
      <alignment wrapText="1"/>
    </xf>
    <xf numFmtId="0" fontId="91" fillId="95" borderId="62" xfId="20" applyFont="1" applyFill="1" applyBorder="1"/>
    <xf numFmtId="0" fontId="91" fillId="95" borderId="62" xfId="20" applyFont="1" applyFill="1" applyBorder="1" applyAlignment="1">
      <alignment wrapText="1"/>
    </xf>
    <xf numFmtId="0" fontId="91" fillId="95" borderId="62" xfId="20" applyFont="1" applyFill="1" applyBorder="1" applyAlignment="1">
      <alignment wrapText="1"/>
    </xf>
    <xf numFmtId="0" fontId="91" fillId="57" borderId="62" xfId="20" applyFont="1" applyFill="1" applyBorder="1" applyAlignment="1">
      <alignment horizontal="center" vertical="center" wrapText="1"/>
    </xf>
    <xf numFmtId="0" fontId="59" fillId="59" borderId="69" xfId="20" applyFont="1" applyFill="1" applyBorder="1" applyAlignment="1">
      <alignment horizontal="center" vertical="center" wrapText="1"/>
    </xf>
    <xf numFmtId="0" fontId="59" fillId="59" borderId="97" xfId="20" applyFont="1" applyFill="1" applyBorder="1" applyAlignment="1">
      <alignment horizontal="center" vertical="center" wrapText="1"/>
    </xf>
    <xf numFmtId="0" fontId="63" fillId="57" borderId="53" xfId="20" applyFont="1" applyFill="1" applyAlignment="1">
      <alignment horizontal="center" vertical="center"/>
    </xf>
    <xf numFmtId="0" fontId="63" fillId="53" borderId="53" xfId="20" applyFont="1" applyAlignment="1">
      <alignment horizontal="center" vertical="center"/>
    </xf>
    <xf numFmtId="0" fontId="76" fillId="57" borderId="53" xfId="20" applyFont="1" applyFill="1" applyAlignment="1">
      <alignment horizontal="center" vertical="center"/>
    </xf>
    <xf numFmtId="0" fontId="76" fillId="53" borderId="53" xfId="20" applyFont="1" applyAlignment="1">
      <alignment horizontal="center" vertical="center"/>
    </xf>
    <xf numFmtId="0" fontId="76" fillId="53" borderId="62" xfId="20" applyFont="1" applyBorder="1" applyAlignment="1">
      <alignment horizontal="center" vertical="center"/>
    </xf>
    <xf numFmtId="0" fontId="93" fillId="53" borderId="65" xfId="20" applyFont="1" applyBorder="1" applyAlignment="1">
      <alignment horizontal="center" vertical="center"/>
    </xf>
    <xf numFmtId="0" fontId="93" fillId="57" borderId="65" xfId="20" applyFont="1" applyFill="1" applyBorder="1" applyAlignment="1">
      <alignment horizontal="center" vertical="center"/>
    </xf>
    <xf numFmtId="0" fontId="93" fillId="68" borderId="58" xfId="20" applyFont="1" applyFill="1" applyBorder="1" applyAlignment="1">
      <alignment horizontal="center" vertical="center" wrapText="1"/>
    </xf>
    <xf numFmtId="0" fontId="93" fillId="70" borderId="57" xfId="20" applyFont="1" applyFill="1" applyBorder="1" applyAlignment="1">
      <alignment horizontal="center" vertical="center" wrapText="1"/>
    </xf>
    <xf numFmtId="0" fontId="93" fillId="70" borderId="58" xfId="20" applyFont="1" applyFill="1" applyBorder="1" applyAlignment="1">
      <alignment horizontal="center" vertical="center" wrapText="1"/>
    </xf>
    <xf numFmtId="0" fontId="93" fillId="59" borderId="57" xfId="20" applyFont="1" applyFill="1" applyBorder="1" applyAlignment="1">
      <alignment horizontal="center" vertical="center" wrapText="1"/>
    </xf>
    <xf numFmtId="0" fontId="93" fillId="69" borderId="57" xfId="20" applyFont="1" applyFill="1" applyBorder="1" applyAlignment="1">
      <alignment horizontal="center" vertical="center" wrapText="1"/>
    </xf>
    <xf numFmtId="0" fontId="93" fillId="69" borderId="65" xfId="20" applyFont="1" applyFill="1" applyBorder="1" applyAlignment="1">
      <alignment horizontal="center" vertical="center" wrapText="1"/>
    </xf>
    <xf numFmtId="0" fontId="93" fillId="69" borderId="92" xfId="20" applyFont="1" applyFill="1" applyBorder="1" applyAlignment="1">
      <alignment horizontal="center" vertical="center" wrapText="1"/>
    </xf>
    <xf numFmtId="0" fontId="93" fillId="84" borderId="61" xfId="20" applyFont="1" applyFill="1" applyBorder="1" applyAlignment="1">
      <alignment horizontal="center" vertical="center" wrapText="1"/>
    </xf>
    <xf numFmtId="0" fontId="93" fillId="84" borderId="64" xfId="20" applyFont="1" applyFill="1" applyBorder="1" applyAlignment="1">
      <alignment horizontal="center" vertical="center" wrapText="1"/>
    </xf>
    <xf numFmtId="0" fontId="94" fillId="60" borderId="65" xfId="20" applyFont="1" applyFill="1" applyBorder="1" applyAlignment="1">
      <alignment horizontal="center" vertical="center" wrapText="1"/>
    </xf>
    <xf numFmtId="0" fontId="95" fillId="66" borderId="65" xfId="20" applyFont="1" applyFill="1" applyBorder="1" applyAlignment="1">
      <alignment horizontal="center" vertical="center" wrapText="1"/>
    </xf>
    <xf numFmtId="0" fontId="94" fillId="61" borderId="65" xfId="20" applyFont="1" applyFill="1" applyBorder="1" applyAlignment="1">
      <alignment horizontal="center" vertical="center" wrapText="1"/>
    </xf>
    <xf numFmtId="0" fontId="94" fillId="63" borderId="65" xfId="20" applyFont="1" applyFill="1" applyBorder="1" applyAlignment="1">
      <alignment horizontal="center" vertical="center" wrapText="1"/>
    </xf>
    <xf numFmtId="0" fontId="94" fillId="62" borderId="65" xfId="20" applyFont="1" applyFill="1" applyBorder="1" applyAlignment="1">
      <alignment horizontal="center" vertical="center" wrapText="1"/>
    </xf>
    <xf numFmtId="0" fontId="94" fillId="64" borderId="65" xfId="20" applyFont="1" applyFill="1" applyBorder="1" applyAlignment="1">
      <alignment horizontal="center" vertical="center" wrapText="1"/>
    </xf>
    <xf numFmtId="0" fontId="94" fillId="65" borderId="65" xfId="20" applyFont="1" applyFill="1" applyBorder="1" applyAlignment="1">
      <alignment horizontal="center" vertical="center" wrapText="1"/>
    </xf>
    <xf numFmtId="0" fontId="75" fillId="57" borderId="53" xfId="20" applyFont="1" applyFill="1" applyAlignment="1">
      <alignment horizontal="left" vertical="center"/>
    </xf>
    <xf numFmtId="0" fontId="75" fillId="53" borderId="53" xfId="20" applyFont="1"/>
    <xf numFmtId="0" fontId="75" fillId="92" borderId="53" xfId="20" applyFont="1" applyFill="1"/>
    <xf numFmtId="0" fontId="91" fillId="67" borderId="62" xfId="20" applyFont="1" applyFill="1" applyBorder="1" applyAlignment="1">
      <alignment horizontal="left" vertical="center" wrapText="1"/>
    </xf>
    <xf numFmtId="0" fontId="91" fillId="70" borderId="62" xfId="20" applyFont="1" applyFill="1" applyBorder="1" applyAlignment="1">
      <alignment horizontal="center" vertical="center" wrapText="1"/>
    </xf>
    <xf numFmtId="0" fontId="91" fillId="70" borderId="62" xfId="20" applyFont="1" applyFill="1" applyBorder="1" applyAlignment="1">
      <alignment horizontal="left" vertical="center" wrapText="1"/>
    </xf>
    <xf numFmtId="0" fontId="91" fillId="69" borderId="62" xfId="20" applyFont="1" applyFill="1" applyBorder="1" applyAlignment="1">
      <alignment horizontal="center" vertical="center" wrapText="1"/>
    </xf>
    <xf numFmtId="0" fontId="91" fillId="69" borderId="62" xfId="20" applyFont="1" applyFill="1" applyBorder="1" applyAlignment="1">
      <alignment vertical="center" wrapText="1"/>
    </xf>
    <xf numFmtId="0" fontId="91" fillId="77" borderId="62" xfId="20" applyFont="1" applyFill="1" applyBorder="1" applyAlignment="1">
      <alignment horizontal="center" vertical="center" wrapText="1"/>
    </xf>
    <xf numFmtId="0" fontId="91" fillId="82" borderId="62" xfId="20" applyFont="1" applyFill="1" applyBorder="1" applyAlignment="1">
      <alignment horizontal="center" vertical="center" wrapText="1"/>
    </xf>
    <xf numFmtId="0" fontId="91" fillId="82" borderId="62" xfId="20" applyFont="1" applyFill="1" applyBorder="1" applyAlignment="1">
      <alignment horizontal="left" vertical="center" wrapText="1"/>
    </xf>
    <xf numFmtId="0" fontId="91" fillId="74" borderId="62" xfId="20" applyFont="1" applyFill="1" applyBorder="1" applyAlignment="1">
      <alignment horizontal="center" vertical="center" wrapText="1"/>
    </xf>
    <xf numFmtId="0" fontId="91" fillId="76" borderId="62" xfId="20" applyFont="1" applyFill="1" applyBorder="1" applyAlignment="1">
      <alignment horizontal="center" vertical="center" wrapText="1"/>
    </xf>
    <xf numFmtId="0" fontId="91" fillId="76"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94" borderId="62" xfId="20" applyFont="1" applyFill="1" applyBorder="1" applyAlignment="1">
      <alignment horizontal="center" vertical="center" wrapText="1"/>
    </xf>
    <xf numFmtId="0" fontId="91" fillId="57" borderId="77" xfId="20" applyFont="1" applyFill="1" applyBorder="1" applyAlignment="1">
      <alignment horizontal="center" vertical="center" wrapText="1"/>
    </xf>
    <xf numFmtId="0" fontId="91" fillId="57" borderId="61" xfId="20" applyFont="1" applyFill="1" applyBorder="1" applyAlignment="1">
      <alignment horizontal="center" vertical="center" wrapText="1"/>
    </xf>
    <xf numFmtId="0" fontId="91" fillId="77" borderId="61" xfId="20" applyFont="1" applyFill="1" applyBorder="1" applyAlignment="1">
      <alignment horizontal="center" vertical="center" wrapText="1"/>
    </xf>
    <xf numFmtId="0" fontId="91" fillId="57" borderId="66" xfId="20" applyFont="1" applyFill="1" applyBorder="1" applyAlignment="1">
      <alignment horizontal="center" vertical="center" wrapText="1"/>
    </xf>
    <xf numFmtId="0" fontId="100" fillId="96" borderId="85" xfId="20" applyFont="1" applyFill="1" applyBorder="1" applyAlignment="1">
      <alignment horizontal="center" vertical="center" wrapText="1"/>
    </xf>
    <xf numFmtId="0" fontId="100" fillId="96" borderId="102" xfId="20" applyFont="1" applyFill="1" applyBorder="1" applyAlignment="1">
      <alignment horizontal="center" vertical="center" wrapText="1"/>
    </xf>
    <xf numFmtId="0" fontId="100" fillId="97" borderId="57" xfId="20" applyFont="1" applyFill="1" applyBorder="1" applyAlignment="1">
      <alignment horizontal="center" vertical="center" wrapText="1"/>
    </xf>
    <xf numFmtId="0" fontId="100" fillId="97" borderId="102" xfId="20" applyFont="1" applyFill="1" applyBorder="1" applyAlignment="1">
      <alignment horizontal="center" vertical="center" wrapText="1"/>
    </xf>
    <xf numFmtId="0" fontId="73" fillId="58" borderId="57" xfId="20" applyFont="1" applyFill="1" applyBorder="1" applyAlignment="1">
      <alignment horizontal="center" vertical="center" wrapText="1"/>
    </xf>
    <xf numFmtId="0" fontId="73" fillId="58" borderId="58" xfId="20" applyFont="1" applyFill="1" applyBorder="1" applyAlignment="1">
      <alignment horizontal="center" vertical="center" wrapText="1"/>
    </xf>
    <xf numFmtId="0" fontId="73" fillId="98" borderId="57" xfId="20" applyFont="1" applyFill="1" applyBorder="1" applyAlignment="1">
      <alignment horizontal="center" vertical="center" wrapText="1"/>
    </xf>
    <xf numFmtId="0" fontId="73" fillId="98" borderId="58" xfId="20" applyFont="1" applyFill="1" applyBorder="1" applyAlignment="1">
      <alignment horizontal="center" vertical="center" wrapText="1"/>
    </xf>
    <xf numFmtId="0" fontId="100" fillId="99" borderId="85" xfId="20" applyFont="1" applyFill="1" applyBorder="1" applyAlignment="1">
      <alignment horizontal="center" vertical="center" wrapText="1"/>
    </xf>
    <xf numFmtId="0" fontId="100" fillId="99" borderId="102"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70" borderId="62" xfId="20" applyFont="1" applyFill="1" applyBorder="1" applyAlignment="1">
      <alignment vertical="center" wrapText="1"/>
    </xf>
    <xf numFmtId="0" fontId="102" fillId="60" borderId="65" xfId="20" applyFont="1" applyFill="1" applyBorder="1" applyAlignment="1">
      <alignment horizontal="center" vertical="center" wrapText="1"/>
    </xf>
    <xf numFmtId="0" fontId="90" fillId="66" borderId="65" xfId="20" applyFont="1" applyFill="1" applyBorder="1" applyAlignment="1">
      <alignment horizontal="center" vertical="center" wrapText="1"/>
    </xf>
    <xf numFmtId="0" fontId="102" fillId="61" borderId="65" xfId="20" applyFont="1" applyFill="1" applyBorder="1" applyAlignment="1">
      <alignment horizontal="center" vertical="center" wrapText="1"/>
    </xf>
    <xf numFmtId="0" fontId="102" fillId="63" borderId="65" xfId="20" applyFont="1" applyFill="1" applyBorder="1" applyAlignment="1">
      <alignment horizontal="center" vertical="center" wrapText="1"/>
    </xf>
    <xf numFmtId="0" fontId="102" fillId="62" borderId="65" xfId="20" applyFont="1" applyFill="1" applyBorder="1" applyAlignment="1">
      <alignment horizontal="center" vertical="center" wrapText="1"/>
    </xf>
    <xf numFmtId="0" fontId="102" fillId="64" borderId="65" xfId="20" applyFont="1" applyFill="1" applyBorder="1" applyAlignment="1">
      <alignment horizontal="center" vertical="center" wrapText="1"/>
    </xf>
    <xf numFmtId="0" fontId="102" fillId="65" borderId="65" xfId="20" applyFont="1" applyFill="1" applyBorder="1" applyAlignment="1">
      <alignment horizontal="center" vertical="center" wrapText="1"/>
    </xf>
    <xf numFmtId="0" fontId="75" fillId="57" borderId="61" xfId="20" applyFont="1" applyFill="1" applyBorder="1" applyAlignment="1">
      <alignment horizontal="center" vertical="center" wrapText="1"/>
    </xf>
    <xf numFmtId="0" fontId="93" fillId="57" borderId="61" xfId="20" applyFont="1" applyFill="1" applyBorder="1" applyAlignment="1">
      <alignment horizontal="center" vertical="center" wrapText="1"/>
    </xf>
    <xf numFmtId="0" fontId="75" fillId="53" borderId="53" xfId="20" applyFont="1" applyAlignment="1">
      <alignment wrapText="1"/>
    </xf>
    <xf numFmtId="0" fontId="91" fillId="69" borderId="62" xfId="20" applyFont="1" applyFill="1" applyBorder="1" applyAlignment="1">
      <alignment horizontal="center" vertical="center" wrapText="1"/>
    </xf>
    <xf numFmtId="0" fontId="91" fillId="67" borderId="62" xfId="20" applyFont="1" applyFill="1" applyBorder="1" applyAlignment="1">
      <alignment vertical="center" wrapText="1"/>
    </xf>
    <xf numFmtId="0" fontId="103" fillId="60" borderId="65" xfId="20" applyFont="1" applyFill="1" applyBorder="1" applyAlignment="1">
      <alignment horizontal="center" vertical="center" wrapText="1"/>
    </xf>
    <xf numFmtId="0" fontId="104" fillId="66" borderId="65" xfId="20" applyFont="1" applyFill="1" applyBorder="1" applyAlignment="1">
      <alignment horizontal="center" vertical="center" wrapText="1"/>
    </xf>
    <xf numFmtId="0" fontId="103" fillId="61" borderId="65" xfId="20" applyFont="1" applyFill="1" applyBorder="1" applyAlignment="1">
      <alignment horizontal="center" vertical="center" wrapText="1"/>
    </xf>
    <xf numFmtId="0" fontId="103" fillId="63" borderId="65" xfId="20" applyFont="1" applyFill="1" applyBorder="1" applyAlignment="1">
      <alignment horizontal="center" vertical="center" wrapText="1"/>
    </xf>
    <xf numFmtId="0" fontId="103" fillId="62" borderId="65" xfId="20" applyFont="1" applyFill="1" applyBorder="1" applyAlignment="1">
      <alignment horizontal="center" vertical="center" wrapText="1"/>
    </xf>
    <xf numFmtId="0" fontId="103" fillId="64" borderId="65" xfId="20" applyFont="1" applyFill="1" applyBorder="1" applyAlignment="1">
      <alignment horizontal="center" vertical="center" wrapText="1"/>
    </xf>
    <xf numFmtId="0" fontId="103" fillId="65" borderId="65" xfId="20" applyFont="1" applyFill="1" applyBorder="1" applyAlignment="1">
      <alignment horizontal="center" vertical="center" wrapText="1"/>
    </xf>
    <xf numFmtId="0" fontId="105" fillId="65" borderId="62" xfId="20" applyFont="1" applyFill="1" applyBorder="1" applyAlignment="1">
      <alignment horizontal="center" vertical="center" wrapText="1"/>
    </xf>
    <xf numFmtId="0" fontId="105" fillId="60" borderId="62" xfId="20" applyFont="1" applyFill="1" applyBorder="1" applyAlignment="1">
      <alignment horizontal="center" vertical="center" wrapText="1"/>
    </xf>
    <xf numFmtId="0" fontId="59" fillId="66" borderId="62" xfId="20" applyFont="1" applyFill="1" applyBorder="1" applyAlignment="1">
      <alignment horizontal="center" vertical="center" wrapText="1"/>
    </xf>
    <xf numFmtId="0" fontId="105" fillId="61" borderId="62" xfId="20" applyFont="1" applyFill="1" applyBorder="1" applyAlignment="1">
      <alignment horizontal="center" vertical="center" wrapText="1"/>
    </xf>
    <xf numFmtId="0" fontId="105" fillId="63" borderId="62" xfId="20" applyFont="1" applyFill="1" applyBorder="1" applyAlignment="1">
      <alignment horizontal="center" vertical="center" wrapText="1"/>
    </xf>
    <xf numFmtId="0" fontId="105" fillId="62" borderId="62" xfId="20" applyFont="1" applyFill="1" applyBorder="1" applyAlignment="1">
      <alignment horizontal="center" vertical="center" wrapText="1"/>
    </xf>
    <xf numFmtId="0" fontId="105" fillId="64" borderId="62" xfId="20" applyFont="1" applyFill="1" applyBorder="1" applyAlignment="1">
      <alignment horizontal="center" vertical="center" wrapText="1"/>
    </xf>
    <xf numFmtId="0" fontId="75" fillId="57" borderId="53" xfId="20" applyFont="1" applyFill="1" applyAlignment="1">
      <alignment horizontal="center" vertical="center"/>
    </xf>
    <xf numFmtId="0" fontId="91" fillId="68" borderId="78" xfId="20" applyFont="1" applyFill="1" applyBorder="1" applyAlignment="1">
      <alignment horizontal="center" vertical="center" wrapText="1"/>
    </xf>
    <xf numFmtId="0" fontId="91" fillId="70" borderId="62" xfId="20" applyFont="1" applyFill="1" applyBorder="1" applyAlignment="1">
      <alignment horizontal="center" vertical="center" wrapText="1"/>
    </xf>
    <xf numFmtId="0" fontId="91" fillId="70"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75" fillId="53" borderId="53" xfId="20" applyFont="1" applyAlignment="1">
      <alignment horizontal="center" vertical="center"/>
    </xf>
    <xf numFmtId="0" fontId="75" fillId="53" borderId="62" xfId="20" applyFont="1" applyBorder="1" applyAlignment="1">
      <alignment horizontal="center" vertical="center"/>
    </xf>
    <xf numFmtId="0" fontId="91" fillId="68" borderId="62" xfId="20" applyFont="1" applyFill="1" applyBorder="1" applyAlignment="1">
      <alignment horizontal="center" vertical="center" wrapText="1"/>
    </xf>
    <xf numFmtId="0" fontId="91" fillId="79" borderId="62" xfId="20" applyFont="1" applyFill="1" applyBorder="1" applyAlignment="1">
      <alignment horizontal="center" vertical="center" wrapText="1"/>
    </xf>
    <xf numFmtId="0" fontId="91" fillId="80" borderId="62" xfId="20" applyFont="1" applyFill="1" applyBorder="1" applyAlignment="1">
      <alignment horizontal="center" vertical="center" wrapText="1"/>
    </xf>
    <xf numFmtId="0" fontId="91" fillId="83" borderId="62" xfId="20" applyFont="1" applyFill="1" applyBorder="1" applyAlignment="1">
      <alignment horizontal="center" vertical="center" wrapText="1"/>
    </xf>
    <xf numFmtId="0" fontId="91" fillId="72" borderId="62" xfId="20" applyFont="1" applyFill="1" applyBorder="1" applyAlignment="1">
      <alignment horizontal="center" vertical="center" wrapText="1"/>
    </xf>
    <xf numFmtId="0" fontId="91" fillId="73" borderId="62" xfId="20" applyFont="1" applyFill="1" applyBorder="1" applyAlignment="1">
      <alignment horizontal="center" vertical="center" wrapText="1"/>
    </xf>
    <xf numFmtId="0" fontId="91" fillId="72" borderId="67" xfId="20" applyFont="1" applyFill="1" applyBorder="1" applyAlignment="1">
      <alignment horizontal="center" vertical="center" wrapText="1"/>
    </xf>
    <xf numFmtId="0" fontId="91" fillId="73" borderId="67" xfId="20" applyFont="1" applyFill="1" applyBorder="1" applyAlignment="1">
      <alignment horizontal="center" vertical="center" wrapText="1"/>
    </xf>
    <xf numFmtId="0" fontId="91" fillId="76" borderId="67" xfId="20" applyFont="1" applyFill="1" applyBorder="1" applyAlignment="1">
      <alignment horizontal="center" vertical="center" wrapText="1"/>
    </xf>
    <xf numFmtId="0" fontId="91" fillId="70" borderId="67" xfId="20" applyFont="1" applyFill="1" applyBorder="1" applyAlignment="1">
      <alignment horizontal="center" vertical="center" wrapText="1"/>
    </xf>
    <xf numFmtId="0" fontId="62" fillId="57" borderId="53" xfId="20" applyFont="1" applyFill="1" applyAlignment="1">
      <alignment horizontal="left" vertical="center" wrapText="1"/>
    </xf>
    <xf numFmtId="0" fontId="91" fillId="57" borderId="78" xfId="20" applyFont="1" applyFill="1" applyBorder="1" applyAlignment="1">
      <alignment horizontal="left" vertical="center" wrapText="1"/>
    </xf>
    <xf numFmtId="0" fontId="91" fillId="57" borderId="62" xfId="20" applyFont="1" applyFill="1" applyBorder="1" applyAlignment="1">
      <alignment horizontal="left" vertical="center" wrapText="1"/>
    </xf>
    <xf numFmtId="0" fontId="91" fillId="57" borderId="67" xfId="20" applyFont="1" applyFill="1" applyBorder="1" applyAlignment="1">
      <alignment horizontal="left" vertical="center" wrapText="1"/>
    </xf>
    <xf numFmtId="0" fontId="98" fillId="92" borderId="78" xfId="20" applyFont="1" applyFill="1" applyBorder="1" applyAlignment="1">
      <alignment horizontal="left" vertical="center" wrapText="1"/>
    </xf>
    <xf numFmtId="0" fontId="62" fillId="53" borderId="53" xfId="20" applyFont="1" applyAlignment="1">
      <alignment horizontal="left" vertical="center" wrapText="1"/>
    </xf>
    <xf numFmtId="0" fontId="91" fillId="67" borderId="78" xfId="20" applyFont="1" applyFill="1" applyBorder="1" applyAlignment="1">
      <alignment horizontal="left" vertical="center" wrapText="1"/>
    </xf>
    <xf numFmtId="0" fontId="91" fillId="70" borderId="62" xfId="20" applyFont="1" applyFill="1" applyBorder="1" applyAlignment="1">
      <alignment horizontal="left" vertical="center" wrapText="1"/>
    </xf>
    <xf numFmtId="0" fontId="91" fillId="70" borderId="78" xfId="20" applyFont="1" applyFill="1" applyBorder="1" applyAlignment="1">
      <alignment horizontal="left" vertical="center" wrapText="1"/>
    </xf>
    <xf numFmtId="0" fontId="91" fillId="92" borderId="78" xfId="20" applyFont="1" applyFill="1" applyBorder="1" applyAlignment="1">
      <alignment horizontal="left" vertical="center" wrapText="1"/>
    </xf>
    <xf numFmtId="0" fontId="91" fillId="92" borderId="78" xfId="20" applyFont="1" applyFill="1" applyBorder="1" applyAlignment="1">
      <alignment horizontal="left" vertical="center"/>
    </xf>
    <xf numFmtId="0" fontId="91" fillId="92" borderId="78" xfId="20" applyFont="1" applyFill="1" applyBorder="1" applyAlignment="1">
      <alignment horizontal="left" vertical="center" wrapText="1"/>
    </xf>
    <xf numFmtId="0" fontId="91" fillId="69" borderId="78" xfId="20" applyFont="1" applyFill="1" applyBorder="1" applyAlignment="1">
      <alignment horizontal="left" vertical="center" wrapText="1"/>
    </xf>
    <xf numFmtId="0" fontId="91" fillId="84" borderId="78" xfId="20" applyFont="1" applyFill="1" applyBorder="1" applyAlignment="1">
      <alignment horizontal="left" vertical="center" wrapText="1"/>
    </xf>
    <xf numFmtId="0" fontId="91" fillId="67" borderId="62" xfId="20" applyFont="1" applyFill="1" applyBorder="1" applyAlignment="1">
      <alignment horizontal="left" vertical="center" wrapText="1"/>
    </xf>
    <xf numFmtId="0" fontId="91" fillId="92" borderId="62" xfId="20" applyFont="1" applyFill="1" applyBorder="1" applyAlignment="1">
      <alignment horizontal="left" vertical="center" wrapText="1"/>
    </xf>
    <xf numFmtId="0" fontId="91" fillId="92" borderId="62" xfId="20" applyFont="1" applyFill="1" applyBorder="1" applyAlignment="1">
      <alignment horizontal="left" vertical="center"/>
    </xf>
    <xf numFmtId="0" fontId="91" fillId="92"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84" borderId="62" xfId="20" applyFont="1" applyFill="1" applyBorder="1" applyAlignment="1">
      <alignment horizontal="left" vertical="center" wrapText="1"/>
    </xf>
    <xf numFmtId="0" fontId="91" fillId="78" borderId="62" xfId="20" applyFont="1" applyFill="1" applyBorder="1" applyAlignment="1">
      <alignment horizontal="left" vertical="center" wrapText="1"/>
    </xf>
    <xf numFmtId="0" fontId="91" fillId="77" borderId="62" xfId="20" applyFont="1" applyFill="1" applyBorder="1" applyAlignment="1">
      <alignment horizontal="left" vertical="center" wrapText="1"/>
    </xf>
    <xf numFmtId="0" fontId="91" fillId="83" borderId="62" xfId="20" applyFont="1" applyFill="1" applyBorder="1" applyAlignment="1">
      <alignment horizontal="left" vertical="center" wrapText="1"/>
    </xf>
    <xf numFmtId="0" fontId="91" fillId="71" borderId="62" xfId="20" applyFont="1" applyFill="1" applyBorder="1" applyAlignment="1">
      <alignment horizontal="left" vertical="center" wrapText="1"/>
    </xf>
    <xf numFmtId="0" fontId="91" fillId="76" borderId="62" xfId="20" applyFont="1" applyFill="1" applyBorder="1" applyAlignment="1">
      <alignment horizontal="left" vertical="center" wrapText="1"/>
    </xf>
    <xf numFmtId="0" fontId="91" fillId="57" borderId="78" xfId="20" applyFont="1" applyFill="1" applyBorder="1" applyAlignment="1">
      <alignment horizontal="left" vertical="center"/>
    </xf>
    <xf numFmtId="0" fontId="91" fillId="57" borderId="62" xfId="20" applyFont="1" applyFill="1" applyBorder="1" applyAlignment="1">
      <alignment horizontal="left" vertical="center"/>
    </xf>
    <xf numFmtId="0" fontId="91" fillId="71" borderId="67" xfId="20" applyFont="1" applyFill="1" applyBorder="1" applyAlignment="1">
      <alignment horizontal="left" vertical="center" wrapText="1"/>
    </xf>
    <xf numFmtId="0" fontId="91" fillId="73" borderId="67" xfId="20" applyFont="1" applyFill="1" applyBorder="1" applyAlignment="1">
      <alignment horizontal="left" vertical="center" wrapText="1"/>
    </xf>
    <xf numFmtId="0" fontId="91" fillId="74" borderId="67" xfId="20" applyFont="1" applyFill="1" applyBorder="1" applyAlignment="1">
      <alignment horizontal="left" vertical="center" wrapText="1"/>
    </xf>
    <xf numFmtId="0" fontId="91" fillId="75" borderId="67" xfId="20" applyFont="1" applyFill="1" applyBorder="1" applyAlignment="1">
      <alignment horizontal="left" vertical="center"/>
    </xf>
    <xf numFmtId="0" fontId="91" fillId="75" borderId="67" xfId="20" applyFont="1" applyFill="1" applyBorder="1" applyAlignment="1">
      <alignment horizontal="left" vertical="center" wrapText="1"/>
    </xf>
    <xf numFmtId="0" fontId="91" fillId="75" borderId="67" xfId="20" applyFont="1" applyFill="1" applyBorder="1" applyAlignment="1">
      <alignment horizontal="left" vertical="center" wrapText="1"/>
    </xf>
    <xf numFmtId="0" fontId="91" fillId="74" borderId="67" xfId="20" applyFont="1" applyFill="1" applyBorder="1" applyAlignment="1">
      <alignment horizontal="left" vertical="center"/>
    </xf>
    <xf numFmtId="0" fontId="91" fillId="85" borderId="67" xfId="20" applyFont="1" applyFill="1" applyBorder="1" applyAlignment="1">
      <alignment horizontal="left" vertical="center" wrapText="1"/>
    </xf>
    <xf numFmtId="0" fontId="91" fillId="82" borderId="62" xfId="20" applyFont="1" applyFill="1" applyBorder="1" applyAlignment="1">
      <alignment horizontal="left" vertical="center" wrapText="1"/>
    </xf>
    <xf numFmtId="0" fontId="91" fillId="93" borderId="62" xfId="20" applyFont="1" applyFill="1" applyBorder="1" applyAlignment="1">
      <alignment horizontal="left" vertical="center" wrapText="1"/>
    </xf>
    <xf numFmtId="0" fontId="91" fillId="85" borderId="62" xfId="20" applyFont="1" applyFill="1" applyBorder="1" applyAlignment="1">
      <alignment horizontal="left" vertical="center" wrapText="1"/>
    </xf>
    <xf numFmtId="0" fontId="91" fillId="76" borderId="67" xfId="20" applyFont="1" applyFill="1" applyBorder="1" applyAlignment="1">
      <alignment horizontal="left" vertical="center" wrapText="1"/>
    </xf>
    <xf numFmtId="0" fontId="91" fillId="84" borderId="67" xfId="20" applyFont="1" applyFill="1" applyBorder="1" applyAlignment="1">
      <alignment horizontal="left" vertical="center" wrapText="1"/>
    </xf>
    <xf numFmtId="0" fontId="91" fillId="84" borderId="103" xfId="20" applyFont="1" applyFill="1" applyBorder="1" applyAlignment="1">
      <alignment horizontal="left" vertical="center" wrapText="1"/>
    </xf>
    <xf numFmtId="0" fontId="91" fillId="84" borderId="74" xfId="20" applyFont="1" applyFill="1" applyBorder="1" applyAlignment="1">
      <alignment horizontal="left" vertical="center" wrapText="1"/>
    </xf>
    <xf numFmtId="0" fontId="68" fillId="53" borderId="63" xfId="20" applyFont="1" applyBorder="1" applyAlignment="1">
      <alignment horizontal="center" vertical="center" wrapText="1"/>
    </xf>
    <xf numFmtId="0" fontId="69" fillId="53" borderId="63" xfId="20" applyFont="1" applyBorder="1" applyAlignment="1">
      <alignment horizontal="center" vertical="center" wrapText="1"/>
    </xf>
    <xf numFmtId="0" fontId="68" fillId="53" borderId="56" xfId="20" applyFont="1" applyBorder="1" applyAlignment="1">
      <alignment horizontal="center" vertical="center" wrapText="1"/>
    </xf>
    <xf numFmtId="0" fontId="80" fillId="53" borderId="62" xfId="20" applyFont="1" applyBorder="1" applyAlignment="1">
      <alignment horizontal="center" vertical="center" wrapText="1"/>
    </xf>
    <xf numFmtId="0" fontId="81" fillId="53" borderId="62" xfId="20" applyFont="1" applyBorder="1" applyAlignment="1">
      <alignment horizontal="center" vertical="center" wrapText="1"/>
    </xf>
    <xf numFmtId="0" fontId="80" fillId="53" borderId="64" xfId="20" applyFont="1" applyBorder="1" applyAlignment="1">
      <alignment horizontal="center" vertical="center" wrapText="1"/>
    </xf>
    <xf numFmtId="0" fontId="64" fillId="58" borderId="57" xfId="20" applyFont="1" applyFill="1" applyBorder="1" applyAlignment="1">
      <alignment horizontal="center" vertical="center" wrapText="1"/>
    </xf>
    <xf numFmtId="0" fontId="93" fillId="58" borderId="58" xfId="20" applyFont="1" applyFill="1" applyBorder="1" applyAlignment="1">
      <alignment horizontal="center" vertical="center" wrapText="1"/>
    </xf>
    <xf numFmtId="0" fontId="91" fillId="58" borderId="78"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103" borderId="67" xfId="20" applyFont="1" applyFill="1" applyBorder="1" applyAlignment="1">
      <alignment horizontal="center" vertical="center" wrapText="1"/>
    </xf>
    <xf numFmtId="0" fontId="91" fillId="58" borderId="67" xfId="20" applyFont="1" applyFill="1" applyBorder="1" applyAlignment="1">
      <alignment horizontal="center" vertical="center" wrapText="1"/>
    </xf>
    <xf numFmtId="0" fontId="93" fillId="98" borderId="57" xfId="20" applyFont="1" applyFill="1" applyBorder="1" applyAlignment="1">
      <alignment horizontal="center" vertical="center" wrapText="1"/>
    </xf>
    <xf numFmtId="0" fontId="91" fillId="98" borderId="78"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0" borderId="67" xfId="20" applyFont="1" applyFill="1" applyBorder="1" applyAlignment="1">
      <alignment horizontal="center" vertical="center" wrapText="1"/>
    </xf>
    <xf numFmtId="0" fontId="91" fillId="98" borderId="67" xfId="20" applyFont="1" applyFill="1" applyBorder="1" applyAlignment="1">
      <alignment horizontal="center" vertical="center" wrapText="1"/>
    </xf>
    <xf numFmtId="0" fontId="106" fillId="57" borderId="62" xfId="20" applyFont="1" applyFill="1" applyBorder="1" applyAlignment="1">
      <alignment horizontal="center" vertical="center" wrapText="1"/>
    </xf>
    <xf numFmtId="0" fontId="73" fillId="70" borderId="57" xfId="20" applyFont="1" applyFill="1" applyBorder="1" applyAlignment="1">
      <alignment horizontal="center" vertical="center"/>
    </xf>
    <xf numFmtId="0" fontId="107" fillId="100" borderId="62" xfId="20" applyFont="1" applyFill="1" applyBorder="1" applyAlignment="1">
      <alignment horizontal="center" vertical="center" wrapText="1"/>
    </xf>
    <xf numFmtId="0" fontId="108" fillId="57" borderId="53" xfId="20" applyFont="1" applyFill="1" applyAlignment="1">
      <alignment horizontal="center" vertical="center" wrapText="1"/>
    </xf>
    <xf numFmtId="0" fontId="111" fillId="57" borderId="53" xfId="20" applyFont="1" applyFill="1" applyAlignment="1">
      <alignment horizontal="center" vertical="center" wrapText="1"/>
    </xf>
    <xf numFmtId="0" fontId="109" fillId="57" borderId="53" xfId="20" applyFont="1" applyFill="1" applyAlignment="1">
      <alignment vertical="top" wrapText="1"/>
    </xf>
    <xf numFmtId="0" fontId="112" fillId="57" borderId="53" xfId="20" applyFont="1" applyFill="1" applyAlignment="1">
      <alignment horizontal="center" vertical="center"/>
    </xf>
    <xf numFmtId="0" fontId="73" fillId="69" borderId="92" xfId="20" applyFont="1" applyFill="1" applyBorder="1" applyAlignment="1">
      <alignment horizontal="center" vertical="center" wrapText="1"/>
    </xf>
    <xf numFmtId="0" fontId="75" fillId="69" borderId="103" xfId="20" applyFont="1" applyFill="1" applyBorder="1" applyAlignment="1">
      <alignment horizontal="center" vertical="center" wrapText="1"/>
    </xf>
    <xf numFmtId="0" fontId="75" fillId="69" borderId="74" xfId="20" applyFont="1" applyFill="1" applyBorder="1" applyAlignment="1">
      <alignment horizontal="center" vertical="center" wrapText="1"/>
    </xf>
    <xf numFmtId="0" fontId="75" fillId="83" borderId="7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65" fillId="53" borderId="62" xfId="20" applyFont="1" applyBorder="1"/>
    <xf numFmtId="0" fontId="75" fillId="53" borderId="62" xfId="20" applyFont="1" applyBorder="1"/>
    <xf numFmtId="0" fontId="75" fillId="69" borderId="74" xfId="20" applyFont="1" applyFill="1" applyBorder="1" applyAlignment="1">
      <alignment horizontal="center" vertical="center" wrapText="1"/>
    </xf>
    <xf numFmtId="0" fontId="75" fillId="69" borderId="90" xfId="20" applyFont="1" applyFill="1" applyBorder="1" applyAlignment="1">
      <alignment horizontal="center" vertical="center" wrapText="1"/>
    </xf>
    <xf numFmtId="0" fontId="75" fillId="76" borderId="74" xfId="20" applyFont="1" applyFill="1" applyBorder="1" applyAlignment="1">
      <alignment horizontal="center" vertical="center" wrapText="1"/>
    </xf>
    <xf numFmtId="0" fontId="75" fillId="82" borderId="74" xfId="20" applyFont="1" applyFill="1" applyBorder="1" applyAlignment="1">
      <alignment horizontal="center" vertical="center" wrapText="1"/>
    </xf>
    <xf numFmtId="0" fontId="75" fillId="53" borderId="62" xfId="20" applyFont="1" applyBorder="1" applyAlignment="1">
      <alignment vertical="center" wrapText="1"/>
    </xf>
    <xf numFmtId="0" fontId="91" fillId="53" borderId="62" xfId="20" applyFont="1" applyBorder="1" applyAlignment="1">
      <alignment vertical="center" wrapText="1"/>
    </xf>
    <xf numFmtId="0" fontId="91" fillId="92" borderId="62" xfId="20" applyFont="1" applyFill="1" applyBorder="1" applyAlignment="1">
      <alignment vertical="center" wrapText="1"/>
    </xf>
    <xf numFmtId="0" fontId="91" fillId="53" borderId="62" xfId="20" applyFont="1" applyBorder="1" applyAlignment="1">
      <alignment horizontal="left" vertical="center" wrapText="1"/>
    </xf>
    <xf numFmtId="0" fontId="100" fillId="53" borderId="62" xfId="20" applyFont="1" applyBorder="1" applyAlignment="1">
      <alignment vertical="center" wrapText="1"/>
    </xf>
    <xf numFmtId="0" fontId="75" fillId="69" borderId="74" xfId="20" applyFont="1" applyFill="1" applyBorder="1" applyAlignment="1">
      <alignment horizontal="left" vertical="center" wrapText="1"/>
    </xf>
    <xf numFmtId="0" fontId="75" fillId="76" borderId="91" xfId="20" applyFont="1" applyFill="1" applyBorder="1" applyAlignment="1">
      <alignment horizontal="left" vertical="center" wrapText="1"/>
    </xf>
    <xf numFmtId="0" fontId="75" fillId="82" borderId="62" xfId="20" applyFont="1" applyFill="1" applyBorder="1" applyAlignment="1">
      <alignment horizontal="left" vertical="center" wrapText="1"/>
    </xf>
    <xf numFmtId="0" fontId="75" fillId="82" borderId="103" xfId="20" applyFont="1" applyFill="1" applyBorder="1" applyAlignment="1">
      <alignment horizontal="left" vertical="center" wrapText="1"/>
    </xf>
    <xf numFmtId="0" fontId="91" fillId="69" borderId="74" xfId="20" applyFont="1" applyFill="1" applyBorder="1" applyAlignment="1">
      <alignment horizontal="left" vertical="center" wrapText="1"/>
    </xf>
    <xf numFmtId="0" fontId="113" fillId="69" borderId="103" xfId="20" applyFont="1" applyFill="1" applyBorder="1" applyAlignment="1">
      <alignment horizontal="left" vertical="center" wrapText="1"/>
    </xf>
    <xf numFmtId="0" fontId="73" fillId="58" borderId="54" xfId="20" applyFont="1" applyFill="1" applyBorder="1" applyAlignment="1">
      <alignment vertical="center" wrapText="1"/>
    </xf>
    <xf numFmtId="0" fontId="73" fillId="58" borderId="75" xfId="20" applyFont="1" applyFill="1" applyBorder="1" applyAlignment="1">
      <alignment vertical="center" wrapText="1"/>
    </xf>
    <xf numFmtId="0" fontId="73" fillId="58" borderId="59" xfId="20" applyFont="1" applyFill="1" applyBorder="1" applyAlignment="1">
      <alignment vertical="center" wrapText="1"/>
    </xf>
    <xf numFmtId="0" fontId="73" fillId="58" borderId="53" xfId="20" applyFont="1" applyFill="1" applyAlignment="1">
      <alignment vertical="center" wrapText="1"/>
    </xf>
    <xf numFmtId="0" fontId="73" fillId="58" borderId="96" xfId="20" applyFont="1" applyFill="1" applyBorder="1" applyAlignment="1">
      <alignment vertical="center" wrapText="1"/>
    </xf>
    <xf numFmtId="0" fontId="65" fillId="53" borderId="78" xfId="20" applyFont="1" applyBorder="1"/>
    <xf numFmtId="0" fontId="91" fillId="69" borderId="90" xfId="20" applyFont="1" applyFill="1" applyBorder="1" applyAlignment="1">
      <alignment horizontal="left" vertical="center" wrapText="1"/>
    </xf>
    <xf numFmtId="0" fontId="91" fillId="76" borderId="74" xfId="20" applyFont="1" applyFill="1" applyBorder="1" applyAlignment="1">
      <alignment horizontal="left" vertical="center" wrapText="1"/>
    </xf>
    <xf numFmtId="0" fontId="75" fillId="76" borderId="74" xfId="20" applyFont="1" applyFill="1" applyBorder="1" applyAlignment="1">
      <alignment horizontal="left" vertical="center" wrapText="1"/>
    </xf>
    <xf numFmtId="0" fontId="95" fillId="53" borderId="74" xfId="20" applyFont="1" applyBorder="1" applyAlignment="1">
      <alignment vertical="center" wrapText="1"/>
    </xf>
    <xf numFmtId="0" fontId="94" fillId="53" borderId="105" xfId="20" applyFont="1" applyBorder="1" applyAlignment="1">
      <alignment vertical="center" wrapText="1"/>
    </xf>
    <xf numFmtId="0" fontId="95" fillId="53" borderId="103" xfId="20" applyFont="1" applyBorder="1" applyAlignment="1">
      <alignment vertical="center" wrapText="1"/>
    </xf>
    <xf numFmtId="0" fontId="95" fillId="77" borderId="74" xfId="20" applyFont="1" applyFill="1" applyBorder="1" applyAlignment="1">
      <alignment vertical="center" wrapText="1"/>
    </xf>
    <xf numFmtId="0" fontId="95" fillId="53" borderId="91" xfId="20" applyFont="1" applyBorder="1" applyAlignment="1">
      <alignment vertical="center" wrapText="1"/>
    </xf>
    <xf numFmtId="0" fontId="95" fillId="81" borderId="74" xfId="20" applyFont="1" applyFill="1" applyBorder="1" applyAlignment="1">
      <alignment vertical="center" wrapText="1"/>
    </xf>
    <xf numFmtId="0" fontId="91" fillId="104" borderId="62" xfId="20" applyFont="1" applyFill="1" applyBorder="1" applyAlignment="1">
      <alignment horizontal="left" vertical="center" wrapText="1"/>
    </xf>
    <xf numFmtId="0" fontId="91" fillId="105" borderId="62" xfId="20" applyFont="1" applyFill="1" applyBorder="1" applyAlignment="1">
      <alignment horizontal="left" vertical="center" wrapText="1"/>
    </xf>
    <xf numFmtId="0" fontId="87" fillId="57" borderId="53" xfId="20" applyFont="1" applyFill="1" applyAlignment="1">
      <alignment horizontal="center" vertical="center"/>
    </xf>
    <xf numFmtId="0" fontId="74" fillId="57" borderId="53" xfId="20" applyFont="1" applyFill="1" applyAlignment="1">
      <alignment horizontal="center" vertical="center"/>
    </xf>
    <xf numFmtId="0" fontId="83" fillId="58" borderId="54" xfId="20" applyFont="1" applyFill="1" applyBorder="1" applyAlignment="1">
      <alignment horizontal="left" vertical="center" wrapText="1"/>
    </xf>
    <xf numFmtId="0" fontId="83" fillId="58" borderId="75" xfId="20" applyFont="1" applyFill="1" applyBorder="1" applyAlignment="1">
      <alignment horizontal="left" vertical="center" wrapText="1"/>
    </xf>
    <xf numFmtId="0" fontId="83" fillId="58" borderId="60" xfId="20" applyFont="1" applyFill="1" applyBorder="1" applyAlignment="1">
      <alignment horizontal="left" vertical="center" wrapText="1"/>
    </xf>
    <xf numFmtId="0" fontId="73" fillId="58" borderId="54" xfId="20" applyFont="1" applyFill="1" applyBorder="1" applyAlignment="1">
      <alignment horizontal="left" vertical="center" wrapText="1"/>
    </xf>
    <xf numFmtId="0" fontId="73" fillId="58" borderId="75" xfId="20" applyFont="1" applyFill="1" applyBorder="1" applyAlignment="1">
      <alignment horizontal="left" vertical="center" wrapText="1"/>
    </xf>
    <xf numFmtId="0" fontId="73" fillId="58" borderId="59" xfId="20" applyFont="1" applyFill="1" applyBorder="1" applyAlignment="1">
      <alignment horizontal="left" vertical="center" wrapText="1"/>
    </xf>
    <xf numFmtId="0" fontId="71" fillId="58" borderId="55" xfId="20" applyFont="1" applyFill="1" applyBorder="1" applyAlignment="1">
      <alignment horizontal="right" vertical="center" wrapText="1"/>
    </xf>
    <xf numFmtId="0" fontId="71" fillId="58" borderId="56" xfId="20" applyFont="1" applyFill="1" applyBorder="1" applyAlignment="1">
      <alignment horizontal="right" vertical="center" wrapText="1"/>
    </xf>
    <xf numFmtId="0" fontId="71" fillId="58" borderId="57" xfId="20" applyFont="1" applyFill="1" applyBorder="1" applyAlignment="1">
      <alignment horizontal="right" vertical="center" wrapText="1"/>
    </xf>
    <xf numFmtId="0" fontId="71" fillId="58" borderId="58" xfId="20" applyFont="1" applyFill="1" applyBorder="1" applyAlignment="1">
      <alignment horizontal="right" vertical="center" wrapText="1"/>
    </xf>
    <xf numFmtId="0" fontId="90" fillId="58" borderId="55" xfId="20" applyFont="1" applyFill="1" applyBorder="1" applyAlignment="1">
      <alignment horizontal="center" vertical="center" wrapText="1"/>
    </xf>
    <xf numFmtId="0" fontId="90" fillId="58" borderId="56" xfId="20" applyFont="1" applyFill="1" applyBorder="1" applyAlignment="1">
      <alignment horizontal="center" vertical="center" wrapText="1"/>
    </xf>
    <xf numFmtId="0" fontId="90" fillId="98" borderId="55" xfId="20" applyFont="1" applyFill="1" applyBorder="1" applyAlignment="1">
      <alignment horizontal="center" vertical="center" wrapText="1"/>
    </xf>
    <xf numFmtId="0" fontId="90" fillId="98" borderId="56" xfId="20" applyFont="1" applyFill="1" applyBorder="1" applyAlignment="1">
      <alignment horizontal="center" vertical="center" wrapText="1"/>
    </xf>
    <xf numFmtId="0" fontId="90" fillId="70" borderId="55" xfId="20" applyFont="1" applyFill="1" applyBorder="1" applyAlignment="1">
      <alignment horizontal="center" vertical="center" wrapText="1"/>
    </xf>
    <xf numFmtId="0" fontId="90" fillId="70" borderId="56" xfId="20" applyFont="1" applyFill="1" applyBorder="1" applyAlignment="1">
      <alignment horizontal="center" vertical="center" wrapText="1"/>
    </xf>
    <xf numFmtId="0" fontId="59" fillId="58" borderId="99" xfId="20" applyFont="1" applyFill="1" applyBorder="1" applyAlignment="1">
      <alignment horizontal="center" vertical="center" wrapText="1"/>
    </xf>
    <xf numFmtId="0" fontId="59" fillId="58" borderId="53" xfId="20" applyFont="1" applyFill="1" applyAlignment="1">
      <alignment horizontal="center" vertical="center" wrapText="1"/>
    </xf>
    <xf numFmtId="0" fontId="73" fillId="69" borderId="103" xfId="20" applyFont="1" applyFill="1" applyBorder="1" applyAlignment="1">
      <alignment horizontal="center" vertical="center" wrapText="1"/>
    </xf>
    <xf numFmtId="0" fontId="73" fillId="69" borderId="84" xfId="20" applyFont="1" applyFill="1" applyBorder="1" applyAlignment="1">
      <alignment horizontal="center" vertical="center" wrapText="1"/>
    </xf>
    <xf numFmtId="0" fontId="73" fillId="58" borderId="53" xfId="20" applyFont="1" applyFill="1" applyAlignment="1">
      <alignment horizontal="left" vertical="center" wrapText="1"/>
    </xf>
    <xf numFmtId="0" fontId="73" fillId="58" borderId="96" xfId="20" applyFont="1" applyFill="1" applyBorder="1" applyAlignment="1">
      <alignment horizontal="left" vertical="center" wrapText="1"/>
    </xf>
    <xf numFmtId="0" fontId="59" fillId="58" borderId="79" xfId="20" applyFont="1" applyFill="1" applyBorder="1" applyAlignment="1">
      <alignment horizontal="center" vertical="center" wrapText="1"/>
    </xf>
    <xf numFmtId="0" fontId="59" fillId="58" borderId="80" xfId="20" applyFont="1" applyFill="1" applyBorder="1" applyAlignment="1">
      <alignment horizontal="center" vertical="center" wrapText="1"/>
    </xf>
    <xf numFmtId="0" fontId="59" fillId="58" borderId="86" xfId="20" applyFont="1" applyFill="1" applyBorder="1" applyAlignment="1">
      <alignment horizontal="center" vertical="center" wrapText="1"/>
    </xf>
    <xf numFmtId="0" fontId="59" fillId="58" borderId="10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73" fillId="58" borderId="83" xfId="20" applyFont="1" applyFill="1" applyBorder="1" applyAlignment="1">
      <alignment horizontal="left" vertical="center" wrapText="1"/>
    </xf>
    <xf numFmtId="0" fontId="73" fillId="58" borderId="84" xfId="20" applyFont="1" applyFill="1" applyBorder="1" applyAlignment="1">
      <alignment horizontal="left" vertical="center" wrapText="1"/>
    </xf>
    <xf numFmtId="0" fontId="73" fillId="58" borderId="89" xfId="20" applyFont="1" applyFill="1" applyBorder="1" applyAlignment="1">
      <alignment horizontal="left" vertical="center" wrapText="1"/>
    </xf>
    <xf numFmtId="0" fontId="59" fillId="58" borderId="81" xfId="20" applyFont="1" applyFill="1" applyBorder="1" applyAlignment="1">
      <alignment horizontal="center" vertical="center" wrapText="1"/>
    </xf>
    <xf numFmtId="0" fontId="67" fillId="57" borderId="53" xfId="20" applyFont="1" applyFill="1" applyAlignment="1">
      <alignment horizontal="center"/>
    </xf>
    <xf numFmtId="0" fontId="66" fillId="57" borderId="53" xfId="20" applyFont="1" applyFill="1" applyAlignment="1">
      <alignment horizontal="center" vertical="center"/>
    </xf>
    <xf numFmtId="0" fontId="66" fillId="57" borderId="59" xfId="20" applyFont="1" applyFill="1" applyBorder="1" applyAlignment="1">
      <alignment horizontal="center"/>
    </xf>
    <xf numFmtId="0" fontId="77" fillId="58" borderId="79" xfId="20" applyFont="1" applyFill="1" applyBorder="1" applyAlignment="1">
      <alignment horizontal="left" vertical="center" wrapText="1"/>
    </xf>
    <xf numFmtId="0" fontId="77" fillId="58" borderId="80" xfId="20" applyFont="1" applyFill="1" applyBorder="1" applyAlignment="1">
      <alignment horizontal="left" vertical="center" wrapText="1"/>
    </xf>
    <xf numFmtId="0" fontId="77" fillId="58" borderId="104" xfId="20" applyFont="1" applyFill="1" applyBorder="1" applyAlignment="1">
      <alignment horizontal="left" vertical="center" wrapText="1"/>
    </xf>
    <xf numFmtId="0" fontId="64" fillId="84" borderId="61" xfId="20" applyFont="1" applyFill="1" applyBorder="1" applyAlignment="1">
      <alignment horizontal="center" vertical="center" wrapText="1"/>
    </xf>
    <xf numFmtId="0" fontId="64" fillId="84" borderId="64" xfId="20" applyFont="1" applyFill="1" applyBorder="1" applyAlignment="1">
      <alignment horizontal="center" vertical="center" wrapText="1"/>
    </xf>
    <xf numFmtId="0" fontId="82" fillId="58" borderId="93" xfId="20" applyFont="1" applyFill="1" applyBorder="1" applyAlignment="1">
      <alignment horizontal="center" vertical="center" wrapText="1"/>
    </xf>
    <xf numFmtId="0" fontId="78" fillId="58" borderId="94" xfId="20" applyFont="1" applyFill="1" applyBorder="1" applyAlignment="1">
      <alignment horizontal="center" vertical="center" wrapText="1"/>
    </xf>
    <xf numFmtId="0" fontId="78" fillId="58" borderId="95" xfId="20" applyFont="1" applyFill="1" applyBorder="1" applyAlignment="1">
      <alignment horizontal="center" vertical="center" wrapText="1"/>
    </xf>
    <xf numFmtId="0" fontId="78" fillId="58" borderId="96" xfId="20" applyFont="1" applyFill="1" applyBorder="1" applyAlignment="1">
      <alignment horizontal="center" vertical="center" wrapText="1"/>
    </xf>
    <xf numFmtId="0" fontId="59" fillId="58" borderId="55" xfId="20" applyFont="1" applyFill="1" applyBorder="1" applyAlignment="1">
      <alignment horizontal="center" vertical="center" wrapText="1"/>
    </xf>
    <xf numFmtId="0" fontId="59" fillId="58" borderId="56" xfId="20" applyFont="1" applyFill="1" applyBorder="1" applyAlignment="1">
      <alignment horizontal="center" vertical="center" wrapText="1"/>
    </xf>
    <xf numFmtId="0" fontId="59" fillId="98" borderId="55" xfId="20" applyFont="1" applyFill="1" applyBorder="1" applyAlignment="1">
      <alignment horizontal="center" vertical="center" wrapText="1"/>
    </xf>
    <xf numFmtId="0" fontId="59" fillId="98" borderId="56" xfId="20" applyFont="1" applyFill="1" applyBorder="1" applyAlignment="1">
      <alignment horizontal="center" vertical="center" wrapText="1"/>
    </xf>
    <xf numFmtId="0" fontId="59" fillId="70" borderId="55" xfId="20" applyFont="1" applyFill="1" applyBorder="1" applyAlignment="1">
      <alignment horizontal="center" vertical="center" wrapText="1"/>
    </xf>
    <xf numFmtId="0" fontId="59" fillId="70" borderId="56" xfId="20" applyFont="1" applyFill="1" applyBorder="1" applyAlignment="1">
      <alignment horizontal="center" vertical="center" wrapText="1"/>
    </xf>
    <xf numFmtId="0" fontId="64" fillId="69" borderId="55" xfId="20" applyFont="1" applyFill="1" applyBorder="1" applyAlignment="1">
      <alignment horizontal="center" vertical="center" wrapText="1"/>
    </xf>
    <xf numFmtId="0" fontId="64" fillId="69" borderId="63" xfId="20" applyFont="1" applyFill="1" applyBorder="1" applyAlignment="1">
      <alignment horizontal="center" vertical="center" wrapText="1"/>
    </xf>
    <xf numFmtId="0" fontId="64" fillId="69" borderId="90" xfId="20" applyFont="1" applyFill="1" applyBorder="1" applyAlignment="1">
      <alignment horizontal="center" vertical="center" wrapText="1"/>
    </xf>
    <xf numFmtId="0" fontId="77" fillId="58" borderId="81" xfId="20" applyFont="1" applyFill="1" applyBorder="1" applyAlignment="1">
      <alignment horizontal="left" vertical="center" wrapText="1"/>
    </xf>
    <xf numFmtId="0" fontId="77" fillId="58" borderId="62" xfId="20" applyFont="1" applyFill="1" applyBorder="1" applyAlignment="1">
      <alignment horizontal="left" vertical="center" wrapText="1"/>
    </xf>
    <xf numFmtId="0" fontId="77" fillId="58" borderId="54" xfId="20" applyFont="1" applyFill="1" applyBorder="1" applyAlignment="1">
      <alignment horizontal="left" vertical="center" wrapText="1"/>
    </xf>
    <xf numFmtId="0" fontId="77" fillId="58" borderId="75" xfId="20" applyFont="1" applyFill="1" applyBorder="1" applyAlignment="1">
      <alignment horizontal="left" vertical="center" wrapText="1"/>
    </xf>
    <xf numFmtId="0" fontId="77" fillId="58" borderId="60" xfId="20" applyFont="1" applyFill="1" applyBorder="1" applyAlignment="1">
      <alignment horizontal="left" vertical="center" wrapText="1"/>
    </xf>
    <xf numFmtId="0" fontId="110" fillId="57" borderId="53" xfId="20" applyFont="1" applyFill="1" applyAlignment="1">
      <alignment horizontal="center" vertical="center"/>
    </xf>
    <xf numFmtId="0" fontId="82" fillId="58" borderId="93" xfId="20" applyFont="1" applyFill="1" applyBorder="1" applyAlignment="1">
      <alignment horizontal="center" vertical="center" wrapText="1"/>
    </xf>
    <xf numFmtId="0" fontId="82" fillId="58" borderId="101" xfId="20" applyFont="1" applyFill="1" applyBorder="1" applyAlignment="1">
      <alignment horizontal="center" vertical="center" wrapText="1"/>
    </xf>
    <xf numFmtId="0" fontId="64" fillId="58" borderId="61" xfId="20" applyFont="1" applyFill="1" applyBorder="1" applyAlignment="1">
      <alignment horizontal="center" vertical="center"/>
    </xf>
    <xf numFmtId="0" fontId="64" fillId="58" borderId="62" xfId="20" applyFont="1" applyFill="1" applyBorder="1" applyAlignment="1">
      <alignment horizontal="center" vertical="center"/>
    </xf>
    <xf numFmtId="0" fontId="86" fillId="88" borderId="53" xfId="20" applyFont="1" applyFill="1" applyAlignment="1">
      <alignment horizontal="left" vertical="center"/>
    </xf>
    <xf numFmtId="0" fontId="86" fillId="89" borderId="53" xfId="20" applyFont="1" applyFill="1" applyAlignment="1">
      <alignment horizontal="left" vertical="center"/>
    </xf>
    <xf numFmtId="0" fontId="86" fillId="86" borderId="53" xfId="20" applyFont="1" applyFill="1" applyAlignment="1">
      <alignment horizontal="left" vertical="center"/>
    </xf>
    <xf numFmtId="0" fontId="86" fillId="87" borderId="53" xfId="20" applyFont="1" applyFill="1" applyAlignment="1">
      <alignment horizontal="left" vertical="center"/>
    </xf>
    <xf numFmtId="0" fontId="86" fillId="62" borderId="53" xfId="20" applyFont="1" applyFill="1" applyAlignment="1">
      <alignment horizontal="left" vertical="center"/>
    </xf>
    <xf numFmtId="0" fontId="114" fillId="53" borderId="53" xfId="20" applyNumberFormat="1" applyFont="1" applyFill="1" applyBorder="1"/>
    <xf numFmtId="0" fontId="115" fillId="53" borderId="53" xfId="20" applyNumberFormat="1" applyFont="1" applyFill="1" applyBorder="1"/>
    <xf numFmtId="0" fontId="116" fillId="53" borderId="53" xfId="20" applyNumberFormat="1" applyFont="1" applyFill="1" applyBorder="1"/>
    <xf numFmtId="0" fontId="114" fillId="106" borderId="53" xfId="20" applyNumberFormat="1" applyFont="1" applyFill="1" applyBorder="1"/>
    <xf numFmtId="0" fontId="117" fillId="106" borderId="53" xfId="20" applyNumberFormat="1" applyFont="1" applyFill="1" applyBorder="1"/>
    <xf numFmtId="0" fontId="117" fillId="106" borderId="53" xfId="20" applyNumberFormat="1" applyFont="1" applyFill="1" applyBorder="1" applyAlignment="1">
      <alignment wrapText="1"/>
    </xf>
    <xf numFmtId="0" fontId="117" fillId="106" borderId="53" xfId="20" applyNumberFormat="1" applyFont="1" applyFill="1" applyBorder="1" applyAlignment="1">
      <alignment vertical="center" wrapText="1"/>
    </xf>
    <xf numFmtId="165" fontId="114" fillId="53" borderId="53" xfId="20" applyNumberFormat="1" applyFont="1" applyFill="1" applyBorder="1"/>
    <xf numFmtId="0" fontId="114" fillId="53" borderId="53" xfId="20" applyNumberFormat="1" applyFont="1" applyFill="1" applyBorder="1" applyAlignment="1">
      <alignment horizontal="right"/>
    </xf>
    <xf numFmtId="165" fontId="114" fillId="53" borderId="53" xfId="20" applyNumberFormat="1" applyFont="1" applyFill="1" applyBorder="1" applyAlignment="1">
      <alignment horizontal="right"/>
    </xf>
    <xf numFmtId="0" fontId="114" fillId="107" borderId="53" xfId="20" applyNumberFormat="1" applyFont="1" applyFill="1" applyBorder="1"/>
    <xf numFmtId="0" fontId="114" fillId="107" borderId="53" xfId="20" applyNumberFormat="1" applyFont="1" applyFill="1" applyBorder="1" applyAlignment="1">
      <alignment horizontal="right"/>
    </xf>
    <xf numFmtId="165" fontId="114" fillId="107" borderId="53" xfId="20" applyNumberFormat="1" applyFont="1" applyFill="1" applyBorder="1" applyAlignment="1">
      <alignment horizontal="right"/>
    </xf>
    <xf numFmtId="0" fontId="118" fillId="107" borderId="53" xfId="20" applyNumberFormat="1" applyFont="1" applyFill="1" applyBorder="1"/>
    <xf numFmtId="0" fontId="118" fillId="107" borderId="53" xfId="20" applyNumberFormat="1" applyFont="1" applyFill="1" applyBorder="1" applyAlignment="1">
      <alignment horizontal="right"/>
    </xf>
    <xf numFmtId="165" fontId="118" fillId="107" borderId="53" xfId="20" applyNumberFormat="1" applyFont="1" applyFill="1" applyBorder="1" applyAlignment="1">
      <alignment horizontal="right"/>
    </xf>
    <xf numFmtId="0" fontId="114" fillId="108" borderId="53" xfId="20" applyNumberFormat="1" applyFont="1" applyFill="1" applyBorder="1"/>
    <xf numFmtId="0" fontId="114" fillId="108" borderId="53" xfId="20" applyNumberFormat="1" applyFont="1" applyFill="1" applyBorder="1" applyAlignment="1">
      <alignment horizontal="right"/>
    </xf>
    <xf numFmtId="165" fontId="114" fillId="108" borderId="53" xfId="20" applyNumberFormat="1" applyFont="1" applyFill="1" applyBorder="1" applyAlignment="1">
      <alignment horizontal="right"/>
    </xf>
    <xf numFmtId="0" fontId="114" fillId="108" borderId="53" xfId="20" applyNumberFormat="1" applyFont="1" applyFill="1" applyBorder="1" applyAlignment="1">
      <alignment wrapText="1"/>
    </xf>
    <xf numFmtId="0" fontId="114" fillId="53" borderId="53" xfId="20" applyNumberFormat="1" applyFont="1" applyFill="1" applyBorder="1" applyAlignment="1">
      <alignment wrapText="1"/>
    </xf>
    <xf numFmtId="165" fontId="114" fillId="108" borderId="53" xfId="20" applyNumberFormat="1" applyFont="1" applyFill="1" applyBorder="1"/>
    <xf numFmtId="166" fontId="114" fillId="53" borderId="53" xfId="20" applyNumberFormat="1" applyFont="1" applyFill="1" applyBorder="1"/>
    <xf numFmtId="166" fontId="114" fillId="108" borderId="53" xfId="20" applyNumberFormat="1" applyFont="1" applyFill="1" applyBorder="1"/>
    <xf numFmtId="0" fontId="119" fillId="53" borderId="53" xfId="20" applyNumberFormat="1" applyFont="1" applyFill="1" applyBorder="1"/>
    <xf numFmtId="0" fontId="120" fillId="109" borderId="106" xfId="40"/>
    <xf numFmtId="0" fontId="120" fillId="113" borderId="106" xfId="40" applyFill="1"/>
    <xf numFmtId="0" fontId="129" fillId="113" borderId="106" xfId="40" applyFont="1" applyFill="1"/>
    <xf numFmtId="0" fontId="129" fillId="109" borderId="122" xfId="40" applyFont="1" applyBorder="1" applyAlignment="1">
      <alignment horizontal="center" vertical="center"/>
    </xf>
    <xf numFmtId="0" fontId="120" fillId="116" borderId="108" xfId="40" applyFill="1" applyBorder="1"/>
    <xf numFmtId="0" fontId="120" fillId="117" borderId="116" xfId="40" applyFill="1" applyBorder="1"/>
    <xf numFmtId="0" fontId="131" fillId="118" borderId="109" xfId="40" applyFont="1" applyFill="1" applyBorder="1" applyAlignment="1">
      <alignment horizontal="center" vertical="center" wrapText="1"/>
    </xf>
    <xf numFmtId="0" fontId="120" fillId="113" borderId="106" xfId="40" applyFill="1" applyAlignment="1">
      <alignment horizontal="left" vertical="center"/>
    </xf>
    <xf numFmtId="0" fontId="131" fillId="116" borderId="115" xfId="40" applyFont="1" applyFill="1" applyBorder="1" applyAlignment="1">
      <alignment horizontal="center" vertical="center" wrapText="1"/>
    </xf>
    <xf numFmtId="0" fontId="131" fillId="118" borderId="115" xfId="40" applyFont="1" applyFill="1" applyBorder="1" applyAlignment="1">
      <alignment horizontal="center" vertical="center" wrapText="1"/>
    </xf>
    <xf numFmtId="0" fontId="129" fillId="109" borderId="123" xfId="40" applyFont="1" applyBorder="1" applyAlignment="1">
      <alignment horizontal="center" vertical="center"/>
    </xf>
    <xf numFmtId="0" fontId="120" fillId="117" borderId="115" xfId="40" applyFill="1" applyBorder="1"/>
    <xf numFmtId="0" fontId="120" fillId="119" borderId="115" xfId="40" applyFill="1" applyBorder="1"/>
    <xf numFmtId="0" fontId="120" fillId="120" borderId="117" xfId="40" applyFill="1" applyBorder="1"/>
    <xf numFmtId="0" fontId="131" fillId="117" borderId="115" xfId="40" applyFont="1" applyFill="1" applyBorder="1" applyAlignment="1">
      <alignment horizontal="center" vertical="center" wrapText="1"/>
    </xf>
    <xf numFmtId="0" fontId="131" fillId="120" borderId="115" xfId="40" applyFont="1" applyFill="1" applyBorder="1" applyAlignment="1">
      <alignment horizontal="center" vertical="center" wrapText="1"/>
    </xf>
    <xf numFmtId="0" fontId="120" fillId="120" borderId="115" xfId="40" applyFill="1" applyBorder="1"/>
    <xf numFmtId="0" fontId="131" fillId="119" borderId="115" xfId="40" applyFont="1" applyFill="1" applyBorder="1" applyAlignment="1">
      <alignment horizontal="center" vertical="center" wrapText="1"/>
    </xf>
    <xf numFmtId="0" fontId="131" fillId="121" borderId="115" xfId="40" applyFont="1" applyFill="1" applyBorder="1" applyAlignment="1">
      <alignment horizontal="center" vertical="center" wrapText="1"/>
    </xf>
    <xf numFmtId="0" fontId="129" fillId="109" borderId="124" xfId="40" applyFont="1" applyBorder="1" applyAlignment="1">
      <alignment horizontal="center" vertical="center"/>
    </xf>
    <xf numFmtId="0" fontId="131" fillId="121" borderId="110" xfId="40" applyFont="1" applyFill="1" applyBorder="1" applyAlignment="1">
      <alignment horizontal="center" vertical="center" wrapText="1"/>
    </xf>
    <xf numFmtId="0" fontId="131" fillId="121" borderId="118" xfId="40" applyFont="1" applyFill="1" applyBorder="1" applyAlignment="1">
      <alignment horizontal="center" vertical="center" wrapText="1"/>
    </xf>
    <xf numFmtId="0" fontId="131" fillId="121" borderId="111" xfId="40" applyFont="1" applyFill="1" applyBorder="1" applyAlignment="1">
      <alignment horizontal="center" vertical="center" wrapText="1"/>
    </xf>
    <xf numFmtId="0" fontId="129" fillId="109" borderId="106" xfId="40" applyFont="1"/>
    <xf numFmtId="0" fontId="129" fillId="109" borderId="125" xfId="40" applyFont="1" applyBorder="1" applyAlignment="1">
      <alignment horizontal="center" vertical="center"/>
    </xf>
    <xf numFmtId="0" fontId="129" fillId="109" borderId="126" xfId="40" applyFont="1" applyBorder="1" applyAlignment="1">
      <alignment horizontal="center" vertical="center"/>
    </xf>
    <xf numFmtId="0" fontId="120" fillId="122" borderId="116" xfId="40" applyFill="1" applyBorder="1"/>
    <xf numFmtId="0" fontId="132" fillId="122" borderId="115" xfId="40" applyFont="1" applyFill="1" applyBorder="1" applyAlignment="1">
      <alignment horizontal="center" vertical="center" wrapText="1"/>
    </xf>
    <xf numFmtId="0" fontId="120" fillId="122" borderId="114" xfId="40" applyFill="1" applyBorder="1"/>
    <xf numFmtId="0" fontId="120" fillId="119" borderId="114" xfId="40" applyFill="1" applyBorder="1"/>
    <xf numFmtId="0" fontId="120" fillId="118" borderId="115" xfId="40" applyFill="1" applyBorder="1"/>
    <xf numFmtId="0" fontId="122" fillId="113" borderId="106" xfId="40" applyFont="1" applyFill="1" applyAlignment="1">
      <alignment horizontal="left" vertical="center"/>
    </xf>
    <xf numFmtId="0" fontId="122" fillId="113" borderId="106" xfId="40" applyFont="1" applyFill="1" applyAlignment="1">
      <alignment horizontal="left" vertical="center" wrapText="1"/>
    </xf>
    <xf numFmtId="0" fontId="122" fillId="113" borderId="108" xfId="40" applyFont="1" applyFill="1" applyBorder="1" applyAlignment="1">
      <alignment horizontal="left" vertical="center" wrapText="1"/>
    </xf>
    <xf numFmtId="0" fontId="134" fillId="113" borderId="109" xfId="40" applyFont="1" applyFill="1" applyBorder="1" applyAlignment="1">
      <alignment horizontal="left" vertical="center" wrapText="1"/>
    </xf>
    <xf numFmtId="0" fontId="122" fillId="113" borderId="119" xfId="40" applyFont="1" applyFill="1" applyBorder="1" applyAlignment="1">
      <alignment horizontal="left" vertical="center" wrapText="1"/>
    </xf>
    <xf numFmtId="0" fontId="134" fillId="113" borderId="121" xfId="40" applyFont="1" applyFill="1" applyBorder="1" applyAlignment="1">
      <alignment horizontal="left" vertical="center" wrapText="1"/>
    </xf>
    <xf numFmtId="0" fontId="122" fillId="113" borderId="114" xfId="40" applyFont="1" applyFill="1" applyBorder="1" applyAlignment="1">
      <alignment horizontal="left" vertical="center" wrapText="1"/>
    </xf>
    <xf numFmtId="0" fontId="134" fillId="113" borderId="117" xfId="40" applyFont="1" applyFill="1" applyBorder="1" applyAlignment="1">
      <alignment horizontal="left" vertical="center" wrapText="1"/>
    </xf>
    <xf numFmtId="0" fontId="122" fillId="113" borderId="140" xfId="40" applyFont="1" applyFill="1" applyBorder="1" applyAlignment="1">
      <alignment horizontal="left" vertical="center" wrapText="1"/>
    </xf>
    <xf numFmtId="0" fontId="134" fillId="113" borderId="141" xfId="40" applyFont="1" applyFill="1" applyBorder="1" applyAlignment="1">
      <alignment horizontal="left" vertical="center" wrapText="1"/>
    </xf>
    <xf numFmtId="0" fontId="122" fillId="113" borderId="110" xfId="40" applyFont="1" applyFill="1" applyBorder="1" applyAlignment="1">
      <alignment horizontal="left" vertical="center" wrapText="1"/>
    </xf>
    <xf numFmtId="0" fontId="134" fillId="113" borderId="111" xfId="40" applyFont="1" applyFill="1" applyBorder="1" applyAlignment="1">
      <alignment horizontal="left" vertical="center" wrapText="1"/>
    </xf>
    <xf numFmtId="164" fontId="134" fillId="113" borderId="111" xfId="40" applyNumberFormat="1" applyFont="1" applyFill="1" applyBorder="1" applyAlignment="1">
      <alignment horizontal="left" vertical="center" wrapText="1"/>
    </xf>
    <xf numFmtId="0" fontId="142" fillId="109" borderId="115" xfId="40" applyFont="1" applyBorder="1" applyAlignment="1">
      <alignment horizontal="center" vertical="center"/>
    </xf>
    <xf numFmtId="0" fontId="143" fillId="121" borderId="115" xfId="40" applyFont="1" applyFill="1" applyBorder="1" applyAlignment="1">
      <alignment horizontal="center" vertical="center" wrapText="1"/>
    </xf>
    <xf numFmtId="0" fontId="125" fillId="113" borderId="106" xfId="40" applyFont="1" applyFill="1"/>
    <xf numFmtId="0" fontId="125" fillId="113" borderId="106" xfId="40" applyFont="1" applyFill="1" applyAlignment="1">
      <alignment horizontal="center" vertical="center" wrapText="1"/>
    </xf>
    <xf numFmtId="0" fontId="125" fillId="113" borderId="106" xfId="40" applyFont="1" applyFill="1" applyAlignment="1">
      <alignment horizontal="left" vertical="top" wrapText="1"/>
    </xf>
    <xf numFmtId="0" fontId="125" fillId="113" borderId="106" xfId="40" applyFont="1" applyFill="1" applyAlignment="1">
      <alignment horizontal="justify"/>
    </xf>
    <xf numFmtId="0" fontId="125" fillId="113" borderId="106" xfId="40" applyFont="1" applyFill="1" applyAlignment="1">
      <alignment horizontal="center" vertical="center"/>
    </xf>
    <xf numFmtId="0" fontId="125" fillId="109" borderId="106" xfId="40" applyFont="1"/>
    <xf numFmtId="0" fontId="126" fillId="113" borderId="106" xfId="40" applyFont="1" applyFill="1" applyAlignment="1">
      <alignment vertical="center"/>
    </xf>
    <xf numFmtId="0" fontId="126" fillId="109" borderId="106" xfId="40" applyFont="1" applyAlignment="1">
      <alignment vertical="center"/>
    </xf>
    <xf numFmtId="0" fontId="125" fillId="109" borderId="106" xfId="40" applyFont="1" applyAlignment="1">
      <alignment horizontal="center" vertical="center" wrapText="1"/>
    </xf>
    <xf numFmtId="0" fontId="125" fillId="109" borderId="106" xfId="40" applyFont="1" applyAlignment="1">
      <alignment horizontal="left" vertical="top" wrapText="1"/>
    </xf>
    <xf numFmtId="0" fontId="125" fillId="109" borderId="106" xfId="40" applyFont="1" applyAlignment="1">
      <alignment horizontal="justify"/>
    </xf>
    <xf numFmtId="0" fontId="125" fillId="109" borderId="106" xfId="40" applyFont="1" applyAlignment="1">
      <alignment horizontal="center" vertical="center"/>
    </xf>
    <xf numFmtId="0" fontId="134" fillId="113" borderId="106" xfId="40" applyFont="1" applyFill="1" applyAlignment="1">
      <alignment horizontal="left" vertical="center" wrapText="1"/>
    </xf>
    <xf numFmtId="0" fontId="128" fillId="113" borderId="106" xfId="40" applyFont="1" applyFill="1" applyAlignment="1">
      <alignment horizontal="left" vertical="center"/>
    </xf>
    <xf numFmtId="0" fontId="128" fillId="109" borderId="106" xfId="40" applyFont="1"/>
    <xf numFmtId="0" fontId="147" fillId="109" borderId="106" xfId="40" applyFont="1"/>
    <xf numFmtId="0" fontId="147" fillId="113" borderId="106" xfId="40" applyFont="1" applyFill="1"/>
    <xf numFmtId="0" fontId="143" fillId="121" borderId="129" xfId="40" applyFont="1" applyFill="1" applyBorder="1" applyAlignment="1">
      <alignment horizontal="center" vertical="center" wrapText="1"/>
    </xf>
    <xf numFmtId="0" fontId="142" fillId="109" borderId="129" xfId="40" applyFont="1" applyBorder="1" applyAlignment="1">
      <alignment horizontal="center" vertical="center"/>
    </xf>
    <xf numFmtId="0" fontId="143" fillId="121" borderId="151" xfId="40" applyFont="1" applyFill="1" applyBorder="1" applyAlignment="1">
      <alignment horizontal="center" vertical="center" wrapText="1"/>
    </xf>
    <xf numFmtId="0" fontId="142" fillId="109" borderId="151" xfId="40" applyFont="1" applyBorder="1" applyAlignment="1">
      <alignment horizontal="center" vertical="center"/>
    </xf>
    <xf numFmtId="0" fontId="131" fillId="121" borderId="116" xfId="40" applyFont="1" applyFill="1" applyBorder="1" applyAlignment="1">
      <alignment horizontal="center" vertical="center" wrapText="1"/>
    </xf>
    <xf numFmtId="0" fontId="131" fillId="121" borderId="153" xfId="40" applyFont="1" applyFill="1" applyBorder="1" applyAlignment="1">
      <alignment horizontal="center" vertical="center" wrapText="1"/>
    </xf>
    <xf numFmtId="0" fontId="131" fillId="121" borderId="135" xfId="40" applyFont="1" applyFill="1" applyBorder="1" applyAlignment="1">
      <alignment horizontal="center" vertical="center" wrapText="1"/>
    </xf>
    <xf numFmtId="0" fontId="133" fillId="109" borderId="114" xfId="40" applyFont="1" applyBorder="1" applyAlignment="1">
      <alignment vertical="top" wrapText="1"/>
    </xf>
    <xf numFmtId="0" fontId="142" fillId="109" borderId="117" xfId="40" applyFont="1" applyBorder="1" applyAlignment="1">
      <alignment horizontal="center" vertical="center"/>
    </xf>
    <xf numFmtId="0" fontId="133" fillId="109" borderId="130" xfId="40" applyFont="1" applyBorder="1" applyAlignment="1">
      <alignment vertical="top" wrapText="1"/>
    </xf>
    <xf numFmtId="0" fontId="120" fillId="142" borderId="152" xfId="40" applyFill="1" applyBorder="1" applyAlignment="1">
      <alignment horizontal="center"/>
    </xf>
    <xf numFmtId="0" fontId="120" fillId="146" borderId="152" xfId="40" applyFill="1" applyBorder="1" applyAlignment="1">
      <alignment horizontal="center"/>
    </xf>
    <xf numFmtId="0" fontId="120" fillId="147" borderId="152" xfId="40" applyFill="1" applyBorder="1" applyAlignment="1">
      <alignment horizontal="center"/>
    </xf>
    <xf numFmtId="0" fontId="120" fillId="144" borderId="152" xfId="40" applyFill="1" applyBorder="1" applyAlignment="1">
      <alignment horizontal="center"/>
    </xf>
    <xf numFmtId="0" fontId="120" fillId="120" borderId="152" xfId="40" applyFill="1" applyBorder="1" applyAlignment="1">
      <alignment horizontal="center"/>
    </xf>
    <xf numFmtId="0" fontId="151" fillId="109" borderId="106" xfId="40" applyFont="1" applyAlignment="1"/>
    <xf numFmtId="0" fontId="153" fillId="115" borderId="108" xfId="40" applyFont="1" applyFill="1" applyBorder="1" applyAlignment="1">
      <alignment horizontal="center" vertical="center" wrapText="1"/>
    </xf>
    <xf numFmtId="0" fontId="153" fillId="115" borderId="150" xfId="40" applyFont="1" applyFill="1" applyBorder="1" applyAlignment="1">
      <alignment vertical="center" wrapText="1"/>
    </xf>
    <xf numFmtId="0" fontId="136" fillId="126" borderId="110" xfId="40" applyFont="1" applyFill="1" applyBorder="1" applyAlignment="1">
      <alignment horizontal="center" vertical="center" wrapText="1"/>
    </xf>
    <xf numFmtId="0" fontId="136" fillId="126" borderId="111" xfId="40" applyFont="1" applyFill="1" applyBorder="1" applyAlignment="1">
      <alignment horizontal="center" vertical="center" wrapText="1"/>
    </xf>
    <xf numFmtId="0" fontId="136" fillId="115" borderId="110" xfId="40" applyFont="1" applyFill="1" applyBorder="1" applyAlignment="1">
      <alignment horizontal="center" vertical="center" wrapText="1"/>
    </xf>
    <xf numFmtId="0" fontId="154" fillId="109" borderId="118" xfId="40" applyFont="1" applyBorder="1" applyAlignment="1"/>
    <xf numFmtId="0" fontId="154" fillId="113" borderId="118" xfId="40" applyFont="1" applyFill="1" applyBorder="1" applyAlignment="1"/>
    <xf numFmtId="0" fontId="136" fillId="125" borderId="118" xfId="40" applyFont="1" applyFill="1" applyBorder="1" applyAlignment="1">
      <alignment horizontal="center" vertical="center" wrapText="1"/>
    </xf>
    <xf numFmtId="0" fontId="136" fillId="125" borderId="111" xfId="40" applyFont="1" applyFill="1" applyBorder="1" applyAlignment="1">
      <alignment horizontal="center" vertical="center" wrapText="1"/>
    </xf>
    <xf numFmtId="0" fontId="154" fillId="109" borderId="115" xfId="40" applyFont="1" applyBorder="1"/>
    <xf numFmtId="0" fontId="154" fillId="109" borderId="115" xfId="40" applyFont="1" applyBorder="1" applyAlignment="1">
      <alignment wrapText="1"/>
    </xf>
    <xf numFmtId="0" fontId="154" fillId="109" borderId="115" xfId="40" applyFont="1" applyBorder="1" applyAlignment="1">
      <alignment wrapText="1"/>
    </xf>
    <xf numFmtId="0" fontId="154" fillId="113" borderId="115" xfId="40" applyFont="1" applyFill="1" applyBorder="1"/>
    <xf numFmtId="0" fontId="154" fillId="137" borderId="115" xfId="40" applyFont="1" applyFill="1" applyBorder="1"/>
    <xf numFmtId="0" fontId="154" fillId="137" borderId="115" xfId="40" applyFont="1" applyFill="1" applyBorder="1" applyAlignment="1">
      <alignment wrapText="1"/>
    </xf>
    <xf numFmtId="0" fontId="154" fillId="137" borderId="115" xfId="40" applyFont="1" applyFill="1" applyBorder="1" applyAlignment="1">
      <alignment wrapText="1"/>
    </xf>
    <xf numFmtId="0" fontId="154" fillId="133" borderId="115" xfId="40" applyFont="1" applyFill="1" applyBorder="1"/>
    <xf numFmtId="0" fontId="154" fillId="131" borderId="115" xfId="40" applyFont="1" applyFill="1" applyBorder="1"/>
    <xf numFmtId="0" fontId="154" fillId="131" borderId="115" xfId="40" applyFont="1" applyFill="1" applyBorder="1" applyAlignment="1">
      <alignment wrapText="1"/>
    </xf>
    <xf numFmtId="0" fontId="154" fillId="131" borderId="115" xfId="40" applyFont="1" applyFill="1" applyBorder="1" applyAlignment="1">
      <alignment wrapText="1"/>
    </xf>
    <xf numFmtId="0" fontId="154" fillId="130" borderId="115" xfId="40" applyFont="1" applyFill="1" applyBorder="1"/>
    <xf numFmtId="0" fontId="155" fillId="115" borderId="110" xfId="40" applyFont="1" applyFill="1" applyBorder="1" applyAlignment="1">
      <alignment horizontal="center" vertical="center" wrapText="1"/>
    </xf>
    <xf numFmtId="0" fontId="156" fillId="109" borderId="118" xfId="40" applyFont="1" applyBorder="1" applyAlignment="1"/>
    <xf numFmtId="0" fontId="156" fillId="113" borderId="118" xfId="40" applyFont="1" applyFill="1" applyBorder="1" applyAlignment="1"/>
    <xf numFmtId="0" fontId="155" fillId="125" borderId="118" xfId="40" applyFont="1" applyFill="1" applyBorder="1" applyAlignment="1">
      <alignment horizontal="center" vertical="center" wrapText="1"/>
    </xf>
    <xf numFmtId="0" fontId="154" fillId="150" borderId="115" xfId="40" applyFont="1" applyFill="1" applyBorder="1"/>
    <xf numFmtId="0" fontId="154" fillId="150" borderId="115" xfId="40" applyFont="1" applyFill="1" applyBorder="1" applyAlignment="1">
      <alignment wrapText="1"/>
    </xf>
    <xf numFmtId="0" fontId="154" fillId="150" borderId="115" xfId="40" applyFont="1" applyFill="1" applyBorder="1" applyAlignment="1">
      <alignment wrapText="1"/>
    </xf>
    <xf numFmtId="0" fontId="154" fillId="151" borderId="115" xfId="40" applyFont="1" applyFill="1" applyBorder="1"/>
    <xf numFmtId="0" fontId="154" fillId="151" borderId="115" xfId="40" applyFont="1" applyFill="1" applyBorder="1" applyAlignment="1">
      <alignment wrapText="1"/>
    </xf>
    <xf numFmtId="0" fontId="154" fillId="151" borderId="115" xfId="40" applyFont="1" applyFill="1" applyBorder="1" applyAlignment="1">
      <alignment wrapText="1"/>
    </xf>
    <xf numFmtId="0" fontId="154" fillId="113" borderId="115" xfId="40" applyFont="1" applyFill="1" applyBorder="1" applyAlignment="1">
      <alignment horizontal="center" vertical="center" wrapText="1"/>
    </xf>
    <xf numFmtId="0" fontId="122" fillId="115" borderId="122" xfId="40" applyFont="1" applyFill="1" applyBorder="1" applyAlignment="1">
      <alignment horizontal="center" vertical="center" wrapText="1"/>
    </xf>
    <xf numFmtId="0" fontId="122" fillId="115" borderId="150" xfId="40" applyFont="1" applyFill="1" applyBorder="1" applyAlignment="1">
      <alignment horizontal="center" vertical="center" wrapText="1"/>
    </xf>
    <xf numFmtId="0" fontId="126" fillId="113" borderId="106" xfId="40" applyFont="1" applyFill="1" applyAlignment="1">
      <alignment horizontal="center" vertical="center"/>
    </xf>
    <xf numFmtId="0" fontId="126" fillId="109" borderId="106" xfId="40" applyFont="1" applyAlignment="1">
      <alignment horizontal="center" vertical="center"/>
    </xf>
    <xf numFmtId="0" fontId="139" fillId="113" borderId="106" xfId="40" applyFont="1" applyFill="1" applyAlignment="1">
      <alignment horizontal="center" vertical="center"/>
    </xf>
    <xf numFmtId="0" fontId="139" fillId="109" borderId="106" xfId="40" applyFont="1" applyAlignment="1">
      <alignment horizontal="center" vertical="center"/>
    </xf>
    <xf numFmtId="0" fontId="139" fillId="109" borderId="115" xfId="40" applyFont="1" applyBorder="1" applyAlignment="1">
      <alignment horizontal="center" vertical="center"/>
    </xf>
    <xf numFmtId="0" fontId="156" fillId="109" borderId="118" xfId="40" applyFont="1" applyBorder="1" applyAlignment="1">
      <alignment horizontal="center" vertical="center"/>
    </xf>
    <xf numFmtId="0" fontId="156" fillId="113" borderId="118" xfId="40" applyFont="1" applyFill="1" applyBorder="1" applyAlignment="1">
      <alignment horizontal="center" vertical="center"/>
    </xf>
    <xf numFmtId="0" fontId="156" fillId="124" borderId="111" xfId="40" applyFont="1" applyFill="1" applyBorder="1" applyAlignment="1">
      <alignment horizontal="center" vertical="center" wrapText="1"/>
    </xf>
    <xf numFmtId="0" fontId="156" fillId="126" borderId="110" xfId="40" applyFont="1" applyFill="1" applyBorder="1" applyAlignment="1">
      <alignment horizontal="center" vertical="center" wrapText="1"/>
    </xf>
    <xf numFmtId="0" fontId="156" fillId="126" borderId="111" xfId="40" applyFont="1" applyFill="1" applyBorder="1" applyAlignment="1">
      <alignment horizontal="center" vertical="center" wrapText="1"/>
    </xf>
    <xf numFmtId="0" fontId="156" fillId="115" borderId="110" xfId="40" applyFont="1" applyFill="1" applyBorder="1" applyAlignment="1">
      <alignment horizontal="center" vertical="center" wrapText="1"/>
    </xf>
    <xf numFmtId="0" fontId="156" fillId="125" borderId="110" xfId="40" applyFont="1" applyFill="1" applyBorder="1" applyAlignment="1">
      <alignment horizontal="center" vertical="center" wrapText="1"/>
    </xf>
    <xf numFmtId="0" fontId="156" fillId="125" borderId="118" xfId="40" applyFont="1" applyFill="1" applyBorder="1" applyAlignment="1">
      <alignment horizontal="center" vertical="center" wrapText="1"/>
    </xf>
    <xf numFmtId="0" fontId="156" fillId="125" borderId="145" xfId="40" applyFont="1" applyFill="1" applyBorder="1" applyAlignment="1">
      <alignment horizontal="center" vertical="center" wrapText="1"/>
    </xf>
    <xf numFmtId="0" fontId="156" fillId="140" borderId="114" xfId="40" applyFont="1" applyFill="1" applyBorder="1" applyAlignment="1">
      <alignment horizontal="center" vertical="center" wrapText="1"/>
    </xf>
    <xf numFmtId="0" fontId="156" fillId="140" borderId="117" xfId="40" applyFont="1" applyFill="1" applyBorder="1" applyAlignment="1">
      <alignment horizontal="center" vertical="center" wrapText="1"/>
    </xf>
    <xf numFmtId="0" fontId="157" fillId="116" borderId="118" xfId="40" applyFont="1" applyFill="1" applyBorder="1" applyAlignment="1">
      <alignment horizontal="center" vertical="center" wrapText="1"/>
    </xf>
    <xf numFmtId="0" fontId="158" fillId="122" borderId="118" xfId="40" applyFont="1" applyFill="1" applyBorder="1" applyAlignment="1">
      <alignment horizontal="center" vertical="center" wrapText="1"/>
    </xf>
    <xf numFmtId="0" fontId="157" fillId="117" borderId="118" xfId="40" applyFont="1" applyFill="1" applyBorder="1" applyAlignment="1">
      <alignment horizontal="center" vertical="center" wrapText="1"/>
    </xf>
    <xf numFmtId="0" fontId="157" fillId="119" borderId="118" xfId="40" applyFont="1" applyFill="1" applyBorder="1" applyAlignment="1">
      <alignment horizontal="center" vertical="center" wrapText="1"/>
    </xf>
    <xf numFmtId="0" fontId="157" fillId="118" borderId="118" xfId="40" applyFont="1" applyFill="1" applyBorder="1" applyAlignment="1">
      <alignment horizontal="center" vertical="center" wrapText="1"/>
    </xf>
    <xf numFmtId="0" fontId="157" fillId="120" borderId="118" xfId="40" applyFont="1" applyFill="1" applyBorder="1" applyAlignment="1">
      <alignment horizontal="center" vertical="center" wrapText="1"/>
    </xf>
    <xf numFmtId="0" fontId="157" fillId="121" borderId="118" xfId="40" applyFont="1" applyFill="1" applyBorder="1" applyAlignment="1">
      <alignment horizontal="center" vertical="center" wrapText="1"/>
    </xf>
    <xf numFmtId="0" fontId="138" fillId="113" borderId="106" xfId="40" applyFont="1" applyFill="1" applyAlignment="1">
      <alignment horizontal="left" vertical="center"/>
    </xf>
    <xf numFmtId="0" fontId="138" fillId="109" borderId="106" xfId="40" applyFont="1"/>
    <xf numFmtId="0" fontId="138" fillId="148" borderId="106" xfId="40" applyFont="1" applyFill="1"/>
    <xf numFmtId="0" fontId="154" fillId="123" borderId="115" xfId="40" applyFont="1" applyFill="1" applyBorder="1" applyAlignment="1">
      <alignment horizontal="left" vertical="center" wrapText="1"/>
    </xf>
    <xf numFmtId="0" fontId="154" fillId="126" borderId="115" xfId="40" applyFont="1" applyFill="1" applyBorder="1" applyAlignment="1">
      <alignment horizontal="center" vertical="center" wrapText="1"/>
    </xf>
    <xf numFmtId="0" fontId="154" fillId="126" borderId="115" xfId="40" applyFont="1" applyFill="1" applyBorder="1" applyAlignment="1">
      <alignment horizontal="left" vertical="center" wrapText="1"/>
    </xf>
    <xf numFmtId="0" fontId="154" fillId="125" borderId="115" xfId="40" applyFont="1" applyFill="1" applyBorder="1" applyAlignment="1">
      <alignment horizontal="center" vertical="center" wrapText="1"/>
    </xf>
    <xf numFmtId="0" fontId="154" fillId="125" borderId="115" xfId="40" applyFont="1" applyFill="1" applyBorder="1" applyAlignment="1">
      <alignment vertical="center" wrapText="1"/>
    </xf>
    <xf numFmtId="0" fontId="154" fillId="133" borderId="115" xfId="40" applyFont="1" applyFill="1" applyBorder="1" applyAlignment="1">
      <alignment horizontal="center" vertical="center" wrapText="1"/>
    </xf>
    <xf numFmtId="0" fontId="154" fillId="138" borderId="115" xfId="40" applyFont="1" applyFill="1" applyBorder="1" applyAlignment="1">
      <alignment horizontal="center" vertical="center" wrapText="1"/>
    </xf>
    <xf numFmtId="0" fontId="154" fillId="138" borderId="115" xfId="40" applyFont="1" applyFill="1" applyBorder="1" applyAlignment="1">
      <alignment horizontal="left" vertical="center" wrapText="1"/>
    </xf>
    <xf numFmtId="0" fontId="154" fillId="130" borderId="115" xfId="40" applyFont="1" applyFill="1" applyBorder="1" applyAlignment="1">
      <alignment horizontal="center" vertical="center" wrapText="1"/>
    </xf>
    <xf numFmtId="0" fontId="154" fillId="132" borderId="115" xfId="40" applyFont="1" applyFill="1" applyBorder="1" applyAlignment="1">
      <alignment horizontal="center" vertical="center" wrapText="1"/>
    </xf>
    <xf numFmtId="0" fontId="154" fillId="132"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50" borderId="115" xfId="40" applyFont="1" applyFill="1" applyBorder="1" applyAlignment="1">
      <alignment horizontal="center" vertical="center" wrapText="1"/>
    </xf>
    <xf numFmtId="0" fontId="154" fillId="113" borderId="130" xfId="40" applyFont="1" applyFill="1" applyBorder="1" applyAlignment="1">
      <alignment horizontal="center" vertical="center" wrapText="1"/>
    </xf>
    <xf numFmtId="0" fontId="154" fillId="113" borderId="114" xfId="40" applyFont="1" applyFill="1" applyBorder="1" applyAlignment="1">
      <alignment horizontal="center" vertical="center" wrapText="1"/>
    </xf>
    <xf numFmtId="0" fontId="154" fillId="133" borderId="114" xfId="40" applyFont="1" applyFill="1" applyBorder="1" applyAlignment="1">
      <alignment horizontal="center" vertical="center" wrapText="1"/>
    </xf>
    <xf numFmtId="0" fontId="154" fillId="113" borderId="119" xfId="40" applyFont="1" applyFill="1" applyBorder="1" applyAlignment="1">
      <alignment horizontal="center" vertical="center" wrapText="1"/>
    </xf>
    <xf numFmtId="0" fontId="163" fillId="152" borderId="138" xfId="40" applyFont="1" applyFill="1" applyBorder="1" applyAlignment="1">
      <alignment horizontal="center" vertical="center" wrapText="1"/>
    </xf>
    <xf numFmtId="0" fontId="163" fillId="152" borderId="155" xfId="40" applyFont="1" applyFill="1" applyBorder="1" applyAlignment="1">
      <alignment horizontal="center" vertical="center" wrapText="1"/>
    </xf>
    <xf numFmtId="0" fontId="163" fillId="153" borderId="110" xfId="40" applyFont="1" applyFill="1" applyBorder="1" applyAlignment="1">
      <alignment horizontal="center" vertical="center" wrapText="1"/>
    </xf>
    <xf numFmtId="0" fontId="163" fillId="153" borderId="155" xfId="40" applyFont="1" applyFill="1" applyBorder="1" applyAlignment="1">
      <alignment horizontal="center" vertical="center" wrapText="1"/>
    </xf>
    <xf numFmtId="0" fontId="136" fillId="114" borderId="110" xfId="40" applyFont="1" applyFill="1" applyBorder="1" applyAlignment="1">
      <alignment horizontal="center" vertical="center" wrapText="1"/>
    </xf>
    <xf numFmtId="0" fontId="136" fillId="114" borderId="111" xfId="40" applyFont="1" applyFill="1" applyBorder="1" applyAlignment="1">
      <alignment horizontal="center" vertical="center" wrapText="1"/>
    </xf>
    <xf numFmtId="0" fontId="136" fillId="154" borderId="110" xfId="40" applyFont="1" applyFill="1" applyBorder="1" applyAlignment="1">
      <alignment horizontal="center" vertical="center" wrapText="1"/>
    </xf>
    <xf numFmtId="0" fontId="136" fillId="154" borderId="111" xfId="40" applyFont="1" applyFill="1" applyBorder="1" applyAlignment="1">
      <alignment horizontal="center" vertical="center" wrapText="1"/>
    </xf>
    <xf numFmtId="0" fontId="163" fillId="155" borderId="138" xfId="40" applyFont="1" applyFill="1" applyBorder="1" applyAlignment="1">
      <alignment horizontal="center" vertical="center" wrapText="1"/>
    </xf>
    <xf numFmtId="0" fontId="163" fillId="155" borderId="155"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26" borderId="115" xfId="40" applyFont="1" applyFill="1" applyBorder="1" applyAlignment="1">
      <alignment vertical="center" wrapText="1"/>
    </xf>
    <xf numFmtId="0" fontId="165" fillId="116" borderId="118" xfId="40" applyFont="1" applyFill="1" applyBorder="1" applyAlignment="1">
      <alignment horizontal="center" vertical="center" wrapText="1"/>
    </xf>
    <xf numFmtId="0" fontId="153" fillId="122" borderId="118" xfId="40" applyFont="1" applyFill="1" applyBorder="1" applyAlignment="1">
      <alignment horizontal="center" vertical="center" wrapText="1"/>
    </xf>
    <xf numFmtId="0" fontId="165" fillId="117" borderId="118" xfId="40" applyFont="1" applyFill="1" applyBorder="1" applyAlignment="1">
      <alignment horizontal="center" vertical="center" wrapText="1"/>
    </xf>
    <xf numFmtId="0" fontId="165" fillId="119" borderId="118" xfId="40" applyFont="1" applyFill="1" applyBorder="1" applyAlignment="1">
      <alignment horizontal="center" vertical="center" wrapText="1"/>
    </xf>
    <xf numFmtId="0" fontId="165" fillId="118" borderId="118" xfId="40" applyFont="1" applyFill="1" applyBorder="1" applyAlignment="1">
      <alignment horizontal="center" vertical="center" wrapText="1"/>
    </xf>
    <xf numFmtId="0" fontId="165" fillId="120" borderId="118" xfId="40" applyFont="1" applyFill="1" applyBorder="1" applyAlignment="1">
      <alignment horizontal="center" vertical="center" wrapText="1"/>
    </xf>
    <xf numFmtId="0" fontId="165" fillId="121" borderId="118" xfId="40" applyFont="1" applyFill="1" applyBorder="1" applyAlignment="1">
      <alignment horizontal="center" vertical="center" wrapText="1"/>
    </xf>
    <xf numFmtId="0" fontId="138" fillId="113" borderId="114" xfId="40" applyFont="1" applyFill="1" applyBorder="1" applyAlignment="1">
      <alignment horizontal="center" vertical="center" wrapText="1"/>
    </xf>
    <xf numFmtId="0" fontId="156" fillId="113" borderId="114" xfId="40" applyFont="1" applyFill="1" applyBorder="1" applyAlignment="1">
      <alignment horizontal="center" vertical="center" wrapText="1"/>
    </xf>
    <xf numFmtId="0" fontId="138" fillId="109" borderId="106" xfId="40" applyFont="1" applyAlignment="1">
      <alignment wrapText="1"/>
    </xf>
    <xf numFmtId="0" fontId="154" fillId="125" borderId="115" xfId="40" applyFont="1" applyFill="1" applyBorder="1" applyAlignment="1">
      <alignment horizontal="center" vertical="center" wrapText="1"/>
    </xf>
    <xf numFmtId="0" fontId="154" fillId="123" borderId="115" xfId="40" applyFont="1" applyFill="1" applyBorder="1" applyAlignment="1">
      <alignment vertical="center" wrapText="1"/>
    </xf>
    <xf numFmtId="0" fontId="166" fillId="116" borderId="118" xfId="40" applyFont="1" applyFill="1" applyBorder="1" applyAlignment="1">
      <alignment horizontal="center" vertical="center" wrapText="1"/>
    </xf>
    <xf numFmtId="0" fontId="167" fillId="122" borderId="118" xfId="40" applyFont="1" applyFill="1" applyBorder="1" applyAlignment="1">
      <alignment horizontal="center" vertical="center" wrapText="1"/>
    </xf>
    <xf numFmtId="0" fontId="166" fillId="117" borderId="118" xfId="40" applyFont="1" applyFill="1" applyBorder="1" applyAlignment="1">
      <alignment horizontal="center" vertical="center" wrapText="1"/>
    </xf>
    <xf numFmtId="0" fontId="166" fillId="119" borderId="118" xfId="40" applyFont="1" applyFill="1" applyBorder="1" applyAlignment="1">
      <alignment horizontal="center" vertical="center" wrapText="1"/>
    </xf>
    <xf numFmtId="0" fontId="166" fillId="118" borderId="118" xfId="40" applyFont="1" applyFill="1" applyBorder="1" applyAlignment="1">
      <alignment horizontal="center" vertical="center" wrapText="1"/>
    </xf>
    <xf numFmtId="0" fontId="166" fillId="120" borderId="118" xfId="40" applyFont="1" applyFill="1" applyBorder="1" applyAlignment="1">
      <alignment horizontal="center" vertical="center" wrapText="1"/>
    </xf>
    <xf numFmtId="0" fontId="166" fillId="121" borderId="118" xfId="40" applyFont="1" applyFill="1" applyBorder="1" applyAlignment="1">
      <alignment horizontal="center" vertical="center" wrapText="1"/>
    </xf>
    <xf numFmtId="0" fontId="168" fillId="121" borderId="115" xfId="40" applyFont="1" applyFill="1" applyBorder="1" applyAlignment="1">
      <alignment horizontal="center" vertical="center" wrapText="1"/>
    </xf>
    <xf numFmtId="0" fontId="168" fillId="116" borderId="115" xfId="40" applyFont="1" applyFill="1" applyBorder="1" applyAlignment="1">
      <alignment horizontal="center" vertical="center" wrapText="1"/>
    </xf>
    <xf numFmtId="0" fontId="122" fillId="122" borderId="115" xfId="40" applyFont="1" applyFill="1" applyBorder="1" applyAlignment="1">
      <alignment horizontal="center" vertical="center" wrapText="1"/>
    </xf>
    <xf numFmtId="0" fontId="168" fillId="117" borderId="115" xfId="40" applyFont="1" applyFill="1" applyBorder="1" applyAlignment="1">
      <alignment horizontal="center" vertical="center" wrapText="1"/>
    </xf>
    <xf numFmtId="0" fontId="168" fillId="119" borderId="115" xfId="40" applyFont="1" applyFill="1" applyBorder="1" applyAlignment="1">
      <alignment horizontal="center" vertical="center" wrapText="1"/>
    </xf>
    <xf numFmtId="0" fontId="168" fillId="118" borderId="115" xfId="40" applyFont="1" applyFill="1" applyBorder="1" applyAlignment="1">
      <alignment horizontal="center" vertical="center" wrapText="1"/>
    </xf>
    <xf numFmtId="0" fontId="168" fillId="120" borderId="115" xfId="40" applyFont="1" applyFill="1" applyBorder="1" applyAlignment="1">
      <alignment horizontal="center" vertical="center" wrapText="1"/>
    </xf>
    <xf numFmtId="0" fontId="138" fillId="113" borderId="106" xfId="40" applyFont="1" applyFill="1" applyAlignment="1">
      <alignment horizontal="center" vertical="center"/>
    </xf>
    <xf numFmtId="0" fontId="154" fillId="124" borderId="131" xfId="40" applyFont="1" applyFill="1" applyBorder="1" applyAlignment="1">
      <alignment horizontal="center" vertical="center" wrapText="1"/>
    </xf>
    <xf numFmtId="0" fontId="154" fillId="126" borderId="115" xfId="40" applyFont="1" applyFill="1" applyBorder="1" applyAlignment="1">
      <alignment horizontal="center" vertical="center" wrapText="1"/>
    </xf>
    <xf numFmtId="0" fontId="154" fillId="126"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38" fillId="109" borderId="106" xfId="40" applyFont="1" applyAlignment="1">
      <alignment horizontal="center" vertical="center"/>
    </xf>
    <xf numFmtId="0" fontId="138" fillId="109" borderId="115" xfId="40" applyFont="1" applyBorder="1" applyAlignment="1">
      <alignment horizontal="center" vertical="center"/>
    </xf>
    <xf numFmtId="0" fontId="154" fillId="124" borderId="115" xfId="40" applyFont="1" applyFill="1" applyBorder="1" applyAlignment="1">
      <alignment horizontal="center" vertical="center" wrapText="1"/>
    </xf>
    <xf numFmtId="0" fontId="154" fillId="135" borderId="115" xfId="40" applyFont="1" applyFill="1" applyBorder="1" applyAlignment="1">
      <alignment horizontal="center" vertical="center" wrapText="1"/>
    </xf>
    <xf numFmtId="0" fontId="154" fillId="136" borderId="115" xfId="40" applyFont="1" applyFill="1" applyBorder="1" applyAlignment="1">
      <alignment horizontal="center" vertical="center" wrapText="1"/>
    </xf>
    <xf numFmtId="0" fontId="154" fillId="139" borderId="115" xfId="40" applyFont="1" applyFill="1" applyBorder="1" applyAlignment="1">
      <alignment horizontal="center" vertical="center" wrapText="1"/>
    </xf>
    <xf numFmtId="0" fontId="154" fillId="128" borderId="115" xfId="40" applyFont="1" applyFill="1" applyBorder="1" applyAlignment="1">
      <alignment horizontal="center" vertical="center" wrapText="1"/>
    </xf>
    <xf numFmtId="0" fontId="154" fillId="129" borderId="115" xfId="40" applyFont="1" applyFill="1" applyBorder="1" applyAlignment="1">
      <alignment horizontal="center" vertical="center" wrapText="1"/>
    </xf>
    <xf numFmtId="0" fontId="154" fillId="128" borderId="120" xfId="40" applyFont="1" applyFill="1" applyBorder="1" applyAlignment="1">
      <alignment horizontal="center" vertical="center" wrapText="1"/>
    </xf>
    <xf numFmtId="0" fontId="154" fillId="129" borderId="120" xfId="40" applyFont="1" applyFill="1" applyBorder="1" applyAlignment="1">
      <alignment horizontal="center" vertical="center" wrapText="1"/>
    </xf>
    <xf numFmtId="0" fontId="154" fillId="132" borderId="120" xfId="40" applyFont="1" applyFill="1" applyBorder="1" applyAlignment="1">
      <alignment horizontal="center" vertical="center" wrapText="1"/>
    </xf>
    <xf numFmtId="0" fontId="154" fillId="126" borderId="120" xfId="40" applyFont="1" applyFill="1" applyBorder="1" applyAlignment="1">
      <alignment horizontal="center" vertical="center" wrapText="1"/>
    </xf>
    <xf numFmtId="0" fontId="125" fillId="113" borderId="106" xfId="40" applyFont="1" applyFill="1" applyAlignment="1">
      <alignment horizontal="left" vertical="center" wrapText="1"/>
    </xf>
    <xf numFmtId="0" fontId="154" fillId="113" borderId="131" xfId="40" applyFont="1" applyFill="1" applyBorder="1" applyAlignment="1">
      <alignment horizontal="left" vertical="center" wrapText="1"/>
    </xf>
    <xf numFmtId="0" fontId="154" fillId="113" borderId="115" xfId="40" applyFont="1" applyFill="1" applyBorder="1" applyAlignment="1">
      <alignment horizontal="left" vertical="center" wrapText="1"/>
    </xf>
    <xf numFmtId="0" fontId="154" fillId="113" borderId="120" xfId="40" applyFont="1" applyFill="1" applyBorder="1" applyAlignment="1">
      <alignment horizontal="left" vertical="center" wrapText="1"/>
    </xf>
    <xf numFmtId="0" fontId="161" fillId="148" borderId="131" xfId="40" applyFont="1" applyFill="1" applyBorder="1" applyAlignment="1">
      <alignment horizontal="left" vertical="center" wrapText="1"/>
    </xf>
    <xf numFmtId="0" fontId="125" fillId="109" borderId="106" xfId="40" applyFont="1" applyAlignment="1">
      <alignment horizontal="left" vertical="center" wrapText="1"/>
    </xf>
    <xf numFmtId="0" fontId="154" fillId="123" borderId="131" xfId="40" applyFont="1" applyFill="1" applyBorder="1" applyAlignment="1">
      <alignment horizontal="left" vertical="center" wrapText="1"/>
    </xf>
    <xf numFmtId="0" fontId="154" fillId="126" borderId="115" xfId="40" applyFont="1" applyFill="1" applyBorder="1" applyAlignment="1">
      <alignment horizontal="left" vertical="center" wrapText="1"/>
    </xf>
    <xf numFmtId="0" fontId="154" fillId="126" borderId="131" xfId="40" applyFont="1" applyFill="1" applyBorder="1" applyAlignment="1">
      <alignment horizontal="left" vertical="center" wrapText="1"/>
    </xf>
    <xf numFmtId="0" fontId="154" fillId="148" borderId="131" xfId="40" applyFont="1" applyFill="1" applyBorder="1" applyAlignment="1">
      <alignment horizontal="left" vertical="center" wrapText="1"/>
    </xf>
    <xf numFmtId="0" fontId="154" fillId="148" borderId="131" xfId="40" applyFont="1" applyFill="1" applyBorder="1" applyAlignment="1">
      <alignment horizontal="left" vertical="center"/>
    </xf>
    <xf numFmtId="0" fontId="154" fillId="148" borderId="131" xfId="40" applyFont="1" applyFill="1" applyBorder="1" applyAlignment="1">
      <alignment horizontal="left" vertical="center" wrapText="1"/>
    </xf>
    <xf numFmtId="0" fontId="154" fillId="125" borderId="131" xfId="40" applyFont="1" applyFill="1" applyBorder="1" applyAlignment="1">
      <alignment horizontal="left" vertical="center" wrapText="1"/>
    </xf>
    <xf numFmtId="0" fontId="154" fillId="140" borderId="131" xfId="40" applyFont="1" applyFill="1" applyBorder="1" applyAlignment="1">
      <alignment horizontal="left" vertical="center" wrapText="1"/>
    </xf>
    <xf numFmtId="0" fontId="154" fillId="123" borderId="115" xfId="40" applyFont="1" applyFill="1" applyBorder="1" applyAlignment="1">
      <alignment horizontal="left" vertical="center" wrapText="1"/>
    </xf>
    <xf numFmtId="0" fontId="154" fillId="148" borderId="115" xfId="40" applyFont="1" applyFill="1" applyBorder="1" applyAlignment="1">
      <alignment horizontal="left" vertical="center" wrapText="1"/>
    </xf>
    <xf numFmtId="0" fontId="154" fillId="148" borderId="115" xfId="40" applyFont="1" applyFill="1" applyBorder="1" applyAlignment="1">
      <alignment horizontal="left" vertical="center"/>
    </xf>
    <xf numFmtId="0" fontId="154" fillId="148"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40" borderId="115" xfId="40" applyFont="1" applyFill="1" applyBorder="1" applyAlignment="1">
      <alignment horizontal="left" vertical="center" wrapText="1"/>
    </xf>
    <xf numFmtId="0" fontId="154" fillId="134" borderId="115" xfId="40" applyFont="1" applyFill="1" applyBorder="1" applyAlignment="1">
      <alignment horizontal="left" vertical="center" wrapText="1"/>
    </xf>
    <xf numFmtId="0" fontId="154" fillId="133" borderId="115" xfId="40" applyFont="1" applyFill="1" applyBorder="1" applyAlignment="1">
      <alignment horizontal="left" vertical="center" wrapText="1"/>
    </xf>
    <xf numFmtId="0" fontId="154" fillId="139" borderId="115" xfId="40" applyFont="1" applyFill="1" applyBorder="1" applyAlignment="1">
      <alignment horizontal="left" vertical="center" wrapText="1"/>
    </xf>
    <xf numFmtId="0" fontId="154" fillId="127" borderId="115" xfId="40" applyFont="1" applyFill="1" applyBorder="1" applyAlignment="1">
      <alignment horizontal="left" vertical="center" wrapText="1"/>
    </xf>
    <xf numFmtId="0" fontId="154" fillId="132" borderId="115" xfId="40" applyFont="1" applyFill="1" applyBorder="1" applyAlignment="1">
      <alignment horizontal="left" vertical="center" wrapText="1"/>
    </xf>
    <xf numFmtId="0" fontId="154" fillId="113" borderId="131" xfId="40" applyFont="1" applyFill="1" applyBorder="1" applyAlignment="1">
      <alignment horizontal="left" vertical="center"/>
    </xf>
    <xf numFmtId="0" fontId="154" fillId="113" borderId="115" xfId="40" applyFont="1" applyFill="1" applyBorder="1" applyAlignment="1">
      <alignment horizontal="left" vertical="center"/>
    </xf>
    <xf numFmtId="0" fontId="154" fillId="127" borderId="120" xfId="40" applyFont="1" applyFill="1" applyBorder="1" applyAlignment="1">
      <alignment horizontal="left" vertical="center" wrapText="1"/>
    </xf>
    <xf numFmtId="0" fontId="154" fillId="129" borderId="120" xfId="40" applyFont="1" applyFill="1" applyBorder="1" applyAlignment="1">
      <alignment horizontal="left" vertical="center" wrapText="1"/>
    </xf>
    <xf numFmtId="0" fontId="154" fillId="130" borderId="120" xfId="40" applyFont="1" applyFill="1" applyBorder="1" applyAlignment="1">
      <alignment horizontal="left" vertical="center" wrapText="1"/>
    </xf>
    <xf numFmtId="0" fontId="154" fillId="131" borderId="120" xfId="40" applyFont="1" applyFill="1" applyBorder="1" applyAlignment="1">
      <alignment horizontal="left" vertical="center"/>
    </xf>
    <xf numFmtId="0" fontId="154" fillId="131" borderId="120" xfId="40" applyFont="1" applyFill="1" applyBorder="1" applyAlignment="1">
      <alignment horizontal="left" vertical="center" wrapText="1"/>
    </xf>
    <xf numFmtId="0" fontId="154" fillId="131" borderId="120" xfId="40" applyFont="1" applyFill="1" applyBorder="1" applyAlignment="1">
      <alignment horizontal="left" vertical="center" wrapText="1"/>
    </xf>
    <xf numFmtId="0" fontId="154" fillId="130" borderId="120" xfId="40" applyFont="1" applyFill="1" applyBorder="1" applyAlignment="1">
      <alignment horizontal="left" vertical="center"/>
    </xf>
    <xf numFmtId="0" fontId="154" fillId="141" borderId="120" xfId="40" applyFont="1" applyFill="1" applyBorder="1" applyAlignment="1">
      <alignment horizontal="left" vertical="center" wrapText="1"/>
    </xf>
    <xf numFmtId="0" fontId="154" fillId="138" borderId="115" xfId="40" applyFont="1" applyFill="1" applyBorder="1" applyAlignment="1">
      <alignment horizontal="left" vertical="center" wrapText="1"/>
    </xf>
    <xf numFmtId="0" fontId="154" fillId="149" borderId="115" xfId="40" applyFont="1" applyFill="1" applyBorder="1" applyAlignment="1">
      <alignment horizontal="left" vertical="center" wrapText="1"/>
    </xf>
    <xf numFmtId="0" fontId="154" fillId="141" borderId="115" xfId="40" applyFont="1" applyFill="1" applyBorder="1" applyAlignment="1">
      <alignment horizontal="left" vertical="center" wrapText="1"/>
    </xf>
    <xf numFmtId="0" fontId="154" fillId="132" borderId="120" xfId="40" applyFont="1" applyFill="1" applyBorder="1" applyAlignment="1">
      <alignment horizontal="left" vertical="center" wrapText="1"/>
    </xf>
    <xf numFmtId="0" fontId="154" fillId="140" borderId="120" xfId="40" applyFont="1" applyFill="1" applyBorder="1" applyAlignment="1">
      <alignment horizontal="left" vertical="center" wrapText="1"/>
    </xf>
    <xf numFmtId="0" fontId="154" fillId="140" borderId="156" xfId="40" applyFont="1" applyFill="1" applyBorder="1" applyAlignment="1">
      <alignment horizontal="left" vertical="center" wrapText="1"/>
    </xf>
    <xf numFmtId="0" fontId="154" fillId="140" borderId="127" xfId="40" applyFont="1" applyFill="1" applyBorder="1" applyAlignment="1">
      <alignment horizontal="left" vertical="center" wrapText="1"/>
    </xf>
    <xf numFmtId="0" fontId="131" fillId="109" borderId="116" xfId="40" applyFont="1" applyBorder="1" applyAlignment="1">
      <alignment horizontal="center" vertical="center" wrapText="1"/>
    </xf>
    <xf numFmtId="0" fontId="132" fillId="109" borderId="116" xfId="40" applyFont="1" applyBorder="1" applyAlignment="1">
      <alignment horizontal="center" vertical="center" wrapText="1"/>
    </xf>
    <xf numFmtId="0" fontId="131" fillId="109" borderId="109" xfId="40" applyFont="1" applyBorder="1" applyAlignment="1">
      <alignment horizontal="center" vertical="center" wrapText="1"/>
    </xf>
    <xf numFmtId="0" fontId="143" fillId="109" borderId="115" xfId="40" applyFont="1" applyBorder="1" applyAlignment="1">
      <alignment horizontal="center" vertical="center" wrapText="1"/>
    </xf>
    <xf numFmtId="0" fontId="144" fillId="109" borderId="115" xfId="40" applyFont="1" applyBorder="1" applyAlignment="1">
      <alignment horizontal="center" vertical="center" wrapText="1"/>
    </xf>
    <xf numFmtId="0" fontId="143" fillId="109" borderId="117" xfId="40" applyFont="1" applyBorder="1" applyAlignment="1">
      <alignment horizontal="center" vertical="center" wrapText="1"/>
    </xf>
    <xf numFmtId="0" fontId="127" fillId="114" borderId="110" xfId="40" applyFont="1" applyFill="1" applyBorder="1" applyAlignment="1">
      <alignment horizontal="center" vertical="center" wrapText="1"/>
    </xf>
    <xf numFmtId="0" fontId="156" fillId="114" borderId="111" xfId="40" applyFont="1" applyFill="1" applyBorder="1" applyAlignment="1">
      <alignment horizontal="center" vertical="center" wrapText="1"/>
    </xf>
    <xf numFmtId="0" fontId="154" fillId="114" borderId="131"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59" borderId="120" xfId="40" applyFont="1" applyFill="1" applyBorder="1" applyAlignment="1">
      <alignment horizontal="center" vertical="center" wrapText="1"/>
    </xf>
    <xf numFmtId="0" fontId="154" fillId="114" borderId="120" xfId="40" applyFont="1" applyFill="1" applyBorder="1" applyAlignment="1">
      <alignment horizontal="center" vertical="center" wrapText="1"/>
    </xf>
    <xf numFmtId="0" fontId="156" fillId="154" borderId="110" xfId="40" applyFont="1" applyFill="1" applyBorder="1" applyAlignment="1">
      <alignment horizontal="center" vertical="center" wrapText="1"/>
    </xf>
    <xf numFmtId="0" fontId="154" fillId="154" borderId="131"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6" borderId="120" xfId="40" applyFont="1" applyFill="1" applyBorder="1" applyAlignment="1">
      <alignment horizontal="center" vertical="center" wrapText="1"/>
    </xf>
    <xf numFmtId="0" fontId="154" fillId="154" borderId="120" xfId="40" applyFont="1" applyFill="1" applyBorder="1" applyAlignment="1">
      <alignment horizontal="center" vertical="center" wrapText="1"/>
    </xf>
    <xf numFmtId="0" fontId="169" fillId="113" borderId="115" xfId="40" applyFont="1" applyFill="1" applyBorder="1" applyAlignment="1">
      <alignment horizontal="center" vertical="center" wrapText="1"/>
    </xf>
    <xf numFmtId="0" fontId="136" fillId="126" borderId="110" xfId="40" applyFont="1" applyFill="1" applyBorder="1" applyAlignment="1">
      <alignment horizontal="center" vertical="center"/>
    </xf>
    <xf numFmtId="0" fontId="170" fillId="156" borderId="115" xfId="40" applyFont="1" applyFill="1" applyBorder="1" applyAlignment="1">
      <alignment horizontal="center" vertical="center" wrapText="1"/>
    </xf>
    <xf numFmtId="0" fontId="171" fillId="113" borderId="106" xfId="40" applyFont="1" applyFill="1" applyAlignment="1">
      <alignment horizontal="center" vertical="center" wrapText="1"/>
    </xf>
    <xf numFmtId="0" fontId="174" fillId="113" borderId="106" xfId="40" applyFont="1" applyFill="1" applyAlignment="1">
      <alignment horizontal="center" vertical="center" wrapText="1"/>
    </xf>
    <xf numFmtId="0" fontId="172" fillId="113" borderId="106" xfId="40" applyFont="1" applyFill="1" applyAlignment="1">
      <alignment vertical="top" wrapText="1"/>
    </xf>
    <xf numFmtId="0" fontId="175" fillId="113" borderId="106" xfId="40" applyFont="1" applyFill="1" applyAlignment="1">
      <alignment horizontal="center" vertical="center"/>
    </xf>
    <xf numFmtId="0" fontId="136" fillId="125" borderId="145" xfId="40" applyFont="1" applyFill="1" applyBorder="1" applyAlignment="1">
      <alignment horizontal="center" vertical="center" wrapText="1"/>
    </xf>
    <xf numFmtId="0" fontId="138" fillId="125" borderId="156" xfId="40" applyFont="1" applyFill="1" applyBorder="1" applyAlignment="1">
      <alignment horizontal="center" vertical="center" wrapText="1"/>
    </xf>
    <xf numFmtId="0" fontId="138" fillId="125" borderId="127" xfId="40" applyFont="1" applyFill="1" applyBorder="1" applyAlignment="1">
      <alignment horizontal="center" vertical="center" wrapText="1"/>
    </xf>
    <xf numFmtId="0" fontId="138" fillId="139" borderId="12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28" fillId="109" borderId="115" xfId="40" applyFont="1" applyBorder="1"/>
    <xf numFmtId="0" fontId="138" fillId="109" borderId="115" xfId="40" applyFont="1" applyBorder="1"/>
    <xf numFmtId="0" fontId="138" fillId="125" borderId="127" xfId="40" applyFont="1" applyFill="1" applyBorder="1" applyAlignment="1">
      <alignment horizontal="center" vertical="center" wrapText="1"/>
    </xf>
    <xf numFmtId="0" fontId="138" fillId="125" borderId="143" xfId="40" applyFont="1" applyFill="1" applyBorder="1" applyAlignment="1">
      <alignment horizontal="center" vertical="center" wrapText="1"/>
    </xf>
    <xf numFmtId="0" fontId="138" fillId="132" borderId="127" xfId="40" applyFont="1" applyFill="1" applyBorder="1" applyAlignment="1">
      <alignment horizontal="center" vertical="center" wrapText="1"/>
    </xf>
    <xf numFmtId="0" fontId="138" fillId="138" borderId="127" xfId="40" applyFont="1" applyFill="1" applyBorder="1" applyAlignment="1">
      <alignment horizontal="center" vertical="center" wrapText="1"/>
    </xf>
    <xf numFmtId="0" fontId="138" fillId="109" borderId="115" xfId="40" applyFont="1" applyBorder="1" applyAlignment="1">
      <alignment vertical="center" wrapText="1"/>
    </xf>
    <xf numFmtId="0" fontId="154" fillId="109" borderId="115" xfId="40" applyFont="1" applyBorder="1" applyAlignment="1">
      <alignment vertical="center" wrapText="1"/>
    </xf>
    <xf numFmtId="0" fontId="154" fillId="148" borderId="115" xfId="40" applyFont="1" applyFill="1" applyBorder="1" applyAlignment="1">
      <alignment vertical="center" wrapText="1"/>
    </xf>
    <xf numFmtId="0" fontId="154" fillId="109" borderId="115" xfId="40" applyFont="1" applyBorder="1" applyAlignment="1">
      <alignment horizontal="left" vertical="center" wrapText="1"/>
    </xf>
    <xf numFmtId="0" fontId="163" fillId="109" borderId="115" xfId="40" applyFont="1" applyBorder="1" applyAlignment="1">
      <alignment vertical="center" wrapText="1"/>
    </xf>
    <xf numFmtId="0" fontId="138" fillId="125" borderId="127" xfId="40" applyFont="1" applyFill="1" applyBorder="1" applyAlignment="1">
      <alignment horizontal="left" vertical="center" wrapText="1"/>
    </xf>
    <xf numFmtId="0" fontId="138" fillId="132" borderId="144" xfId="40" applyFont="1" applyFill="1" applyBorder="1" applyAlignment="1">
      <alignment horizontal="left" vertical="center" wrapText="1"/>
    </xf>
    <xf numFmtId="0" fontId="138" fillId="138" borderId="115" xfId="40" applyFont="1" applyFill="1" applyBorder="1" applyAlignment="1">
      <alignment horizontal="left" vertical="center" wrapText="1"/>
    </xf>
    <xf numFmtId="0" fontId="138" fillId="138" borderId="156" xfId="40" applyFont="1" applyFill="1" applyBorder="1" applyAlignment="1">
      <alignment horizontal="left" vertical="center" wrapText="1"/>
    </xf>
    <xf numFmtId="0" fontId="154" fillId="125" borderId="127" xfId="40" applyFont="1" applyFill="1" applyBorder="1" applyAlignment="1">
      <alignment horizontal="left" vertical="center" wrapText="1"/>
    </xf>
    <xf numFmtId="0" fontId="176" fillId="125" borderId="156" xfId="40" applyFont="1" applyFill="1" applyBorder="1" applyAlignment="1">
      <alignment horizontal="left" vertical="center" wrapText="1"/>
    </xf>
    <xf numFmtId="0" fontId="136" fillId="114" borderId="107" xfId="40" applyFont="1" applyFill="1" applyBorder="1" applyAlignment="1">
      <alignment vertical="center" wrapText="1"/>
    </xf>
    <xf numFmtId="0" fontId="136" fillId="114" borderId="128" xfId="40" applyFont="1" applyFill="1" applyBorder="1" applyAlignment="1">
      <alignment vertical="center" wrapText="1"/>
    </xf>
    <xf numFmtId="0" fontId="136" fillId="114" borderId="112" xfId="40" applyFont="1" applyFill="1" applyBorder="1" applyAlignment="1">
      <alignment vertical="center" wrapText="1"/>
    </xf>
    <xf numFmtId="0" fontId="136" fillId="114" borderId="106" xfId="40" applyFont="1" applyFill="1" applyAlignment="1">
      <alignment vertical="center" wrapText="1"/>
    </xf>
    <xf numFmtId="0" fontId="136" fillId="114" borderId="149" xfId="40" applyFont="1" applyFill="1" applyBorder="1" applyAlignment="1">
      <alignment vertical="center" wrapText="1"/>
    </xf>
    <xf numFmtId="0" fontId="128" fillId="109" borderId="131" xfId="40" applyFont="1" applyBorder="1"/>
    <xf numFmtId="0" fontId="154" fillId="125" borderId="143" xfId="40" applyFont="1" applyFill="1" applyBorder="1" applyAlignment="1">
      <alignment horizontal="left" vertical="center" wrapText="1"/>
    </xf>
    <xf numFmtId="0" fontId="154" fillId="132" borderId="127" xfId="40" applyFont="1" applyFill="1" applyBorder="1" applyAlignment="1">
      <alignment horizontal="left" vertical="center" wrapText="1"/>
    </xf>
    <xf numFmtId="0" fontId="138" fillId="132" borderId="127" xfId="40" applyFont="1" applyFill="1" applyBorder="1" applyAlignment="1">
      <alignment horizontal="left" vertical="center" wrapText="1"/>
    </xf>
    <xf numFmtId="0" fontId="158" fillId="109" borderId="127" xfId="40" applyFont="1" applyBorder="1" applyAlignment="1">
      <alignment vertical="center" wrapText="1"/>
    </xf>
    <xf numFmtId="0" fontId="157" fillId="109" borderId="158" xfId="40" applyFont="1" applyBorder="1" applyAlignment="1">
      <alignment vertical="center" wrapText="1"/>
    </xf>
    <xf numFmtId="0" fontId="158" fillId="109" borderId="156" xfId="40" applyFont="1" applyBorder="1" applyAlignment="1">
      <alignment vertical="center" wrapText="1"/>
    </xf>
    <xf numFmtId="0" fontId="158" fillId="133" borderId="127" xfId="40" applyFont="1" applyFill="1" applyBorder="1" applyAlignment="1">
      <alignment vertical="center" wrapText="1"/>
    </xf>
    <xf numFmtId="0" fontId="158" fillId="109" borderId="144" xfId="40" applyFont="1" applyBorder="1" applyAlignment="1">
      <alignment vertical="center" wrapText="1"/>
    </xf>
    <xf numFmtId="0" fontId="158" fillId="137" borderId="127" xfId="40" applyFont="1" applyFill="1" applyBorder="1" applyAlignment="1">
      <alignment vertical="center" wrapText="1"/>
    </xf>
    <xf numFmtId="0" fontId="154" fillId="160" borderId="115" xfId="40" applyFont="1" applyFill="1" applyBorder="1" applyAlignment="1">
      <alignment horizontal="left" vertical="center" wrapText="1"/>
    </xf>
    <xf numFmtId="0" fontId="154" fillId="161" borderId="115" xfId="40" applyFont="1" applyFill="1" applyBorder="1" applyAlignment="1">
      <alignment horizontal="left" vertical="center" wrapText="1"/>
    </xf>
    <xf numFmtId="0" fontId="150" fillId="113" borderId="106" xfId="40" applyFont="1" applyFill="1" applyAlignment="1">
      <alignment horizontal="center" vertical="center"/>
    </xf>
    <xf numFmtId="0" fontId="137" fillId="113" borderId="106" xfId="40" applyFont="1" applyFill="1" applyAlignment="1">
      <alignment horizontal="center" vertical="center"/>
    </xf>
    <xf numFmtId="0" fontId="146" fillId="114" borderId="107" xfId="40" applyFont="1" applyFill="1" applyBorder="1" applyAlignment="1">
      <alignment horizontal="left" vertical="center" wrapText="1"/>
    </xf>
    <xf numFmtId="0" fontId="146" fillId="114" borderId="128" xfId="40" applyFont="1" applyFill="1" applyBorder="1" applyAlignment="1">
      <alignment horizontal="left" vertical="center" wrapText="1"/>
    </xf>
    <xf numFmtId="0" fontId="146" fillId="114" borderId="113" xfId="40" applyFont="1" applyFill="1" applyBorder="1" applyAlignment="1">
      <alignment horizontal="left" vertical="center" wrapText="1"/>
    </xf>
    <xf numFmtId="0" fontId="136" fillId="114" borderId="107" xfId="40" applyFont="1" applyFill="1" applyBorder="1" applyAlignment="1">
      <alignment horizontal="left" vertical="center" wrapText="1"/>
    </xf>
    <xf numFmtId="0" fontId="136" fillId="114" borderId="128" xfId="40" applyFont="1" applyFill="1" applyBorder="1" applyAlignment="1">
      <alignment horizontal="left" vertical="center" wrapText="1"/>
    </xf>
    <xf numFmtId="0" fontId="136" fillId="114" borderId="112" xfId="40" applyFont="1" applyFill="1" applyBorder="1" applyAlignment="1">
      <alignment horizontal="left" vertical="center" wrapText="1"/>
    </xf>
    <xf numFmtId="0" fontId="134" fillId="114" borderId="108" xfId="40" applyFont="1" applyFill="1" applyBorder="1" applyAlignment="1">
      <alignment horizontal="right" vertical="center" wrapText="1"/>
    </xf>
    <xf numFmtId="0" fontId="134" fillId="114" borderId="109" xfId="40" applyFont="1" applyFill="1" applyBorder="1" applyAlignment="1">
      <alignment horizontal="right" vertical="center" wrapText="1"/>
    </xf>
    <xf numFmtId="0" fontId="134" fillId="114" borderId="110" xfId="40" applyFont="1" applyFill="1" applyBorder="1" applyAlignment="1">
      <alignment horizontal="right" vertical="center" wrapText="1"/>
    </xf>
    <xf numFmtId="0" fontId="134" fillId="114" borderId="111" xfId="40" applyFont="1" applyFill="1" applyBorder="1" applyAlignment="1">
      <alignment horizontal="right" vertical="center" wrapText="1"/>
    </xf>
    <xf numFmtId="0" fontId="153" fillId="114" borderId="108" xfId="40" applyFont="1" applyFill="1" applyBorder="1" applyAlignment="1">
      <alignment horizontal="center" vertical="center" wrapText="1"/>
    </xf>
    <xf numFmtId="0" fontId="153" fillId="114" borderId="109" xfId="40" applyFont="1" applyFill="1" applyBorder="1" applyAlignment="1">
      <alignment horizontal="center" vertical="center" wrapText="1"/>
    </xf>
    <xf numFmtId="0" fontId="153" fillId="154" borderId="108" xfId="40" applyFont="1" applyFill="1" applyBorder="1" applyAlignment="1">
      <alignment horizontal="center" vertical="center" wrapText="1"/>
    </xf>
    <xf numFmtId="0" fontId="153" fillId="154" borderId="109" xfId="40" applyFont="1" applyFill="1" applyBorder="1" applyAlignment="1">
      <alignment horizontal="center" vertical="center" wrapText="1"/>
    </xf>
    <xf numFmtId="0" fontId="153" fillId="126" borderId="108" xfId="40" applyFont="1" applyFill="1" applyBorder="1" applyAlignment="1">
      <alignment horizontal="center" vertical="center" wrapText="1"/>
    </xf>
    <xf numFmtId="0" fontId="153" fillId="126" borderId="109" xfId="40" applyFont="1" applyFill="1" applyBorder="1" applyAlignment="1">
      <alignment horizontal="center" vertical="center" wrapText="1"/>
    </xf>
    <xf numFmtId="0" fontId="122" fillId="114" borderId="152" xfId="40" applyFont="1" applyFill="1" applyBorder="1" applyAlignment="1">
      <alignment horizontal="center" vertical="center" wrapText="1"/>
    </xf>
    <xf numFmtId="0" fontId="122" fillId="114" borderId="106" xfId="40" applyFont="1" applyFill="1" applyAlignment="1">
      <alignment horizontal="center" vertical="center" wrapText="1"/>
    </xf>
    <xf numFmtId="0" fontId="136" fillId="125" borderId="156" xfId="40" applyFont="1" applyFill="1" applyBorder="1" applyAlignment="1">
      <alignment horizontal="center" vertical="center" wrapText="1"/>
    </xf>
    <xf numFmtId="0" fontId="136" fillId="125" borderId="137" xfId="40" applyFont="1" applyFill="1" applyBorder="1" applyAlignment="1">
      <alignment horizontal="center" vertical="center" wrapText="1"/>
    </xf>
    <xf numFmtId="0" fontId="136" fillId="114" borderId="106" xfId="40" applyFont="1" applyFill="1" applyAlignment="1">
      <alignment horizontal="left" vertical="center" wrapText="1"/>
    </xf>
    <xf numFmtId="0" fontId="136" fillId="114" borderId="149" xfId="40" applyFont="1" applyFill="1" applyBorder="1" applyAlignment="1">
      <alignment horizontal="left" vertical="center" wrapText="1"/>
    </xf>
    <xf numFmtId="0" fontId="122" fillId="114" borderId="132" xfId="40" applyFont="1" applyFill="1" applyBorder="1" applyAlignment="1">
      <alignment horizontal="center" vertical="center" wrapText="1"/>
    </xf>
    <xf numFmtId="0" fontId="122" fillId="114" borderId="133" xfId="40" applyFont="1" applyFill="1" applyBorder="1" applyAlignment="1">
      <alignment horizontal="center" vertical="center" wrapText="1"/>
    </xf>
    <xf numFmtId="0" fontId="122" fillId="114" borderId="139" xfId="40" applyFont="1" applyFill="1" applyBorder="1" applyAlignment="1">
      <alignment horizontal="center" vertical="center" wrapText="1"/>
    </xf>
    <xf numFmtId="0" fontId="122" fillId="114" borderId="15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36" fillId="114" borderId="136" xfId="40" applyFont="1" applyFill="1" applyBorder="1" applyAlignment="1">
      <alignment horizontal="left" vertical="center" wrapText="1"/>
    </xf>
    <xf numFmtId="0" fontId="136" fillId="114" borderId="137" xfId="40" applyFont="1" applyFill="1" applyBorder="1" applyAlignment="1">
      <alignment horizontal="left" vertical="center" wrapText="1"/>
    </xf>
    <xf numFmtId="0" fontId="136" fillId="114" borderId="142" xfId="40" applyFont="1" applyFill="1" applyBorder="1" applyAlignment="1">
      <alignment horizontal="left" vertical="center" wrapText="1"/>
    </xf>
    <xf numFmtId="0" fontId="122" fillId="114" borderId="134" xfId="40" applyFont="1" applyFill="1" applyBorder="1" applyAlignment="1">
      <alignment horizontal="center" vertical="center" wrapText="1"/>
    </xf>
    <xf numFmtId="0" fontId="130" fillId="113" borderId="106" xfId="40" applyFont="1" applyFill="1" applyAlignment="1">
      <alignment horizontal="center"/>
    </xf>
    <xf numFmtId="0" fontId="129" fillId="113" borderId="106" xfId="40" applyFont="1" applyFill="1" applyAlignment="1">
      <alignment horizontal="center" vertical="center"/>
    </xf>
    <xf numFmtId="0" fontId="129" fillId="113" borderId="112" xfId="40" applyFont="1" applyFill="1" applyBorder="1" applyAlignment="1">
      <alignment horizontal="center"/>
    </xf>
    <xf numFmtId="0" fontId="140" fillId="114" borderId="132" xfId="40" applyFont="1" applyFill="1" applyBorder="1" applyAlignment="1">
      <alignment horizontal="left" vertical="center" wrapText="1"/>
    </xf>
    <xf numFmtId="0" fontId="140" fillId="114" borderId="133" xfId="40" applyFont="1" applyFill="1" applyBorder="1" applyAlignment="1">
      <alignment horizontal="left" vertical="center" wrapText="1"/>
    </xf>
    <xf numFmtId="0" fontId="140" fillId="114" borderId="157" xfId="40" applyFont="1" applyFill="1" applyBorder="1" applyAlignment="1">
      <alignment horizontal="left" vertical="center" wrapText="1"/>
    </xf>
    <xf numFmtId="0" fontId="127" fillId="140" borderId="114" xfId="40" applyFont="1" applyFill="1" applyBorder="1" applyAlignment="1">
      <alignment horizontal="center" vertical="center" wrapText="1"/>
    </xf>
    <xf numFmtId="0" fontId="127" fillId="140" borderId="117" xfId="40" applyFont="1" applyFill="1" applyBorder="1" applyAlignment="1">
      <alignment horizontal="center" vertical="center" wrapText="1"/>
    </xf>
    <xf numFmtId="0" fontId="145" fillId="114" borderId="146" xfId="40" applyFont="1" applyFill="1" applyBorder="1" applyAlignment="1">
      <alignment horizontal="center" vertical="center" wrapText="1"/>
    </xf>
    <xf numFmtId="0" fontId="141" fillId="114" borderId="147" xfId="40" applyFont="1" applyFill="1" applyBorder="1" applyAlignment="1">
      <alignment horizontal="center" vertical="center" wrapText="1"/>
    </xf>
    <xf numFmtId="0" fontId="141" fillId="114" borderId="148" xfId="40" applyFont="1" applyFill="1" applyBorder="1" applyAlignment="1">
      <alignment horizontal="center" vertical="center" wrapText="1"/>
    </xf>
    <xf numFmtId="0" fontId="141" fillId="114" borderId="149" xfId="40" applyFont="1" applyFill="1" applyBorder="1" applyAlignment="1">
      <alignment horizontal="center" vertical="center" wrapText="1"/>
    </xf>
    <xf numFmtId="0" fontId="122" fillId="114" borderId="108" xfId="40" applyFont="1" applyFill="1" applyBorder="1" applyAlignment="1">
      <alignment horizontal="center" vertical="center" wrapText="1"/>
    </xf>
    <xf numFmtId="0" fontId="122" fillId="114" borderId="109" xfId="40" applyFont="1" applyFill="1" applyBorder="1" applyAlignment="1">
      <alignment horizontal="center" vertical="center" wrapText="1"/>
    </xf>
    <xf numFmtId="0" fontId="122" fillId="154" borderId="108" xfId="40" applyFont="1" applyFill="1" applyBorder="1" applyAlignment="1">
      <alignment horizontal="center" vertical="center" wrapText="1"/>
    </xf>
    <xf numFmtId="0" fontId="122" fillId="154" borderId="109" xfId="40" applyFont="1" applyFill="1" applyBorder="1" applyAlignment="1">
      <alignment horizontal="center" vertical="center" wrapText="1"/>
    </xf>
    <xf numFmtId="0" fontId="122" fillId="126" borderId="108" xfId="40" applyFont="1" applyFill="1" applyBorder="1" applyAlignment="1">
      <alignment horizontal="center" vertical="center" wrapText="1"/>
    </xf>
    <xf numFmtId="0" fontId="122" fillId="126" borderId="109" xfId="40" applyFont="1" applyFill="1" applyBorder="1" applyAlignment="1">
      <alignment horizontal="center" vertical="center" wrapText="1"/>
    </xf>
    <xf numFmtId="0" fontId="127" fillId="125" borderId="108" xfId="40" applyFont="1" applyFill="1" applyBorder="1" applyAlignment="1">
      <alignment horizontal="center" vertical="center" wrapText="1"/>
    </xf>
    <xf numFmtId="0" fontId="127" fillId="125" borderId="116" xfId="40" applyFont="1" applyFill="1" applyBorder="1" applyAlignment="1">
      <alignment horizontal="center" vertical="center" wrapText="1"/>
    </xf>
    <xf numFmtId="0" fontId="127" fillId="125" borderId="143" xfId="40" applyFont="1" applyFill="1" applyBorder="1" applyAlignment="1">
      <alignment horizontal="center" vertical="center" wrapText="1"/>
    </xf>
    <xf numFmtId="0" fontId="140" fillId="114" borderId="134" xfId="40" applyFont="1" applyFill="1" applyBorder="1" applyAlignment="1">
      <alignment horizontal="left" vertical="center" wrapText="1"/>
    </xf>
    <xf numFmtId="0" fontId="140" fillId="114" borderId="115" xfId="40" applyFont="1" applyFill="1" applyBorder="1" applyAlignment="1">
      <alignment horizontal="left" vertical="center" wrapText="1"/>
    </xf>
    <xf numFmtId="0" fontId="140" fillId="114" borderId="107" xfId="40" applyFont="1" applyFill="1" applyBorder="1" applyAlignment="1">
      <alignment horizontal="left" vertical="center" wrapText="1"/>
    </xf>
    <xf numFmtId="0" fontId="140" fillId="114" borderId="128" xfId="40" applyFont="1" applyFill="1" applyBorder="1" applyAlignment="1">
      <alignment horizontal="left" vertical="center" wrapText="1"/>
    </xf>
    <xf numFmtId="0" fontId="140" fillId="114" borderId="113" xfId="40" applyFont="1" applyFill="1" applyBorder="1" applyAlignment="1">
      <alignment horizontal="left" vertical="center" wrapText="1"/>
    </xf>
    <xf numFmtId="0" fontId="173" fillId="113" borderId="106" xfId="40" applyFont="1" applyFill="1" applyAlignment="1">
      <alignment horizontal="center" vertical="center"/>
    </xf>
    <xf numFmtId="0" fontId="145" fillId="114" borderId="146" xfId="40" applyFont="1" applyFill="1" applyBorder="1" applyAlignment="1">
      <alignment horizontal="center" vertical="center" wrapText="1"/>
    </xf>
    <xf numFmtId="0" fontId="145" fillId="114" borderId="154" xfId="40" applyFont="1" applyFill="1" applyBorder="1" applyAlignment="1">
      <alignment horizontal="center" vertical="center" wrapText="1"/>
    </xf>
    <xf numFmtId="0" fontId="127" fillId="114" borderId="114" xfId="40" applyFont="1" applyFill="1" applyBorder="1" applyAlignment="1">
      <alignment horizontal="center" vertical="center"/>
    </xf>
    <xf numFmtId="0" fontId="127" fillId="114" borderId="115" xfId="40" applyFont="1" applyFill="1" applyBorder="1" applyAlignment="1">
      <alignment horizontal="center" vertical="center"/>
    </xf>
    <xf numFmtId="0" fontId="149" fillId="144" borderId="106" xfId="40" applyFont="1" applyFill="1" applyAlignment="1">
      <alignment horizontal="left" vertical="center"/>
    </xf>
    <xf numFmtId="0" fontId="149" fillId="145" borderId="106" xfId="40" applyFont="1" applyFill="1" applyAlignment="1">
      <alignment horizontal="left" vertical="center"/>
    </xf>
    <xf numFmtId="0" fontId="149" fillId="142" borderId="106" xfId="40" applyFont="1" applyFill="1" applyAlignment="1">
      <alignment horizontal="left" vertical="center"/>
    </xf>
    <xf numFmtId="0" fontId="149" fillId="143" borderId="106" xfId="40" applyFont="1" applyFill="1" applyAlignment="1">
      <alignment horizontal="left" vertical="center"/>
    </xf>
    <xf numFmtId="0" fontId="149" fillId="118" borderId="106" xfId="40" applyFont="1" applyFill="1" applyAlignment="1">
      <alignment horizontal="left" vertical="center"/>
    </xf>
    <xf numFmtId="0" fontId="177" fillId="162" borderId="159" xfId="60"/>
    <xf numFmtId="0" fontId="177" fillId="166" borderId="159" xfId="60" applyFill="1"/>
    <xf numFmtId="0" fontId="186" fillId="166" borderId="159" xfId="60" applyFont="1" applyFill="1"/>
    <xf numFmtId="0" fontId="186" fillId="162" borderId="175" xfId="60" applyFont="1" applyBorder="1" applyAlignment="1">
      <alignment horizontal="center" vertical="center"/>
    </xf>
    <xf numFmtId="0" fontId="177" fillId="169" borderId="161" xfId="60" applyFill="1" applyBorder="1"/>
    <xf numFmtId="0" fontId="177" fillId="170" borderId="169" xfId="60" applyFill="1" applyBorder="1"/>
    <xf numFmtId="0" fontId="188" fillId="171" borderId="162" xfId="60" applyFont="1" applyFill="1" applyBorder="1" applyAlignment="1">
      <alignment horizontal="center" vertical="center" wrapText="1"/>
    </xf>
    <xf numFmtId="0" fontId="177" fillId="166" borderId="159" xfId="60" applyFill="1" applyAlignment="1">
      <alignment horizontal="left" vertical="center"/>
    </xf>
    <xf numFmtId="0" fontId="188" fillId="169" borderId="168" xfId="60" applyFont="1" applyFill="1" applyBorder="1" applyAlignment="1">
      <alignment horizontal="center" vertical="center" wrapText="1"/>
    </xf>
    <xf numFmtId="0" fontId="188" fillId="171" borderId="168" xfId="60" applyFont="1" applyFill="1" applyBorder="1" applyAlignment="1">
      <alignment horizontal="center" vertical="center" wrapText="1"/>
    </xf>
    <xf numFmtId="0" fontId="186" fillId="162" borderId="176" xfId="60" applyFont="1" applyBorder="1" applyAlignment="1">
      <alignment horizontal="center" vertical="center"/>
    </xf>
    <xf numFmtId="0" fontId="177" fillId="170" borderId="168" xfId="60" applyFill="1" applyBorder="1"/>
    <xf numFmtId="0" fontId="177" fillId="172" borderId="168" xfId="60" applyFill="1" applyBorder="1"/>
    <xf numFmtId="0" fontId="177" fillId="173" borderId="170" xfId="60" applyFill="1" applyBorder="1"/>
    <xf numFmtId="0" fontId="188" fillId="170" borderId="168" xfId="60" applyFont="1" applyFill="1" applyBorder="1" applyAlignment="1">
      <alignment horizontal="center" vertical="center" wrapText="1"/>
    </xf>
    <xf numFmtId="0" fontId="188" fillId="173" borderId="168" xfId="60" applyFont="1" applyFill="1" applyBorder="1" applyAlignment="1">
      <alignment horizontal="center" vertical="center" wrapText="1"/>
    </xf>
    <xf numFmtId="0" fontId="177" fillId="173" borderId="168" xfId="60" applyFill="1" applyBorder="1"/>
    <xf numFmtId="0" fontId="188" fillId="172" borderId="168" xfId="60" applyFont="1" applyFill="1" applyBorder="1" applyAlignment="1">
      <alignment horizontal="center" vertical="center" wrapText="1"/>
    </xf>
    <xf numFmtId="0" fontId="188" fillId="174" borderId="168" xfId="60" applyFont="1" applyFill="1" applyBorder="1" applyAlignment="1">
      <alignment horizontal="center" vertical="center" wrapText="1"/>
    </xf>
    <xf numFmtId="0" fontId="186" fillId="162" borderId="177" xfId="60" applyFont="1" applyBorder="1" applyAlignment="1">
      <alignment horizontal="center" vertical="center"/>
    </xf>
    <xf numFmtId="0" fontId="188" fillId="174" borderId="163" xfId="60" applyFont="1" applyFill="1" applyBorder="1" applyAlignment="1">
      <alignment horizontal="center" vertical="center" wrapText="1"/>
    </xf>
    <xf numFmtId="0" fontId="188" fillId="174" borderId="171" xfId="60" applyFont="1" applyFill="1" applyBorder="1" applyAlignment="1">
      <alignment horizontal="center" vertical="center" wrapText="1"/>
    </xf>
    <xf numFmtId="0" fontId="188" fillId="174" borderId="164" xfId="60" applyFont="1" applyFill="1" applyBorder="1" applyAlignment="1">
      <alignment horizontal="center" vertical="center" wrapText="1"/>
    </xf>
    <xf numFmtId="0" fontId="186" fillId="162" borderId="159" xfId="60" applyFont="1"/>
    <xf numFmtId="0" fontId="186" fillId="162" borderId="178" xfId="60" applyFont="1" applyBorder="1" applyAlignment="1">
      <alignment horizontal="center" vertical="center"/>
    </xf>
    <xf numFmtId="0" fontId="186" fillId="162" borderId="179" xfId="60" applyFont="1" applyBorder="1" applyAlignment="1">
      <alignment horizontal="center" vertical="center"/>
    </xf>
    <xf numFmtId="0" fontId="177" fillId="175" borderId="169" xfId="60" applyFill="1" applyBorder="1"/>
    <xf numFmtId="0" fontId="189" fillId="175" borderId="168" xfId="60" applyFont="1" applyFill="1" applyBorder="1" applyAlignment="1">
      <alignment horizontal="center" vertical="center" wrapText="1"/>
    </xf>
    <xf numFmtId="0" fontId="177" fillId="175" borderId="167" xfId="60" applyFill="1" applyBorder="1"/>
    <xf numFmtId="0" fontId="177" fillId="172" borderId="167" xfId="60" applyFill="1" applyBorder="1"/>
    <xf numFmtId="0" fontId="177" fillId="171" borderId="168" xfId="60" applyFill="1" applyBorder="1"/>
    <xf numFmtId="0" fontId="179" fillId="166" borderId="159" xfId="60" applyFont="1" applyFill="1" applyAlignment="1">
      <alignment horizontal="left" vertical="center"/>
    </xf>
    <xf numFmtId="0" fontId="179" fillId="166" borderId="159" xfId="60" applyFont="1" applyFill="1" applyAlignment="1">
      <alignment horizontal="left" vertical="center" wrapText="1"/>
    </xf>
    <xf numFmtId="0" fontId="179" fillId="166" borderId="161" xfId="60" applyFont="1" applyFill="1" applyBorder="1" applyAlignment="1">
      <alignment horizontal="left" vertical="center" wrapText="1"/>
    </xf>
    <xf numFmtId="0" fontId="191" fillId="166" borderId="162" xfId="60" applyFont="1" applyFill="1" applyBorder="1" applyAlignment="1">
      <alignment horizontal="left" vertical="center" wrapText="1"/>
    </xf>
    <xf numFmtId="0" fontId="179" fillId="166" borderId="172" xfId="60" applyFont="1" applyFill="1" applyBorder="1" applyAlignment="1">
      <alignment horizontal="left" vertical="center" wrapText="1"/>
    </xf>
    <xf numFmtId="0" fontId="191" fillId="166" borderId="174" xfId="60" applyFont="1" applyFill="1" applyBorder="1" applyAlignment="1">
      <alignment horizontal="left" vertical="center" wrapText="1"/>
    </xf>
    <xf numFmtId="0" fontId="179" fillId="166" borderId="167" xfId="60" applyFont="1" applyFill="1" applyBorder="1" applyAlignment="1">
      <alignment horizontal="left" vertical="center" wrapText="1"/>
    </xf>
    <xf numFmtId="0" fontId="191" fillId="166" borderId="170" xfId="60" applyFont="1" applyFill="1" applyBorder="1" applyAlignment="1">
      <alignment horizontal="left" vertical="center" wrapText="1"/>
    </xf>
    <xf numFmtId="0" fontId="179" fillId="166" borderId="193" xfId="60" applyFont="1" applyFill="1" applyBorder="1" applyAlignment="1">
      <alignment horizontal="left" vertical="center" wrapText="1"/>
    </xf>
    <xf numFmtId="0" fontId="191" fillId="166" borderId="194" xfId="60" applyFont="1" applyFill="1" applyBorder="1" applyAlignment="1">
      <alignment horizontal="left" vertical="center" wrapText="1"/>
    </xf>
    <xf numFmtId="0" fontId="179" fillId="166" borderId="163" xfId="60" applyFont="1" applyFill="1" applyBorder="1" applyAlignment="1">
      <alignment horizontal="left" vertical="center" wrapText="1"/>
    </xf>
    <xf numFmtId="0" fontId="191" fillId="166" borderId="164" xfId="60" applyFont="1" applyFill="1" applyBorder="1" applyAlignment="1">
      <alignment horizontal="left" vertical="center" wrapText="1"/>
    </xf>
    <xf numFmtId="164" fontId="191" fillId="166" borderId="164" xfId="60" applyNumberFormat="1" applyFont="1" applyFill="1" applyBorder="1" applyAlignment="1">
      <alignment horizontal="left" vertical="center" wrapText="1"/>
    </xf>
    <xf numFmtId="0" fontId="199" fillId="162" borderId="168" xfId="60" applyFont="1" applyBorder="1" applyAlignment="1">
      <alignment horizontal="center" vertical="center"/>
    </xf>
    <xf numFmtId="0" fontId="200" fillId="174" borderId="168" xfId="60" applyFont="1" applyFill="1" applyBorder="1" applyAlignment="1">
      <alignment horizontal="center" vertical="center" wrapText="1"/>
    </xf>
    <xf numFmtId="0" fontId="182" fillId="166" borderId="159" xfId="60" applyFont="1" applyFill="1"/>
    <xf numFmtId="0" fontId="182" fillId="166" borderId="159" xfId="60" applyFont="1" applyFill="1" applyAlignment="1">
      <alignment horizontal="center" vertical="center" wrapText="1"/>
    </xf>
    <xf numFmtId="0" fontId="182" fillId="166" borderId="159" xfId="60" applyFont="1" applyFill="1" applyAlignment="1">
      <alignment horizontal="left" vertical="top" wrapText="1"/>
    </xf>
    <xf numFmtId="0" fontId="182" fillId="166" borderId="159" xfId="60" applyFont="1" applyFill="1" applyAlignment="1">
      <alignment horizontal="justify"/>
    </xf>
    <xf numFmtId="0" fontId="182" fillId="166" borderId="159" xfId="60" applyFont="1" applyFill="1" applyAlignment="1">
      <alignment horizontal="center" vertical="center"/>
    </xf>
    <xf numFmtId="0" fontId="182" fillId="162" borderId="159" xfId="60" applyFont="1"/>
    <xf numFmtId="0" fontId="183" fillId="166" borderId="159" xfId="60" applyFont="1" applyFill="1" applyAlignment="1">
      <alignment vertical="center"/>
    </xf>
    <xf numFmtId="0" fontId="183" fillId="162" borderId="159" xfId="60" applyFont="1" applyAlignment="1">
      <alignment vertical="center"/>
    </xf>
    <xf numFmtId="0" fontId="182" fillId="162" borderId="159" xfId="60" applyFont="1" applyAlignment="1">
      <alignment horizontal="center" vertical="center" wrapText="1"/>
    </xf>
    <xf numFmtId="0" fontId="182" fillId="162" borderId="159" xfId="60" applyFont="1" applyAlignment="1">
      <alignment horizontal="left" vertical="top" wrapText="1"/>
    </xf>
    <xf numFmtId="0" fontId="182" fillId="162" borderId="159" xfId="60" applyFont="1" applyAlignment="1">
      <alignment horizontal="justify"/>
    </xf>
    <xf numFmtId="0" fontId="182" fillId="162" borderId="159" xfId="60" applyFont="1" applyAlignment="1">
      <alignment horizontal="center" vertical="center"/>
    </xf>
    <xf numFmtId="0" fontId="191" fillId="166" borderId="159" xfId="60" applyFont="1" applyFill="1" applyAlignment="1">
      <alignment horizontal="left" vertical="center" wrapText="1"/>
    </xf>
    <xf numFmtId="0" fontId="185" fillId="166" borderId="159" xfId="60" applyFont="1" applyFill="1" applyAlignment="1">
      <alignment horizontal="left" vertical="center"/>
    </xf>
    <xf numFmtId="0" fontId="185" fillId="162" borderId="159" xfId="60" applyFont="1"/>
    <xf numFmtId="0" fontId="204" fillId="162" borderId="159" xfId="60" applyFont="1"/>
    <xf numFmtId="0" fontId="204" fillId="166" borderId="159" xfId="60" applyFont="1" applyFill="1"/>
    <xf numFmtId="0" fontId="200" fillId="174" borderId="182" xfId="60" applyFont="1" applyFill="1" applyBorder="1" applyAlignment="1">
      <alignment horizontal="center" vertical="center" wrapText="1"/>
    </xf>
    <xf numFmtId="0" fontId="199" fillId="162" borderId="182" xfId="60" applyFont="1" applyBorder="1" applyAlignment="1">
      <alignment horizontal="center" vertical="center"/>
    </xf>
    <xf numFmtId="0" fontId="200" fillId="174" borderId="204" xfId="60" applyFont="1" applyFill="1" applyBorder="1" applyAlignment="1">
      <alignment horizontal="center" vertical="center" wrapText="1"/>
    </xf>
    <xf numFmtId="0" fontId="199" fillId="162" borderId="204" xfId="60" applyFont="1" applyBorder="1" applyAlignment="1">
      <alignment horizontal="center" vertical="center"/>
    </xf>
    <xf numFmtId="0" fontId="188" fillId="174" borderId="169" xfId="60" applyFont="1" applyFill="1" applyBorder="1" applyAlignment="1">
      <alignment horizontal="center" vertical="center" wrapText="1"/>
    </xf>
    <xf numFmtId="0" fontId="188" fillId="174" borderId="206" xfId="60" applyFont="1" applyFill="1" applyBorder="1" applyAlignment="1">
      <alignment horizontal="center" vertical="center" wrapText="1"/>
    </xf>
    <xf numFmtId="0" fontId="188" fillId="174" borderId="188" xfId="60" applyFont="1" applyFill="1" applyBorder="1" applyAlignment="1">
      <alignment horizontal="center" vertical="center" wrapText="1"/>
    </xf>
    <xf numFmtId="0" fontId="190" fillId="162" borderId="167" xfId="60" applyFont="1" applyBorder="1" applyAlignment="1">
      <alignment vertical="top" wrapText="1"/>
    </xf>
    <xf numFmtId="0" fontId="199" fillId="162" borderId="170" xfId="60" applyFont="1" applyBorder="1" applyAlignment="1">
      <alignment horizontal="center" vertical="center"/>
    </xf>
    <xf numFmtId="0" fontId="190" fillId="162" borderId="183" xfId="60" applyFont="1" applyBorder="1" applyAlignment="1">
      <alignment vertical="top" wrapText="1"/>
    </xf>
    <xf numFmtId="0" fontId="177" fillId="195" borderId="205" xfId="60" applyFill="1" applyBorder="1" applyAlignment="1">
      <alignment horizontal="center"/>
    </xf>
    <xf numFmtId="0" fontId="177" fillId="199" borderId="205" xfId="60" applyFill="1" applyBorder="1" applyAlignment="1">
      <alignment horizontal="center"/>
    </xf>
    <xf numFmtId="0" fontId="177" fillId="200" borderId="205" xfId="60" applyFill="1" applyBorder="1" applyAlignment="1">
      <alignment horizontal="center"/>
    </xf>
    <xf numFmtId="0" fontId="177" fillId="197" borderId="205" xfId="60" applyFill="1" applyBorder="1" applyAlignment="1">
      <alignment horizontal="center"/>
    </xf>
    <xf numFmtId="0" fontId="177" fillId="173" borderId="205" xfId="60" applyFill="1" applyBorder="1" applyAlignment="1">
      <alignment horizontal="center"/>
    </xf>
    <xf numFmtId="0" fontId="208" fillId="162" borderId="159" xfId="60" applyFont="1" applyAlignment="1"/>
    <xf numFmtId="0" fontId="210" fillId="168" borderId="161" xfId="60" applyFont="1" applyFill="1" applyBorder="1" applyAlignment="1">
      <alignment horizontal="center" vertical="center" wrapText="1"/>
    </xf>
    <xf numFmtId="0" fontId="210" fillId="168" borderId="203" xfId="60" applyFont="1" applyFill="1" applyBorder="1" applyAlignment="1">
      <alignment vertical="center" wrapText="1"/>
    </xf>
    <xf numFmtId="0" fontId="193" fillId="179" borderId="163" xfId="60" applyFont="1" applyFill="1" applyBorder="1" applyAlignment="1">
      <alignment horizontal="center" vertical="center" wrapText="1"/>
    </xf>
    <xf numFmtId="0" fontId="193" fillId="179" borderId="164" xfId="60" applyFont="1" applyFill="1" applyBorder="1" applyAlignment="1">
      <alignment horizontal="center" vertical="center" wrapText="1"/>
    </xf>
    <xf numFmtId="0" fontId="193" fillId="168" borderId="163" xfId="60" applyFont="1" applyFill="1" applyBorder="1" applyAlignment="1">
      <alignment horizontal="center" vertical="center" wrapText="1"/>
    </xf>
    <xf numFmtId="0" fontId="211" fillId="162" borderId="171" xfId="60" applyFont="1" applyBorder="1" applyAlignment="1"/>
    <xf numFmtId="0" fontId="211" fillId="166" borderId="171" xfId="60" applyFont="1" applyFill="1" applyBorder="1" applyAlignment="1"/>
    <xf numFmtId="0" fontId="193" fillId="178" borderId="171" xfId="60" applyFont="1" applyFill="1" applyBorder="1" applyAlignment="1">
      <alignment horizontal="center" vertical="center" wrapText="1"/>
    </xf>
    <xf numFmtId="0" fontId="193" fillId="178" borderId="164" xfId="60" applyFont="1" applyFill="1" applyBorder="1" applyAlignment="1">
      <alignment horizontal="center" vertical="center" wrapText="1"/>
    </xf>
    <xf numFmtId="0" fontId="211" fillId="162" borderId="168" xfId="60" applyFont="1" applyBorder="1"/>
    <xf numFmtId="0" fontId="211" fillId="162" borderId="168" xfId="60" applyFont="1" applyBorder="1" applyAlignment="1">
      <alignment wrapText="1"/>
    </xf>
    <xf numFmtId="0" fontId="211" fillId="162" borderId="168" xfId="60" applyFont="1" applyBorder="1" applyAlignment="1">
      <alignment wrapText="1"/>
    </xf>
    <xf numFmtId="0" fontId="211" fillId="166" borderId="168" xfId="60" applyFont="1" applyFill="1" applyBorder="1"/>
    <xf numFmtId="0" fontId="211" fillId="190" borderId="168" xfId="60" applyFont="1" applyFill="1" applyBorder="1"/>
    <xf numFmtId="0" fontId="211" fillId="190" borderId="168" xfId="60" applyFont="1" applyFill="1" applyBorder="1" applyAlignment="1">
      <alignment wrapText="1"/>
    </xf>
    <xf numFmtId="0" fontId="211" fillId="190" borderId="168" xfId="60" applyFont="1" applyFill="1" applyBorder="1" applyAlignment="1">
      <alignment wrapText="1"/>
    </xf>
    <xf numFmtId="0" fontId="211" fillId="186" borderId="168" xfId="60" applyFont="1" applyFill="1" applyBorder="1"/>
    <xf numFmtId="0" fontId="211" fillId="184" borderId="168" xfId="60" applyFont="1" applyFill="1" applyBorder="1"/>
    <xf numFmtId="0" fontId="211" fillId="184" borderId="168" xfId="60" applyFont="1" applyFill="1" applyBorder="1" applyAlignment="1">
      <alignment wrapText="1"/>
    </xf>
    <xf numFmtId="0" fontId="211" fillId="184" borderId="168" xfId="60" applyFont="1" applyFill="1" applyBorder="1" applyAlignment="1">
      <alignment wrapText="1"/>
    </xf>
    <xf numFmtId="0" fontId="211" fillId="183" borderId="168" xfId="60" applyFont="1" applyFill="1" applyBorder="1"/>
    <xf numFmtId="0" fontId="212" fillId="168" borderId="163" xfId="60" applyFont="1" applyFill="1" applyBorder="1" applyAlignment="1">
      <alignment horizontal="center" vertical="center" wrapText="1"/>
    </xf>
    <xf numFmtId="0" fontId="213" fillId="162" borderId="171" xfId="60" applyFont="1" applyBorder="1" applyAlignment="1"/>
    <xf numFmtId="0" fontId="213" fillId="166" borderId="171" xfId="60" applyFont="1" applyFill="1" applyBorder="1" applyAlignment="1"/>
    <xf numFmtId="0" fontId="212" fillId="178" borderId="171" xfId="60" applyFont="1" applyFill="1" applyBorder="1" applyAlignment="1">
      <alignment horizontal="center" vertical="center" wrapText="1"/>
    </xf>
    <xf numFmtId="0" fontId="211" fillId="203" borderId="168" xfId="60" applyFont="1" applyFill="1" applyBorder="1"/>
    <xf numFmtId="0" fontId="211" fillId="203" borderId="168" xfId="60" applyFont="1" applyFill="1" applyBorder="1" applyAlignment="1">
      <alignment wrapText="1"/>
    </xf>
    <xf numFmtId="0" fontId="211" fillId="203" borderId="168" xfId="60" applyFont="1" applyFill="1" applyBorder="1" applyAlignment="1">
      <alignment wrapText="1"/>
    </xf>
    <xf numFmtId="0" fontId="211" fillId="204" borderId="168" xfId="60" applyFont="1" applyFill="1" applyBorder="1"/>
    <xf numFmtId="0" fontId="211" fillId="204" borderId="168" xfId="60" applyFont="1" applyFill="1" applyBorder="1" applyAlignment="1">
      <alignment wrapText="1"/>
    </xf>
    <xf numFmtId="0" fontId="211" fillId="204" borderId="168" xfId="60" applyFont="1" applyFill="1" applyBorder="1" applyAlignment="1">
      <alignment wrapText="1"/>
    </xf>
    <xf numFmtId="0" fontId="211" fillId="166" borderId="168" xfId="60" applyFont="1" applyFill="1" applyBorder="1" applyAlignment="1">
      <alignment horizontal="center" vertical="center" wrapText="1"/>
    </xf>
    <xf numFmtId="0" fontId="179" fillId="168" borderId="175" xfId="60" applyFont="1" applyFill="1" applyBorder="1" applyAlignment="1">
      <alignment horizontal="center" vertical="center" wrapText="1"/>
    </xf>
    <xf numFmtId="0" fontId="179" fillId="168" borderId="203" xfId="60" applyFont="1" applyFill="1" applyBorder="1" applyAlignment="1">
      <alignment horizontal="center" vertical="center" wrapText="1"/>
    </xf>
    <xf numFmtId="0" fontId="183" fillId="166" borderId="159" xfId="60" applyFont="1" applyFill="1" applyAlignment="1">
      <alignment horizontal="center" vertical="center"/>
    </xf>
    <xf numFmtId="0" fontId="183" fillId="162" borderId="159" xfId="60" applyFont="1" applyAlignment="1">
      <alignment horizontal="center" vertical="center"/>
    </xf>
    <xf numFmtId="0" fontId="196" fillId="166" borderId="159" xfId="60" applyFont="1" applyFill="1" applyAlignment="1">
      <alignment horizontal="center" vertical="center"/>
    </xf>
    <xf numFmtId="0" fontId="196" fillId="162" borderId="159" xfId="60" applyFont="1" applyAlignment="1">
      <alignment horizontal="center" vertical="center"/>
    </xf>
    <xf numFmtId="0" fontId="196" fillId="162" borderId="168" xfId="60" applyFont="1" applyBorder="1" applyAlignment="1">
      <alignment horizontal="center" vertical="center"/>
    </xf>
    <xf numFmtId="0" fontId="213" fillId="162" borderId="171" xfId="60" applyFont="1" applyBorder="1" applyAlignment="1">
      <alignment horizontal="center" vertical="center"/>
    </xf>
    <xf numFmtId="0" fontId="213" fillId="166" borderId="171" xfId="60" applyFont="1" applyFill="1" applyBorder="1" applyAlignment="1">
      <alignment horizontal="center" vertical="center"/>
    </xf>
    <xf numFmtId="0" fontId="213" fillId="177" borderId="164" xfId="60" applyFont="1" applyFill="1" applyBorder="1" applyAlignment="1">
      <alignment horizontal="center" vertical="center" wrapText="1"/>
    </xf>
    <xf numFmtId="0" fontId="213" fillId="179" borderId="163" xfId="60" applyFont="1" applyFill="1" applyBorder="1" applyAlignment="1">
      <alignment horizontal="center" vertical="center" wrapText="1"/>
    </xf>
    <xf numFmtId="0" fontId="213" fillId="179" borderId="164" xfId="60" applyFont="1" applyFill="1" applyBorder="1" applyAlignment="1">
      <alignment horizontal="center" vertical="center" wrapText="1"/>
    </xf>
    <xf numFmtId="0" fontId="213" fillId="168" borderId="163" xfId="60" applyFont="1" applyFill="1" applyBorder="1" applyAlignment="1">
      <alignment horizontal="center" vertical="center" wrapText="1"/>
    </xf>
    <xf numFmtId="0" fontId="213" fillId="178" borderId="163" xfId="60" applyFont="1" applyFill="1" applyBorder="1" applyAlignment="1">
      <alignment horizontal="center" vertical="center" wrapText="1"/>
    </xf>
    <xf numFmtId="0" fontId="213" fillId="178" borderId="171" xfId="60" applyFont="1" applyFill="1" applyBorder="1" applyAlignment="1">
      <alignment horizontal="center" vertical="center" wrapText="1"/>
    </xf>
    <xf numFmtId="0" fontId="213" fillId="178" borderId="198" xfId="60" applyFont="1" applyFill="1" applyBorder="1" applyAlignment="1">
      <alignment horizontal="center" vertical="center" wrapText="1"/>
    </xf>
    <xf numFmtId="0" fontId="213" fillId="193" borderId="167" xfId="60" applyFont="1" applyFill="1" applyBorder="1" applyAlignment="1">
      <alignment horizontal="center" vertical="center" wrapText="1"/>
    </xf>
    <xf numFmtId="0" fontId="213" fillId="193" borderId="170" xfId="60" applyFont="1" applyFill="1" applyBorder="1" applyAlignment="1">
      <alignment horizontal="center" vertical="center" wrapText="1"/>
    </xf>
    <xf numFmtId="0" fontId="214" fillId="169" borderId="171" xfId="60" applyFont="1" applyFill="1" applyBorder="1" applyAlignment="1">
      <alignment horizontal="center" vertical="center" wrapText="1"/>
    </xf>
    <xf numFmtId="0" fontId="215" fillId="175" borderId="171" xfId="60" applyFont="1" applyFill="1" applyBorder="1" applyAlignment="1">
      <alignment horizontal="center" vertical="center" wrapText="1"/>
    </xf>
    <xf numFmtId="0" fontId="214" fillId="170" borderId="171" xfId="60" applyFont="1" applyFill="1" applyBorder="1" applyAlignment="1">
      <alignment horizontal="center" vertical="center" wrapText="1"/>
    </xf>
    <xf numFmtId="0" fontId="214" fillId="172" borderId="171" xfId="60" applyFont="1" applyFill="1" applyBorder="1" applyAlignment="1">
      <alignment horizontal="center" vertical="center" wrapText="1"/>
    </xf>
    <xf numFmtId="0" fontId="214" fillId="171" borderId="171" xfId="60" applyFont="1" applyFill="1" applyBorder="1" applyAlignment="1">
      <alignment horizontal="center" vertical="center" wrapText="1"/>
    </xf>
    <xf numFmtId="0" fontId="214" fillId="173" borderId="171" xfId="60" applyFont="1" applyFill="1" applyBorder="1" applyAlignment="1">
      <alignment horizontal="center" vertical="center" wrapText="1"/>
    </xf>
    <xf numFmtId="0" fontId="214" fillId="174" borderId="171" xfId="60" applyFont="1" applyFill="1" applyBorder="1" applyAlignment="1">
      <alignment horizontal="center" vertical="center" wrapText="1"/>
    </xf>
    <xf numFmtId="0" fontId="195" fillId="166" borderId="159" xfId="60" applyFont="1" applyFill="1" applyAlignment="1">
      <alignment horizontal="left" vertical="center"/>
    </xf>
    <xf numFmtId="0" fontId="195" fillId="162" borderId="159" xfId="60" applyFont="1"/>
    <xf numFmtId="0" fontId="195" fillId="201" borderId="159" xfId="60" applyFont="1" applyFill="1"/>
    <xf numFmtId="0" fontId="211" fillId="176" borderId="168" xfId="60" applyFont="1" applyFill="1" applyBorder="1" applyAlignment="1">
      <alignment horizontal="left" vertical="center" wrapText="1"/>
    </xf>
    <xf numFmtId="0" fontId="211" fillId="179" borderId="168" xfId="60" applyFont="1" applyFill="1" applyBorder="1" applyAlignment="1">
      <alignment horizontal="center" vertical="center" wrapText="1"/>
    </xf>
    <xf numFmtId="0" fontId="211" fillId="179" borderId="168" xfId="60" applyFont="1" applyFill="1" applyBorder="1" applyAlignment="1">
      <alignment horizontal="left" vertical="center" wrapText="1"/>
    </xf>
    <xf numFmtId="0" fontId="211" fillId="178" borderId="168" xfId="60" applyFont="1" applyFill="1" applyBorder="1" applyAlignment="1">
      <alignment horizontal="center" vertical="center" wrapText="1"/>
    </xf>
    <xf numFmtId="0" fontId="211" fillId="178" borderId="168" xfId="60" applyFont="1" applyFill="1" applyBorder="1" applyAlignment="1">
      <alignment vertical="center" wrapText="1"/>
    </xf>
    <xf numFmtId="0" fontId="211" fillId="186" borderId="168" xfId="60" applyFont="1" applyFill="1" applyBorder="1" applyAlignment="1">
      <alignment horizontal="center" vertical="center" wrapText="1"/>
    </xf>
    <xf numFmtId="0" fontId="211" fillId="191" borderId="168" xfId="60" applyFont="1" applyFill="1" applyBorder="1" applyAlignment="1">
      <alignment horizontal="center" vertical="center" wrapText="1"/>
    </xf>
    <xf numFmtId="0" fontId="211" fillId="191" borderId="168" xfId="60" applyFont="1" applyFill="1" applyBorder="1" applyAlignment="1">
      <alignment horizontal="left" vertical="center" wrapText="1"/>
    </xf>
    <xf numFmtId="0" fontId="211" fillId="183" borderId="168" xfId="60" applyFont="1" applyFill="1" applyBorder="1" applyAlignment="1">
      <alignment horizontal="center" vertical="center" wrapText="1"/>
    </xf>
    <xf numFmtId="0" fontId="211" fillId="185" borderId="168" xfId="60" applyFont="1" applyFill="1" applyBorder="1" applyAlignment="1">
      <alignment horizontal="center" vertical="center" wrapText="1"/>
    </xf>
    <xf numFmtId="0" fontId="211" fillId="185"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203" borderId="168" xfId="60" applyFont="1" applyFill="1" applyBorder="1" applyAlignment="1">
      <alignment horizontal="center" vertical="center" wrapText="1"/>
    </xf>
    <xf numFmtId="0" fontId="211" fillId="166" borderId="183" xfId="60" applyFont="1" applyFill="1" applyBorder="1" applyAlignment="1">
      <alignment horizontal="center" vertical="center" wrapText="1"/>
    </xf>
    <xf numFmtId="0" fontId="211" fillId="166" borderId="167" xfId="60" applyFont="1" applyFill="1" applyBorder="1" applyAlignment="1">
      <alignment horizontal="center" vertical="center" wrapText="1"/>
    </xf>
    <xf numFmtId="0" fontId="211" fillId="186" borderId="167" xfId="60" applyFont="1" applyFill="1" applyBorder="1" applyAlignment="1">
      <alignment horizontal="center" vertical="center" wrapText="1"/>
    </xf>
    <xf numFmtId="0" fontId="211" fillId="166" borderId="172" xfId="60" applyFont="1" applyFill="1" applyBorder="1" applyAlignment="1">
      <alignment horizontal="center" vertical="center" wrapText="1"/>
    </xf>
    <xf numFmtId="0" fontId="220" fillId="205" borderId="191" xfId="60" applyFont="1" applyFill="1" applyBorder="1" applyAlignment="1">
      <alignment horizontal="center" vertical="center" wrapText="1"/>
    </xf>
    <xf numFmtId="0" fontId="220" fillId="205" borderId="208" xfId="60" applyFont="1" applyFill="1" applyBorder="1" applyAlignment="1">
      <alignment horizontal="center" vertical="center" wrapText="1"/>
    </xf>
    <xf numFmtId="0" fontId="220" fillId="206" borderId="163" xfId="60" applyFont="1" applyFill="1" applyBorder="1" applyAlignment="1">
      <alignment horizontal="center" vertical="center" wrapText="1"/>
    </xf>
    <xf numFmtId="0" fontId="220" fillId="206" borderId="208" xfId="60" applyFont="1" applyFill="1" applyBorder="1" applyAlignment="1">
      <alignment horizontal="center" vertical="center" wrapText="1"/>
    </xf>
    <xf numFmtId="0" fontId="193" fillId="167" borderId="163" xfId="60" applyFont="1" applyFill="1" applyBorder="1" applyAlignment="1">
      <alignment horizontal="center" vertical="center" wrapText="1"/>
    </xf>
    <xf numFmtId="0" fontId="193" fillId="167" borderId="164" xfId="60" applyFont="1" applyFill="1" applyBorder="1" applyAlignment="1">
      <alignment horizontal="center" vertical="center" wrapText="1"/>
    </xf>
    <xf numFmtId="0" fontId="193" fillId="207" borderId="163" xfId="60" applyFont="1" applyFill="1" applyBorder="1" applyAlignment="1">
      <alignment horizontal="center" vertical="center" wrapText="1"/>
    </xf>
    <xf numFmtId="0" fontId="193" fillId="207" borderId="164" xfId="60" applyFont="1" applyFill="1" applyBorder="1" applyAlignment="1">
      <alignment horizontal="center" vertical="center" wrapText="1"/>
    </xf>
    <xf numFmtId="0" fontId="220" fillId="208" borderId="191" xfId="60" applyFont="1" applyFill="1" applyBorder="1" applyAlignment="1">
      <alignment horizontal="center" vertical="center" wrapText="1"/>
    </xf>
    <xf numFmtId="0" fontId="220" fillId="208" borderId="208"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179" borderId="168" xfId="60" applyFont="1" applyFill="1" applyBorder="1" applyAlignment="1">
      <alignment vertical="center" wrapText="1"/>
    </xf>
    <xf numFmtId="0" fontId="222" fillId="169" borderId="171" xfId="60" applyFont="1" applyFill="1" applyBorder="1" applyAlignment="1">
      <alignment horizontal="center" vertical="center" wrapText="1"/>
    </xf>
    <xf numFmtId="0" fontId="210" fillId="175" borderId="171" xfId="60" applyFont="1" applyFill="1" applyBorder="1" applyAlignment="1">
      <alignment horizontal="center" vertical="center" wrapText="1"/>
    </xf>
    <xf numFmtId="0" fontId="222" fillId="170" borderId="171" xfId="60" applyFont="1" applyFill="1" applyBorder="1" applyAlignment="1">
      <alignment horizontal="center" vertical="center" wrapText="1"/>
    </xf>
    <xf numFmtId="0" fontId="222" fillId="172" borderId="171" xfId="60" applyFont="1" applyFill="1" applyBorder="1" applyAlignment="1">
      <alignment horizontal="center" vertical="center" wrapText="1"/>
    </xf>
    <xf numFmtId="0" fontId="222" fillId="171" borderId="171" xfId="60" applyFont="1" applyFill="1" applyBorder="1" applyAlignment="1">
      <alignment horizontal="center" vertical="center" wrapText="1"/>
    </xf>
    <xf numFmtId="0" fontId="222" fillId="173" borderId="171" xfId="60" applyFont="1" applyFill="1" applyBorder="1" applyAlignment="1">
      <alignment horizontal="center" vertical="center" wrapText="1"/>
    </xf>
    <xf numFmtId="0" fontId="222" fillId="174" borderId="171" xfId="60" applyFont="1" applyFill="1" applyBorder="1" applyAlignment="1">
      <alignment horizontal="center" vertical="center" wrapText="1"/>
    </xf>
    <xf numFmtId="0" fontId="195" fillId="166" borderId="167" xfId="60" applyFont="1" applyFill="1" applyBorder="1" applyAlignment="1">
      <alignment horizontal="center" vertical="center" wrapText="1"/>
    </xf>
    <xf numFmtId="0" fontId="213" fillId="166" borderId="167" xfId="60" applyFont="1" applyFill="1" applyBorder="1" applyAlignment="1">
      <alignment horizontal="center" vertical="center" wrapText="1"/>
    </xf>
    <xf numFmtId="0" fontId="195" fillId="162" borderId="159" xfId="60" applyFont="1" applyAlignment="1">
      <alignment wrapText="1"/>
    </xf>
    <xf numFmtId="0" fontId="211" fillId="178" borderId="168" xfId="60" applyFont="1" applyFill="1" applyBorder="1" applyAlignment="1">
      <alignment horizontal="center" vertical="center" wrapText="1"/>
    </xf>
    <xf numFmtId="0" fontId="211" fillId="176" borderId="168" xfId="60" applyFont="1" applyFill="1" applyBorder="1" applyAlignment="1">
      <alignment vertical="center" wrapText="1"/>
    </xf>
    <xf numFmtId="0" fontId="223" fillId="169" borderId="171" xfId="60" applyFont="1" applyFill="1" applyBorder="1" applyAlignment="1">
      <alignment horizontal="center" vertical="center" wrapText="1"/>
    </xf>
    <xf numFmtId="0" fontId="224" fillId="175" borderId="171" xfId="60" applyFont="1" applyFill="1" applyBorder="1" applyAlignment="1">
      <alignment horizontal="center" vertical="center" wrapText="1"/>
    </xf>
    <xf numFmtId="0" fontId="223" fillId="170" borderId="171" xfId="60" applyFont="1" applyFill="1" applyBorder="1" applyAlignment="1">
      <alignment horizontal="center" vertical="center" wrapText="1"/>
    </xf>
    <xf numFmtId="0" fontId="223" fillId="172" borderId="171" xfId="60" applyFont="1" applyFill="1" applyBorder="1" applyAlignment="1">
      <alignment horizontal="center" vertical="center" wrapText="1"/>
    </xf>
    <xf numFmtId="0" fontId="223" fillId="171" borderId="171" xfId="60" applyFont="1" applyFill="1" applyBorder="1" applyAlignment="1">
      <alignment horizontal="center" vertical="center" wrapText="1"/>
    </xf>
    <xf numFmtId="0" fontId="223" fillId="173" borderId="171" xfId="60" applyFont="1" applyFill="1" applyBorder="1" applyAlignment="1">
      <alignment horizontal="center" vertical="center" wrapText="1"/>
    </xf>
    <xf numFmtId="0" fontId="223" fillId="174" borderId="171" xfId="60" applyFont="1" applyFill="1" applyBorder="1" applyAlignment="1">
      <alignment horizontal="center" vertical="center" wrapText="1"/>
    </xf>
    <xf numFmtId="0" fontId="225" fillId="174" borderId="168" xfId="60" applyFont="1" applyFill="1" applyBorder="1" applyAlignment="1">
      <alignment horizontal="center" vertical="center" wrapText="1"/>
    </xf>
    <xf numFmtId="0" fontId="225" fillId="169" borderId="168" xfId="60" applyFont="1" applyFill="1" applyBorder="1" applyAlignment="1">
      <alignment horizontal="center" vertical="center" wrapText="1"/>
    </xf>
    <xf numFmtId="0" fontId="179" fillId="175" borderId="168" xfId="60" applyFont="1" applyFill="1" applyBorder="1" applyAlignment="1">
      <alignment horizontal="center" vertical="center" wrapText="1"/>
    </xf>
    <xf numFmtId="0" fontId="225" fillId="170" borderId="168" xfId="60" applyFont="1" applyFill="1" applyBorder="1" applyAlignment="1">
      <alignment horizontal="center" vertical="center" wrapText="1"/>
    </xf>
    <xf numFmtId="0" fontId="225" fillId="172" borderId="168" xfId="60" applyFont="1" applyFill="1" applyBorder="1" applyAlignment="1">
      <alignment horizontal="center" vertical="center" wrapText="1"/>
    </xf>
    <xf numFmtId="0" fontId="225" fillId="171" borderId="168" xfId="60" applyFont="1" applyFill="1" applyBorder="1" applyAlignment="1">
      <alignment horizontal="center" vertical="center" wrapText="1"/>
    </xf>
    <xf numFmtId="0" fontId="225" fillId="173" borderId="168" xfId="60" applyFont="1" applyFill="1" applyBorder="1" applyAlignment="1">
      <alignment horizontal="center" vertical="center" wrapText="1"/>
    </xf>
    <xf numFmtId="0" fontId="195" fillId="166" borderId="159" xfId="60" applyFont="1" applyFill="1" applyAlignment="1">
      <alignment horizontal="center" vertical="center"/>
    </xf>
    <xf numFmtId="0" fontId="211" fillId="177" borderId="184" xfId="60" applyFont="1" applyFill="1" applyBorder="1" applyAlignment="1">
      <alignment horizontal="center" vertical="center" wrapText="1"/>
    </xf>
    <xf numFmtId="0" fontId="211" fillId="179" borderId="168" xfId="60" applyFont="1" applyFill="1" applyBorder="1" applyAlignment="1">
      <alignment horizontal="center" vertical="center" wrapText="1"/>
    </xf>
    <xf numFmtId="0" fontId="211" fillId="179"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195" fillId="162" borderId="159" xfId="60" applyFont="1" applyAlignment="1">
      <alignment horizontal="center" vertical="center"/>
    </xf>
    <xf numFmtId="0" fontId="195" fillId="162" borderId="168" xfId="60" applyFont="1" applyBorder="1" applyAlignment="1">
      <alignment horizontal="center" vertical="center"/>
    </xf>
    <xf numFmtId="0" fontId="211" fillId="177" borderId="168" xfId="60" applyFont="1" applyFill="1" applyBorder="1" applyAlignment="1">
      <alignment horizontal="center" vertical="center" wrapText="1"/>
    </xf>
    <xf numFmtId="0" fontId="211" fillId="188" borderId="168" xfId="60" applyFont="1" applyFill="1" applyBorder="1" applyAlignment="1">
      <alignment horizontal="center" vertical="center" wrapText="1"/>
    </xf>
    <xf numFmtId="0" fontId="211" fillId="189" borderId="168" xfId="60" applyFont="1" applyFill="1" applyBorder="1" applyAlignment="1">
      <alignment horizontal="center" vertical="center" wrapText="1"/>
    </xf>
    <xf numFmtId="0" fontId="211" fillId="192" borderId="168" xfId="60" applyFont="1" applyFill="1" applyBorder="1" applyAlignment="1">
      <alignment horizontal="center" vertical="center" wrapText="1"/>
    </xf>
    <xf numFmtId="0" fontId="211" fillId="181" borderId="168" xfId="60" applyFont="1" applyFill="1" applyBorder="1" applyAlignment="1">
      <alignment horizontal="center" vertical="center" wrapText="1"/>
    </xf>
    <xf numFmtId="0" fontId="211" fillId="182" borderId="168" xfId="60" applyFont="1" applyFill="1" applyBorder="1" applyAlignment="1">
      <alignment horizontal="center" vertical="center" wrapText="1"/>
    </xf>
    <xf numFmtId="0" fontId="211" fillId="181" borderId="173" xfId="60" applyFont="1" applyFill="1" applyBorder="1" applyAlignment="1">
      <alignment horizontal="center" vertical="center" wrapText="1"/>
    </xf>
    <xf numFmtId="0" fontId="211" fillId="182" borderId="173" xfId="60" applyFont="1" applyFill="1" applyBorder="1" applyAlignment="1">
      <alignment horizontal="center" vertical="center" wrapText="1"/>
    </xf>
    <xf numFmtId="0" fontId="211" fillId="185" borderId="173" xfId="60" applyFont="1" applyFill="1" applyBorder="1" applyAlignment="1">
      <alignment horizontal="center" vertical="center" wrapText="1"/>
    </xf>
    <xf numFmtId="0" fontId="211" fillId="179" borderId="173" xfId="60" applyFont="1" applyFill="1" applyBorder="1" applyAlignment="1">
      <alignment horizontal="center" vertical="center" wrapText="1"/>
    </xf>
    <xf numFmtId="0" fontId="182" fillId="166" borderId="159" xfId="60" applyFont="1" applyFill="1" applyAlignment="1">
      <alignment horizontal="left" vertical="center" wrapText="1"/>
    </xf>
    <xf numFmtId="0" fontId="211" fillId="166" borderId="184" xfId="60" applyFont="1" applyFill="1" applyBorder="1" applyAlignment="1">
      <alignment horizontal="left" vertical="center" wrapText="1"/>
    </xf>
    <xf numFmtId="0" fontId="211" fillId="166" borderId="168" xfId="60" applyFont="1" applyFill="1" applyBorder="1" applyAlignment="1">
      <alignment horizontal="left" vertical="center" wrapText="1"/>
    </xf>
    <xf numFmtId="0" fontId="211" fillId="166" borderId="173" xfId="60" applyFont="1" applyFill="1" applyBorder="1" applyAlignment="1">
      <alignment horizontal="left" vertical="center" wrapText="1"/>
    </xf>
    <xf numFmtId="0" fontId="218" fillId="201" borderId="184" xfId="60" applyFont="1" applyFill="1" applyBorder="1" applyAlignment="1">
      <alignment horizontal="left" vertical="center" wrapText="1"/>
    </xf>
    <xf numFmtId="0" fontId="182" fillId="162" borderId="159" xfId="60" applyFont="1" applyAlignment="1">
      <alignment horizontal="left" vertical="center" wrapText="1"/>
    </xf>
    <xf numFmtId="0" fontId="211" fillId="176" borderId="184" xfId="60" applyFont="1" applyFill="1" applyBorder="1" applyAlignment="1">
      <alignment horizontal="left" vertical="center" wrapText="1"/>
    </xf>
    <xf numFmtId="0" fontId="211" fillId="179" borderId="168" xfId="60" applyFont="1" applyFill="1" applyBorder="1" applyAlignment="1">
      <alignment horizontal="left" vertical="center" wrapText="1"/>
    </xf>
    <xf numFmtId="0" fontId="211" fillId="179" borderId="184" xfId="60" applyFont="1" applyFill="1" applyBorder="1" applyAlignment="1">
      <alignment horizontal="left" vertical="center" wrapText="1"/>
    </xf>
    <xf numFmtId="0" fontId="211" fillId="201" borderId="184" xfId="60" applyFont="1" applyFill="1" applyBorder="1" applyAlignment="1">
      <alignment horizontal="left" vertical="center" wrapText="1"/>
    </xf>
    <xf numFmtId="0" fontId="211" fillId="201" borderId="184" xfId="60" applyFont="1" applyFill="1" applyBorder="1" applyAlignment="1">
      <alignment horizontal="left" vertical="center"/>
    </xf>
    <xf numFmtId="0" fontId="211" fillId="201" borderId="184" xfId="60" applyFont="1" applyFill="1" applyBorder="1" applyAlignment="1">
      <alignment horizontal="left" vertical="center" wrapText="1"/>
    </xf>
    <xf numFmtId="0" fontId="211" fillId="178" borderId="184" xfId="60" applyFont="1" applyFill="1" applyBorder="1" applyAlignment="1">
      <alignment horizontal="left" vertical="center" wrapText="1"/>
    </xf>
    <xf numFmtId="0" fontId="211" fillId="193" borderId="184" xfId="60" applyFont="1" applyFill="1" applyBorder="1" applyAlignment="1">
      <alignment horizontal="left" vertical="center" wrapText="1"/>
    </xf>
    <xf numFmtId="0" fontId="211" fillId="176" borderId="168" xfId="60" applyFont="1" applyFill="1" applyBorder="1" applyAlignment="1">
      <alignment horizontal="left" vertical="center" wrapText="1"/>
    </xf>
    <xf numFmtId="0" fontId="211" fillId="201" borderId="168" xfId="60" applyFont="1" applyFill="1" applyBorder="1" applyAlignment="1">
      <alignment horizontal="left" vertical="center" wrapText="1"/>
    </xf>
    <xf numFmtId="0" fontId="211" fillId="201" borderId="168" xfId="60" applyFont="1" applyFill="1" applyBorder="1" applyAlignment="1">
      <alignment horizontal="left" vertical="center"/>
    </xf>
    <xf numFmtId="0" fontId="211" fillId="201"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193" borderId="168" xfId="60" applyFont="1" applyFill="1" applyBorder="1" applyAlignment="1">
      <alignment horizontal="left" vertical="center" wrapText="1"/>
    </xf>
    <xf numFmtId="0" fontId="211" fillId="187" borderId="168" xfId="60" applyFont="1" applyFill="1" applyBorder="1" applyAlignment="1">
      <alignment horizontal="left" vertical="center" wrapText="1"/>
    </xf>
    <xf numFmtId="0" fontId="211" fillId="186" borderId="168" xfId="60" applyFont="1" applyFill="1" applyBorder="1" applyAlignment="1">
      <alignment horizontal="left" vertical="center" wrapText="1"/>
    </xf>
    <xf numFmtId="0" fontId="211" fillId="192" borderId="168" xfId="60" applyFont="1" applyFill="1" applyBorder="1" applyAlignment="1">
      <alignment horizontal="left" vertical="center" wrapText="1"/>
    </xf>
    <xf numFmtId="0" fontId="211" fillId="180" borderId="168" xfId="60" applyFont="1" applyFill="1" applyBorder="1" applyAlignment="1">
      <alignment horizontal="left" vertical="center" wrapText="1"/>
    </xf>
    <xf numFmtId="0" fontId="211" fillId="185" borderId="168" xfId="60" applyFont="1" applyFill="1" applyBorder="1" applyAlignment="1">
      <alignment horizontal="left" vertical="center" wrapText="1"/>
    </xf>
    <xf numFmtId="0" fontId="211" fillId="166" borderId="184" xfId="60" applyFont="1" applyFill="1" applyBorder="1" applyAlignment="1">
      <alignment horizontal="left" vertical="center"/>
    </xf>
    <xf numFmtId="0" fontId="211" fillId="166" borderId="168" xfId="60" applyFont="1" applyFill="1" applyBorder="1" applyAlignment="1">
      <alignment horizontal="left" vertical="center"/>
    </xf>
    <xf numFmtId="0" fontId="211" fillId="180" borderId="173" xfId="60" applyFont="1" applyFill="1" applyBorder="1" applyAlignment="1">
      <alignment horizontal="left" vertical="center" wrapText="1"/>
    </xf>
    <xf numFmtId="0" fontId="211" fillId="182" borderId="173" xfId="60" applyFont="1" applyFill="1" applyBorder="1" applyAlignment="1">
      <alignment horizontal="left" vertical="center" wrapText="1"/>
    </xf>
    <xf numFmtId="0" fontId="211" fillId="183" borderId="173" xfId="60" applyFont="1" applyFill="1" applyBorder="1" applyAlignment="1">
      <alignment horizontal="left" vertical="center" wrapText="1"/>
    </xf>
    <xf numFmtId="0" fontId="211" fillId="184" borderId="173" xfId="60" applyFont="1" applyFill="1" applyBorder="1" applyAlignment="1">
      <alignment horizontal="left" vertical="center"/>
    </xf>
    <xf numFmtId="0" fontId="211" fillId="184" borderId="173" xfId="60" applyFont="1" applyFill="1" applyBorder="1" applyAlignment="1">
      <alignment horizontal="left" vertical="center" wrapText="1"/>
    </xf>
    <xf numFmtId="0" fontId="211" fillId="184" borderId="173" xfId="60" applyFont="1" applyFill="1" applyBorder="1" applyAlignment="1">
      <alignment horizontal="left" vertical="center" wrapText="1"/>
    </xf>
    <xf numFmtId="0" fontId="211" fillId="183" borderId="173" xfId="60" applyFont="1" applyFill="1" applyBorder="1" applyAlignment="1">
      <alignment horizontal="left" vertical="center"/>
    </xf>
    <xf numFmtId="0" fontId="211" fillId="194" borderId="173" xfId="60" applyFont="1" applyFill="1" applyBorder="1" applyAlignment="1">
      <alignment horizontal="left" vertical="center" wrapText="1"/>
    </xf>
    <xf numFmtId="0" fontId="211" fillId="191" borderId="168" xfId="60" applyFont="1" applyFill="1" applyBorder="1" applyAlignment="1">
      <alignment horizontal="left" vertical="center" wrapText="1"/>
    </xf>
    <xf numFmtId="0" fontId="211" fillId="202" borderId="168" xfId="60" applyFont="1" applyFill="1" applyBorder="1" applyAlignment="1">
      <alignment horizontal="left" vertical="center" wrapText="1"/>
    </xf>
    <xf numFmtId="0" fontId="211" fillId="194" borderId="168" xfId="60" applyFont="1" applyFill="1" applyBorder="1" applyAlignment="1">
      <alignment horizontal="left" vertical="center" wrapText="1"/>
    </xf>
    <xf numFmtId="0" fontId="211" fillId="185" borderId="173" xfId="60" applyFont="1" applyFill="1" applyBorder="1" applyAlignment="1">
      <alignment horizontal="left" vertical="center" wrapText="1"/>
    </xf>
    <xf numFmtId="0" fontId="211" fillId="193" borderId="173" xfId="60" applyFont="1" applyFill="1" applyBorder="1" applyAlignment="1">
      <alignment horizontal="left" vertical="center" wrapText="1"/>
    </xf>
    <xf numFmtId="0" fontId="211" fillId="193" borderId="209" xfId="60" applyFont="1" applyFill="1" applyBorder="1" applyAlignment="1">
      <alignment horizontal="left" vertical="center" wrapText="1"/>
    </xf>
    <xf numFmtId="0" fontId="211" fillId="193" borderId="180" xfId="60" applyFont="1" applyFill="1" applyBorder="1" applyAlignment="1">
      <alignment horizontal="left" vertical="center" wrapText="1"/>
    </xf>
    <xf numFmtId="0" fontId="188" fillId="162" borderId="169" xfId="60" applyFont="1" applyBorder="1" applyAlignment="1">
      <alignment horizontal="center" vertical="center" wrapText="1"/>
    </xf>
    <xf numFmtId="0" fontId="189" fillId="162" borderId="169" xfId="60" applyFont="1" applyBorder="1" applyAlignment="1">
      <alignment horizontal="center" vertical="center" wrapText="1"/>
    </xf>
    <xf numFmtId="0" fontId="188" fillId="162" borderId="162" xfId="60" applyFont="1" applyBorder="1" applyAlignment="1">
      <alignment horizontal="center" vertical="center" wrapText="1"/>
    </xf>
    <xf numFmtId="0" fontId="200" fillId="162" borderId="168" xfId="60" applyFont="1" applyBorder="1" applyAlignment="1">
      <alignment horizontal="center" vertical="center" wrapText="1"/>
    </xf>
    <xf numFmtId="0" fontId="201" fillId="162" borderId="168" xfId="60" applyFont="1" applyBorder="1" applyAlignment="1">
      <alignment horizontal="center" vertical="center" wrapText="1"/>
    </xf>
    <xf numFmtId="0" fontId="200" fillId="162" borderId="170" xfId="60" applyFont="1" applyBorder="1" applyAlignment="1">
      <alignment horizontal="center" vertical="center" wrapText="1"/>
    </xf>
    <xf numFmtId="0" fontId="184" fillId="167" borderId="163" xfId="60" applyFont="1" applyFill="1" applyBorder="1" applyAlignment="1">
      <alignment horizontal="center" vertical="center" wrapText="1"/>
    </xf>
    <xf numFmtId="0" fontId="213" fillId="167" borderId="164" xfId="60" applyFont="1" applyFill="1" applyBorder="1" applyAlignment="1">
      <alignment horizontal="center" vertical="center" wrapText="1"/>
    </xf>
    <xf numFmtId="0" fontId="211" fillId="167" borderId="184"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212" borderId="173" xfId="60" applyFont="1" applyFill="1" applyBorder="1" applyAlignment="1">
      <alignment horizontal="center" vertical="center" wrapText="1"/>
    </xf>
    <xf numFmtId="0" fontId="211" fillId="167" borderId="173" xfId="60" applyFont="1" applyFill="1" applyBorder="1" applyAlignment="1">
      <alignment horizontal="center" vertical="center" wrapText="1"/>
    </xf>
    <xf numFmtId="0" fontId="213" fillId="207" borderId="163" xfId="60" applyFont="1" applyFill="1" applyBorder="1" applyAlignment="1">
      <alignment horizontal="center" vertical="center" wrapText="1"/>
    </xf>
    <xf numFmtId="0" fontId="211" fillId="207" borderId="184"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09" borderId="173" xfId="60" applyFont="1" applyFill="1" applyBorder="1" applyAlignment="1">
      <alignment horizontal="center" vertical="center" wrapText="1"/>
    </xf>
    <xf numFmtId="0" fontId="211" fillId="207" borderId="173" xfId="60" applyFont="1" applyFill="1" applyBorder="1" applyAlignment="1">
      <alignment horizontal="center" vertical="center" wrapText="1"/>
    </xf>
    <xf numFmtId="0" fontId="226" fillId="166" borderId="168" xfId="60" applyFont="1" applyFill="1" applyBorder="1" applyAlignment="1">
      <alignment horizontal="center" vertical="center" wrapText="1"/>
    </xf>
    <xf numFmtId="0" fontId="193" fillId="179" borderId="163" xfId="60" applyFont="1" applyFill="1" applyBorder="1" applyAlignment="1">
      <alignment horizontal="center" vertical="center"/>
    </xf>
    <xf numFmtId="0" fontId="227" fillId="209" borderId="168" xfId="60" applyFont="1" applyFill="1" applyBorder="1" applyAlignment="1">
      <alignment horizontal="center" vertical="center" wrapText="1"/>
    </xf>
    <xf numFmtId="0" fontId="228" fillId="166" borderId="159" xfId="60" applyFont="1" applyFill="1" applyAlignment="1">
      <alignment horizontal="center" vertical="center" wrapText="1"/>
    </xf>
    <xf numFmtId="0" fontId="231" fillId="166" borderId="159" xfId="60" applyFont="1" applyFill="1" applyAlignment="1">
      <alignment horizontal="center" vertical="center" wrapText="1"/>
    </xf>
    <xf numFmtId="0" fontId="229" fillId="166" borderId="159" xfId="60" applyFont="1" applyFill="1" applyAlignment="1">
      <alignment vertical="top" wrapText="1"/>
    </xf>
    <xf numFmtId="0" fontId="232" fillId="166" borderId="159" xfId="60" applyFont="1" applyFill="1" applyAlignment="1">
      <alignment horizontal="center" vertical="center"/>
    </xf>
    <xf numFmtId="0" fontId="193" fillId="178" borderId="198" xfId="60" applyFont="1" applyFill="1" applyBorder="1" applyAlignment="1">
      <alignment horizontal="center" vertical="center" wrapText="1"/>
    </xf>
    <xf numFmtId="0" fontId="195" fillId="178" borderId="209" xfId="60" applyFont="1" applyFill="1" applyBorder="1" applyAlignment="1">
      <alignment horizontal="center" vertical="center" wrapText="1"/>
    </xf>
    <xf numFmtId="0" fontId="195" fillId="178" borderId="180" xfId="60" applyFont="1" applyFill="1" applyBorder="1" applyAlignment="1">
      <alignment horizontal="center" vertical="center" wrapText="1"/>
    </xf>
    <xf numFmtId="0" fontId="195" fillId="192" borderId="18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85" fillId="162" borderId="168" xfId="60" applyFont="1" applyBorder="1"/>
    <xf numFmtId="0" fontId="195" fillId="162" borderId="168" xfId="60" applyFont="1" applyBorder="1"/>
    <xf numFmtId="0" fontId="195" fillId="178" borderId="180" xfId="60" applyFont="1" applyFill="1" applyBorder="1" applyAlignment="1">
      <alignment horizontal="center" vertical="center" wrapText="1"/>
    </xf>
    <xf numFmtId="0" fontId="195" fillId="178" borderId="196" xfId="60" applyFont="1" applyFill="1" applyBorder="1" applyAlignment="1">
      <alignment horizontal="center" vertical="center" wrapText="1"/>
    </xf>
    <xf numFmtId="0" fontId="195" fillId="185" borderId="180" xfId="60" applyFont="1" applyFill="1" applyBorder="1" applyAlignment="1">
      <alignment horizontal="center" vertical="center" wrapText="1"/>
    </xf>
    <xf numFmtId="0" fontId="195" fillId="191" borderId="180" xfId="60" applyFont="1" applyFill="1" applyBorder="1" applyAlignment="1">
      <alignment horizontal="center" vertical="center" wrapText="1"/>
    </xf>
    <xf numFmtId="0" fontId="195" fillId="162" borderId="168" xfId="60" applyFont="1" applyBorder="1" applyAlignment="1">
      <alignment vertical="center" wrapText="1"/>
    </xf>
    <xf numFmtId="0" fontId="211" fillId="162" borderId="168" xfId="60" applyFont="1" applyBorder="1" applyAlignment="1">
      <alignment vertical="center" wrapText="1"/>
    </xf>
    <xf numFmtId="0" fontId="211" fillId="201" borderId="168" xfId="60" applyFont="1" applyFill="1" applyBorder="1" applyAlignment="1">
      <alignment vertical="center" wrapText="1"/>
    </xf>
    <xf numFmtId="0" fontId="211" fillId="162" borderId="168" xfId="60" applyFont="1" applyBorder="1" applyAlignment="1">
      <alignment horizontal="left" vertical="center" wrapText="1"/>
    </xf>
    <xf numFmtId="0" fontId="220" fillId="162" borderId="168" xfId="60" applyFont="1" applyBorder="1" applyAlignment="1">
      <alignment vertical="center" wrapText="1"/>
    </xf>
    <xf numFmtId="0" fontId="195" fillId="178" borderId="180" xfId="60" applyFont="1" applyFill="1" applyBorder="1" applyAlignment="1">
      <alignment horizontal="left" vertical="center" wrapText="1"/>
    </xf>
    <xf numFmtId="0" fontId="195" fillId="185" borderId="197" xfId="60" applyFont="1" applyFill="1" applyBorder="1" applyAlignment="1">
      <alignment horizontal="left" vertical="center" wrapText="1"/>
    </xf>
    <xf numFmtId="0" fontId="195" fillId="191" borderId="168" xfId="60" applyFont="1" applyFill="1" applyBorder="1" applyAlignment="1">
      <alignment horizontal="left" vertical="center" wrapText="1"/>
    </xf>
    <xf numFmtId="0" fontId="195" fillId="191" borderId="209" xfId="60" applyFont="1" applyFill="1" applyBorder="1" applyAlignment="1">
      <alignment horizontal="left" vertical="center" wrapText="1"/>
    </xf>
    <xf numFmtId="0" fontId="211" fillId="178" borderId="180" xfId="60" applyFont="1" applyFill="1" applyBorder="1" applyAlignment="1">
      <alignment horizontal="left" vertical="center" wrapText="1"/>
    </xf>
    <xf numFmtId="0" fontId="233" fillId="178" borderId="209" xfId="60" applyFont="1" applyFill="1" applyBorder="1" applyAlignment="1">
      <alignment horizontal="left" vertical="center" wrapText="1"/>
    </xf>
    <xf numFmtId="0" fontId="193" fillId="167" borderId="160" xfId="60" applyFont="1" applyFill="1" applyBorder="1" applyAlignment="1">
      <alignment vertical="center" wrapText="1"/>
    </xf>
    <xf numFmtId="0" fontId="193" fillId="167" borderId="181" xfId="60" applyFont="1" applyFill="1" applyBorder="1" applyAlignment="1">
      <alignment vertical="center" wrapText="1"/>
    </xf>
    <xf numFmtId="0" fontId="193" fillId="167" borderId="165" xfId="60" applyFont="1" applyFill="1" applyBorder="1" applyAlignment="1">
      <alignment vertical="center" wrapText="1"/>
    </xf>
    <xf numFmtId="0" fontId="193" fillId="167" borderId="159" xfId="60" applyFont="1" applyFill="1" applyAlignment="1">
      <alignment vertical="center" wrapText="1"/>
    </xf>
    <xf numFmtId="0" fontId="193" fillId="167" borderId="202" xfId="60" applyFont="1" applyFill="1" applyBorder="1" applyAlignment="1">
      <alignment vertical="center" wrapText="1"/>
    </xf>
    <xf numFmtId="0" fontId="185" fillId="162" borderId="184" xfId="60" applyFont="1" applyBorder="1"/>
    <xf numFmtId="0" fontId="211" fillId="178" borderId="196" xfId="60" applyFont="1" applyFill="1" applyBorder="1" applyAlignment="1">
      <alignment horizontal="left" vertical="center" wrapText="1"/>
    </xf>
    <xf numFmtId="0" fontId="211" fillId="185" borderId="180" xfId="60" applyFont="1" applyFill="1" applyBorder="1" applyAlignment="1">
      <alignment horizontal="left" vertical="center" wrapText="1"/>
    </xf>
    <xf numFmtId="0" fontId="195" fillId="185" borderId="180" xfId="60" applyFont="1" applyFill="1" applyBorder="1" applyAlignment="1">
      <alignment horizontal="left" vertical="center" wrapText="1"/>
    </xf>
    <xf numFmtId="0" fontId="215" fillId="162" borderId="180" xfId="60" applyFont="1" applyBorder="1" applyAlignment="1">
      <alignment vertical="center" wrapText="1"/>
    </xf>
    <xf numFmtId="0" fontId="214" fillId="162" borderId="211" xfId="60" applyFont="1" applyBorder="1" applyAlignment="1">
      <alignment vertical="center" wrapText="1"/>
    </xf>
    <xf numFmtId="0" fontId="215" fillId="162" borderId="209" xfId="60" applyFont="1" applyBorder="1" applyAlignment="1">
      <alignment vertical="center" wrapText="1"/>
    </xf>
    <xf numFmtId="0" fontId="215" fillId="186" borderId="180" xfId="60" applyFont="1" applyFill="1" applyBorder="1" applyAlignment="1">
      <alignment vertical="center" wrapText="1"/>
    </xf>
    <xf numFmtId="0" fontId="215" fillId="162" borderId="197" xfId="60" applyFont="1" applyBorder="1" applyAlignment="1">
      <alignment vertical="center" wrapText="1"/>
    </xf>
    <xf numFmtId="0" fontId="215" fillId="190" borderId="180" xfId="60" applyFont="1" applyFill="1" applyBorder="1" applyAlignment="1">
      <alignment vertical="center" wrapText="1"/>
    </xf>
    <xf numFmtId="0" fontId="211" fillId="213" borderId="168" xfId="60" applyFont="1" applyFill="1" applyBorder="1" applyAlignment="1">
      <alignment horizontal="left" vertical="center" wrapText="1"/>
    </xf>
    <xf numFmtId="0" fontId="211" fillId="214" borderId="168" xfId="60" applyFont="1" applyFill="1" applyBorder="1" applyAlignment="1">
      <alignment horizontal="left" vertical="center" wrapText="1"/>
    </xf>
    <xf numFmtId="0" fontId="207" fillId="166" borderId="159" xfId="60" applyFont="1" applyFill="1" applyAlignment="1">
      <alignment horizontal="center" vertical="center"/>
    </xf>
    <xf numFmtId="0" fontId="194" fillId="166" borderId="159" xfId="60" applyFont="1" applyFill="1" applyAlignment="1">
      <alignment horizontal="center" vertical="center"/>
    </xf>
    <xf numFmtId="0" fontId="203" fillId="167" borderId="160" xfId="60" applyFont="1" applyFill="1" applyBorder="1" applyAlignment="1">
      <alignment horizontal="left" vertical="center" wrapText="1"/>
    </xf>
    <xf numFmtId="0" fontId="203" fillId="167" borderId="181" xfId="60" applyFont="1" applyFill="1" applyBorder="1" applyAlignment="1">
      <alignment horizontal="left" vertical="center" wrapText="1"/>
    </xf>
    <xf numFmtId="0" fontId="203" fillId="167" borderId="166" xfId="60" applyFont="1" applyFill="1" applyBorder="1" applyAlignment="1">
      <alignment horizontal="left" vertical="center" wrapText="1"/>
    </xf>
    <xf numFmtId="0" fontId="193" fillId="167" borderId="160" xfId="60" applyFont="1" applyFill="1" applyBorder="1" applyAlignment="1">
      <alignment horizontal="left" vertical="center" wrapText="1"/>
    </xf>
    <xf numFmtId="0" fontId="193" fillId="167" borderId="181" xfId="60" applyFont="1" applyFill="1" applyBorder="1" applyAlignment="1">
      <alignment horizontal="left" vertical="center" wrapText="1"/>
    </xf>
    <xf numFmtId="0" fontId="193" fillId="167" borderId="165" xfId="60" applyFont="1" applyFill="1" applyBorder="1" applyAlignment="1">
      <alignment horizontal="left" vertical="center" wrapText="1"/>
    </xf>
    <xf numFmtId="0" fontId="191" fillId="167" borderId="161" xfId="60" applyFont="1" applyFill="1" applyBorder="1" applyAlignment="1">
      <alignment horizontal="right" vertical="center" wrapText="1"/>
    </xf>
    <xf numFmtId="0" fontId="191" fillId="167" borderId="162" xfId="60" applyFont="1" applyFill="1" applyBorder="1" applyAlignment="1">
      <alignment horizontal="right" vertical="center" wrapText="1"/>
    </xf>
    <xf numFmtId="0" fontId="191" fillId="167" borderId="163" xfId="60" applyFont="1" applyFill="1" applyBorder="1" applyAlignment="1">
      <alignment horizontal="right" vertical="center" wrapText="1"/>
    </xf>
    <xf numFmtId="0" fontId="191" fillId="167" borderId="164" xfId="60" applyFont="1" applyFill="1" applyBorder="1" applyAlignment="1">
      <alignment horizontal="right" vertical="center" wrapText="1"/>
    </xf>
    <xf numFmtId="0" fontId="210" fillId="167" borderId="161" xfId="60" applyFont="1" applyFill="1" applyBorder="1" applyAlignment="1">
      <alignment horizontal="center" vertical="center" wrapText="1"/>
    </xf>
    <xf numFmtId="0" fontId="210" fillId="167" borderId="162" xfId="60" applyFont="1" applyFill="1" applyBorder="1" applyAlignment="1">
      <alignment horizontal="center" vertical="center" wrapText="1"/>
    </xf>
    <xf numFmtId="0" fontId="210" fillId="207" borderId="161" xfId="60" applyFont="1" applyFill="1" applyBorder="1" applyAlignment="1">
      <alignment horizontal="center" vertical="center" wrapText="1"/>
    </xf>
    <xf numFmtId="0" fontId="210" fillId="207" borderId="162" xfId="60" applyFont="1" applyFill="1" applyBorder="1" applyAlignment="1">
      <alignment horizontal="center" vertical="center" wrapText="1"/>
    </xf>
    <xf numFmtId="0" fontId="210" fillId="179" borderId="161" xfId="60" applyFont="1" applyFill="1" applyBorder="1" applyAlignment="1">
      <alignment horizontal="center" vertical="center" wrapText="1"/>
    </xf>
    <xf numFmtId="0" fontId="210" fillId="179" borderId="162" xfId="60" applyFont="1" applyFill="1" applyBorder="1" applyAlignment="1">
      <alignment horizontal="center" vertical="center" wrapText="1"/>
    </xf>
    <xf numFmtId="0" fontId="179" fillId="167" borderId="205" xfId="60" applyFont="1" applyFill="1" applyBorder="1" applyAlignment="1">
      <alignment horizontal="center" vertical="center" wrapText="1"/>
    </xf>
    <xf numFmtId="0" fontId="179" fillId="167" borderId="159" xfId="60" applyFont="1" applyFill="1" applyAlignment="1">
      <alignment horizontal="center" vertical="center" wrapText="1"/>
    </xf>
    <xf numFmtId="0" fontId="193" fillId="178" borderId="209" xfId="60" applyFont="1" applyFill="1" applyBorder="1" applyAlignment="1">
      <alignment horizontal="center" vertical="center" wrapText="1"/>
    </xf>
    <xf numFmtId="0" fontId="193" fillId="178" borderId="190" xfId="60" applyFont="1" applyFill="1" applyBorder="1" applyAlignment="1">
      <alignment horizontal="center" vertical="center" wrapText="1"/>
    </xf>
    <xf numFmtId="0" fontId="193" fillId="167" borderId="159" xfId="60" applyFont="1" applyFill="1" applyAlignment="1">
      <alignment horizontal="left" vertical="center" wrapText="1"/>
    </xf>
    <xf numFmtId="0" fontId="193" fillId="167" borderId="202" xfId="60" applyFont="1" applyFill="1" applyBorder="1" applyAlignment="1">
      <alignment horizontal="left" vertical="center" wrapText="1"/>
    </xf>
    <xf numFmtId="0" fontId="179" fillId="167" borderId="185" xfId="60" applyFont="1" applyFill="1" applyBorder="1" applyAlignment="1">
      <alignment horizontal="center" vertical="center" wrapText="1"/>
    </xf>
    <xf numFmtId="0" fontId="179" fillId="167" borderId="186" xfId="60" applyFont="1" applyFill="1" applyBorder="1" applyAlignment="1">
      <alignment horizontal="center" vertical="center" wrapText="1"/>
    </xf>
    <xf numFmtId="0" fontId="179" fillId="167" borderId="192" xfId="60" applyFont="1" applyFill="1" applyBorder="1" applyAlignment="1">
      <alignment horizontal="center" vertical="center" wrapText="1"/>
    </xf>
    <xf numFmtId="0" fontId="179" fillId="167" borderId="21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93" fillId="167" borderId="189" xfId="60" applyFont="1" applyFill="1" applyBorder="1" applyAlignment="1">
      <alignment horizontal="left" vertical="center" wrapText="1"/>
    </xf>
    <xf numFmtId="0" fontId="193" fillId="167" borderId="190" xfId="60" applyFont="1" applyFill="1" applyBorder="1" applyAlignment="1">
      <alignment horizontal="left" vertical="center" wrapText="1"/>
    </xf>
    <xf numFmtId="0" fontId="193" fillId="167" borderId="195" xfId="60" applyFont="1" applyFill="1" applyBorder="1" applyAlignment="1">
      <alignment horizontal="left" vertical="center" wrapText="1"/>
    </xf>
    <xf numFmtId="0" fontId="179" fillId="167" borderId="187" xfId="60" applyFont="1" applyFill="1" applyBorder="1" applyAlignment="1">
      <alignment horizontal="center" vertical="center" wrapText="1"/>
    </xf>
    <xf numFmtId="0" fontId="187" fillId="166" borderId="159" xfId="60" applyFont="1" applyFill="1" applyAlignment="1">
      <alignment horizontal="center"/>
    </xf>
    <xf numFmtId="0" fontId="186" fillId="166" borderId="159" xfId="60" applyFont="1" applyFill="1" applyAlignment="1">
      <alignment horizontal="center" vertical="center"/>
    </xf>
    <xf numFmtId="0" fontId="186" fillId="166" borderId="165" xfId="60" applyFont="1" applyFill="1" applyBorder="1" applyAlignment="1">
      <alignment horizontal="center"/>
    </xf>
    <xf numFmtId="0" fontId="197" fillId="167" borderId="185" xfId="60" applyFont="1" applyFill="1" applyBorder="1" applyAlignment="1">
      <alignment horizontal="left" vertical="center" wrapText="1"/>
    </xf>
    <xf numFmtId="0" fontId="197" fillId="167" borderId="186" xfId="60" applyFont="1" applyFill="1" applyBorder="1" applyAlignment="1">
      <alignment horizontal="left" vertical="center" wrapText="1"/>
    </xf>
    <xf numFmtId="0" fontId="197" fillId="167" borderId="210" xfId="60" applyFont="1" applyFill="1" applyBorder="1" applyAlignment="1">
      <alignment horizontal="left" vertical="center" wrapText="1"/>
    </xf>
    <xf numFmtId="0" fontId="184" fillId="193" borderId="167" xfId="60" applyFont="1" applyFill="1" applyBorder="1" applyAlignment="1">
      <alignment horizontal="center" vertical="center" wrapText="1"/>
    </xf>
    <xf numFmtId="0" fontId="184" fillId="193" borderId="170" xfId="60" applyFont="1" applyFill="1" applyBorder="1" applyAlignment="1">
      <alignment horizontal="center" vertical="center" wrapText="1"/>
    </xf>
    <xf numFmtId="0" fontId="202" fillId="167" borderId="199" xfId="60" applyFont="1" applyFill="1" applyBorder="1" applyAlignment="1">
      <alignment horizontal="center" vertical="center" wrapText="1"/>
    </xf>
    <xf numFmtId="0" fontId="198" fillId="167" borderId="200" xfId="60" applyFont="1" applyFill="1" applyBorder="1" applyAlignment="1">
      <alignment horizontal="center" vertical="center" wrapText="1"/>
    </xf>
    <xf numFmtId="0" fontId="198" fillId="167" borderId="201" xfId="60" applyFont="1" applyFill="1" applyBorder="1" applyAlignment="1">
      <alignment horizontal="center" vertical="center" wrapText="1"/>
    </xf>
    <xf numFmtId="0" fontId="198" fillId="167" borderId="202" xfId="60" applyFont="1" applyFill="1" applyBorder="1" applyAlignment="1">
      <alignment horizontal="center" vertical="center" wrapText="1"/>
    </xf>
    <xf numFmtId="0" fontId="179" fillId="167" borderId="161" xfId="60" applyFont="1" applyFill="1" applyBorder="1" applyAlignment="1">
      <alignment horizontal="center" vertical="center" wrapText="1"/>
    </xf>
    <xf numFmtId="0" fontId="179" fillId="167" borderId="162" xfId="60" applyFont="1" applyFill="1" applyBorder="1" applyAlignment="1">
      <alignment horizontal="center" vertical="center" wrapText="1"/>
    </xf>
    <xf numFmtId="0" fontId="179" fillId="207" borderId="161" xfId="60" applyFont="1" applyFill="1" applyBorder="1" applyAlignment="1">
      <alignment horizontal="center" vertical="center" wrapText="1"/>
    </xf>
    <xf numFmtId="0" fontId="179" fillId="207" borderId="162" xfId="60" applyFont="1" applyFill="1" applyBorder="1" applyAlignment="1">
      <alignment horizontal="center" vertical="center" wrapText="1"/>
    </xf>
    <xf numFmtId="0" fontId="179" fillId="179" borderId="161" xfId="60" applyFont="1" applyFill="1" applyBorder="1" applyAlignment="1">
      <alignment horizontal="center" vertical="center" wrapText="1"/>
    </xf>
    <xf numFmtId="0" fontId="179" fillId="179" borderId="162" xfId="60" applyFont="1" applyFill="1" applyBorder="1" applyAlignment="1">
      <alignment horizontal="center" vertical="center" wrapText="1"/>
    </xf>
    <xf numFmtId="0" fontId="184" fillId="178" borderId="161" xfId="60" applyFont="1" applyFill="1" applyBorder="1" applyAlignment="1">
      <alignment horizontal="center" vertical="center" wrapText="1"/>
    </xf>
    <xf numFmtId="0" fontId="184" fillId="178" borderId="169" xfId="60" applyFont="1" applyFill="1" applyBorder="1" applyAlignment="1">
      <alignment horizontal="center" vertical="center" wrapText="1"/>
    </xf>
    <xf numFmtId="0" fontId="184" fillId="178" borderId="196" xfId="60" applyFont="1" applyFill="1" applyBorder="1" applyAlignment="1">
      <alignment horizontal="center" vertical="center" wrapText="1"/>
    </xf>
    <xf numFmtId="0" fontId="197" fillId="167" borderId="187" xfId="60" applyFont="1" applyFill="1" applyBorder="1" applyAlignment="1">
      <alignment horizontal="left" vertical="center" wrapText="1"/>
    </xf>
    <xf numFmtId="0" fontId="197" fillId="167" borderId="168" xfId="60" applyFont="1" applyFill="1" applyBorder="1" applyAlignment="1">
      <alignment horizontal="left" vertical="center" wrapText="1"/>
    </xf>
    <xf numFmtId="0" fontId="197" fillId="167" borderId="160" xfId="60" applyFont="1" applyFill="1" applyBorder="1" applyAlignment="1">
      <alignment horizontal="left" vertical="center" wrapText="1"/>
    </xf>
    <xf numFmtId="0" fontId="197" fillId="167" borderId="181" xfId="60" applyFont="1" applyFill="1" applyBorder="1" applyAlignment="1">
      <alignment horizontal="left" vertical="center" wrapText="1"/>
    </xf>
    <xf numFmtId="0" fontId="197" fillId="167" borderId="166" xfId="60" applyFont="1" applyFill="1" applyBorder="1" applyAlignment="1">
      <alignment horizontal="left" vertical="center" wrapText="1"/>
    </xf>
    <xf numFmtId="0" fontId="230" fillId="166" borderId="159" xfId="60" applyFont="1" applyFill="1" applyAlignment="1">
      <alignment horizontal="center" vertical="center"/>
    </xf>
    <xf numFmtId="0" fontId="202" fillId="167" borderId="199" xfId="60" applyFont="1" applyFill="1" applyBorder="1" applyAlignment="1">
      <alignment horizontal="center" vertical="center" wrapText="1"/>
    </xf>
    <xf numFmtId="0" fontId="202" fillId="167" borderId="207" xfId="60" applyFont="1" applyFill="1" applyBorder="1" applyAlignment="1">
      <alignment horizontal="center" vertical="center" wrapText="1"/>
    </xf>
    <xf numFmtId="0" fontId="184" fillId="167" borderId="167" xfId="60" applyFont="1" applyFill="1" applyBorder="1" applyAlignment="1">
      <alignment horizontal="center" vertical="center"/>
    </xf>
    <xf numFmtId="0" fontId="184" fillId="167" borderId="168" xfId="60" applyFont="1" applyFill="1" applyBorder="1" applyAlignment="1">
      <alignment horizontal="center" vertical="center"/>
    </xf>
    <xf numFmtId="0" fontId="206" fillId="197" borderId="159" xfId="60" applyFont="1" applyFill="1" applyAlignment="1">
      <alignment horizontal="left" vertical="center"/>
    </xf>
    <xf numFmtId="0" fontId="206" fillId="198" borderId="159" xfId="60" applyFont="1" applyFill="1" applyAlignment="1">
      <alignment horizontal="left" vertical="center"/>
    </xf>
    <xf numFmtId="0" fontId="206" fillId="195" borderId="159" xfId="60" applyFont="1" applyFill="1" applyAlignment="1">
      <alignment horizontal="left" vertical="center"/>
    </xf>
    <xf numFmtId="0" fontId="206" fillId="196" borderId="159" xfId="60" applyFont="1" applyFill="1" applyAlignment="1">
      <alignment horizontal="left" vertical="center"/>
    </xf>
    <xf numFmtId="0" fontId="206" fillId="171" borderId="159" xfId="60" applyFont="1" applyFill="1" applyAlignment="1">
      <alignment horizontal="left" vertical="center"/>
    </xf>
    <xf numFmtId="0" fontId="234" fillId="162" borderId="159" xfId="60" applyNumberFormat="1" applyFont="1" applyFill="1" applyBorder="1"/>
    <xf numFmtId="0" fontId="235" fillId="162" borderId="159" xfId="60" applyNumberFormat="1" applyFont="1" applyFill="1" applyBorder="1"/>
    <xf numFmtId="0" fontId="236" fillId="162" borderId="159" xfId="60" applyNumberFormat="1" applyFont="1" applyFill="1" applyBorder="1"/>
    <xf numFmtId="0" fontId="234" fillId="215" borderId="159" xfId="60" applyNumberFormat="1" applyFont="1" applyFill="1" applyBorder="1"/>
    <xf numFmtId="0" fontId="237" fillId="215" borderId="159" xfId="60" applyNumberFormat="1" applyFont="1" applyFill="1" applyBorder="1"/>
    <xf numFmtId="0" fontId="237" fillId="215" borderId="159" xfId="60" applyNumberFormat="1" applyFont="1" applyFill="1" applyBorder="1" applyAlignment="1">
      <alignment wrapText="1"/>
    </xf>
    <xf numFmtId="0" fontId="237" fillId="215" borderId="159" xfId="60" applyNumberFormat="1" applyFont="1" applyFill="1" applyBorder="1" applyAlignment="1">
      <alignment vertical="center" wrapText="1"/>
    </xf>
    <xf numFmtId="165" fontId="234" fillId="162" borderId="159" xfId="60" applyNumberFormat="1" applyFont="1" applyFill="1" applyBorder="1"/>
    <xf numFmtId="0" fontId="234" fillId="162" borderId="159" xfId="60" applyNumberFormat="1" applyFont="1" applyFill="1" applyBorder="1" applyAlignment="1">
      <alignment horizontal="right"/>
    </xf>
    <xf numFmtId="165" fontId="234" fillId="162" borderId="159" xfId="60" applyNumberFormat="1" applyFont="1" applyFill="1" applyBorder="1" applyAlignment="1">
      <alignment horizontal="right"/>
    </xf>
    <xf numFmtId="0" fontId="234" fillId="216" borderId="159" xfId="60" applyNumberFormat="1" applyFont="1" applyFill="1" applyBorder="1"/>
    <xf numFmtId="0" fontId="234" fillId="216" borderId="159" xfId="60" applyNumberFormat="1" applyFont="1" applyFill="1" applyBorder="1" applyAlignment="1">
      <alignment horizontal="right"/>
    </xf>
    <xf numFmtId="165" fontId="234" fillId="216" borderId="159" xfId="60" applyNumberFormat="1" applyFont="1" applyFill="1" applyBorder="1" applyAlignment="1">
      <alignment horizontal="right"/>
    </xf>
    <xf numFmtId="0" fontId="238" fillId="216" borderId="159" xfId="60" applyNumberFormat="1" applyFont="1" applyFill="1" applyBorder="1"/>
    <xf numFmtId="0" fontId="238" fillId="216" borderId="159" xfId="60" applyNumberFormat="1" applyFont="1" applyFill="1" applyBorder="1" applyAlignment="1">
      <alignment horizontal="right"/>
    </xf>
    <xf numFmtId="165" fontId="238" fillId="216" borderId="159" xfId="60" applyNumberFormat="1" applyFont="1" applyFill="1" applyBorder="1" applyAlignment="1">
      <alignment horizontal="right"/>
    </xf>
    <xf numFmtId="0" fontId="234" fillId="217" borderId="159" xfId="60" applyNumberFormat="1" applyFont="1" applyFill="1" applyBorder="1"/>
    <xf numFmtId="0" fontId="234" fillId="217" borderId="159" xfId="60" applyNumberFormat="1" applyFont="1" applyFill="1" applyBorder="1" applyAlignment="1">
      <alignment horizontal="right"/>
    </xf>
    <xf numFmtId="165" fontId="234" fillId="217" borderId="159" xfId="60" applyNumberFormat="1" applyFont="1" applyFill="1" applyBorder="1" applyAlignment="1">
      <alignment horizontal="right"/>
    </xf>
    <xf numFmtId="0" fontId="234" fillId="217" borderId="159" xfId="60" applyNumberFormat="1" applyFont="1" applyFill="1" applyBorder="1" applyAlignment="1">
      <alignment wrapText="1"/>
    </xf>
    <xf numFmtId="0" fontId="234" fillId="162" borderId="159" xfId="60" applyNumberFormat="1" applyFont="1" applyFill="1" applyBorder="1" applyAlignment="1">
      <alignment wrapText="1"/>
    </xf>
    <xf numFmtId="165" fontId="234" fillId="217" borderId="159" xfId="60" applyNumberFormat="1" applyFont="1" applyFill="1" applyBorder="1"/>
    <xf numFmtId="166" fontId="234" fillId="162" borderId="159" xfId="60" applyNumberFormat="1" applyFont="1" applyFill="1" applyBorder="1"/>
    <xf numFmtId="166" fontId="234" fillId="217" borderId="159" xfId="60" applyNumberFormat="1" applyFont="1" applyFill="1" applyBorder="1"/>
    <xf numFmtId="0" fontId="239" fillId="162" borderId="159" xfId="60" applyNumberFormat="1" applyFont="1" applyFill="1" applyBorder="1"/>
    <xf numFmtId="0" fontId="240" fillId="114" borderId="108" xfId="40" applyNumberFormat="1" applyFont="1" applyFill="1" applyBorder="1" applyAlignment="1">
      <alignment horizontal="right" vertical="center" wrapText="1"/>
    </xf>
    <xf numFmtId="0" fontId="240" fillId="114" borderId="109" xfId="40" applyNumberFormat="1" applyFont="1" applyFill="1" applyBorder="1" applyAlignment="1">
      <alignment horizontal="right" vertical="center" wrapText="1"/>
    </xf>
    <xf numFmtId="0" fontId="241" fillId="114" borderId="108" xfId="40" applyNumberFormat="1" applyFont="1" applyFill="1" applyBorder="1" applyAlignment="1">
      <alignment horizontal="center" vertical="center" wrapText="1"/>
    </xf>
    <xf numFmtId="0" fontId="241" fillId="114" borderId="109" xfId="40" applyNumberFormat="1" applyFont="1" applyFill="1" applyBorder="1" applyAlignment="1">
      <alignment horizontal="center" vertical="center" wrapText="1"/>
    </xf>
    <xf numFmtId="0" fontId="241" fillId="154" borderId="108" xfId="40" applyNumberFormat="1" applyFont="1" applyFill="1" applyBorder="1" applyAlignment="1">
      <alignment horizontal="center" vertical="center" wrapText="1"/>
    </xf>
    <xf numFmtId="0" fontId="241" fillId="154" borderId="109" xfId="40" applyNumberFormat="1" applyFont="1" applyFill="1" applyBorder="1" applyAlignment="1">
      <alignment horizontal="center" vertical="center" wrapText="1"/>
    </xf>
    <xf numFmtId="0" fontId="241" fillId="126" borderId="108" xfId="40" applyNumberFormat="1" applyFont="1" applyFill="1" applyBorder="1" applyAlignment="1">
      <alignment horizontal="center" vertical="center" wrapText="1"/>
    </xf>
    <xf numFmtId="0" fontId="241" fillId="126" borderId="109" xfId="40" applyNumberFormat="1" applyFont="1" applyFill="1" applyBorder="1" applyAlignment="1">
      <alignment horizontal="center" vertical="center" wrapText="1"/>
    </xf>
    <xf numFmtId="0" fontId="241" fillId="115" borderId="108" xfId="40" applyNumberFormat="1" applyFont="1" applyFill="1" applyBorder="1" applyAlignment="1">
      <alignment horizontal="center" vertical="center" wrapText="1"/>
    </xf>
    <xf numFmtId="0" fontId="241" fillId="115" borderId="150" xfId="40" applyNumberFormat="1" applyFont="1" applyFill="1" applyBorder="1" applyAlignment="1">
      <alignment vertical="center" wrapText="1"/>
    </xf>
    <xf numFmtId="0" fontId="241" fillId="125" borderId="156" xfId="40" applyNumberFormat="1" applyFont="1" applyFill="1" applyBorder="1" applyAlignment="1">
      <alignment horizontal="center" vertical="center" wrapText="1"/>
    </xf>
    <xf numFmtId="0" fontId="240" fillId="114" borderId="110" xfId="40" applyNumberFormat="1" applyFont="1" applyFill="1" applyBorder="1" applyAlignment="1">
      <alignment horizontal="right" vertical="center" wrapText="1"/>
    </xf>
    <xf numFmtId="0" fontId="240" fillId="114" borderId="111" xfId="40" applyNumberFormat="1" applyFont="1" applyFill="1" applyBorder="1" applyAlignment="1">
      <alignment horizontal="right" vertical="center" wrapText="1"/>
    </xf>
    <xf numFmtId="0" fontId="241" fillId="114" borderId="110" xfId="40" applyNumberFormat="1" applyFont="1" applyFill="1" applyBorder="1" applyAlignment="1">
      <alignment horizontal="center" vertical="center" wrapText="1"/>
    </xf>
    <xf numFmtId="0" fontId="241" fillId="114" borderId="155" xfId="40" applyNumberFormat="1" applyFont="1" applyFill="1" applyBorder="1" applyAlignment="1">
      <alignment horizontal="center" vertical="center" wrapText="1"/>
    </xf>
    <xf numFmtId="0" fontId="241" fillId="154" borderId="138" xfId="40" applyNumberFormat="1" applyFont="1" applyFill="1" applyBorder="1" applyAlignment="1">
      <alignment horizontal="center" vertical="center" wrapText="1"/>
    </xf>
    <xf numFmtId="0" fontId="241" fillId="154" borderId="155" xfId="40" applyNumberFormat="1" applyFont="1" applyFill="1" applyBorder="1" applyAlignment="1">
      <alignment horizontal="center" vertical="center" wrapText="1"/>
    </xf>
    <xf numFmtId="0" fontId="241" fillId="152" borderId="138" xfId="40" applyNumberFormat="1" applyFont="1" applyFill="1" applyBorder="1" applyAlignment="1">
      <alignment horizontal="center" vertical="center" wrapText="1"/>
    </xf>
    <xf numFmtId="0" fontId="241" fillId="152" borderId="155" xfId="40" applyNumberFormat="1" applyFont="1" applyFill="1" applyBorder="1" applyAlignment="1">
      <alignment horizontal="center" vertical="center" wrapText="1"/>
    </xf>
    <xf numFmtId="0" fontId="241" fillId="115" borderId="110" xfId="40" applyNumberFormat="1" applyFont="1" applyFill="1" applyBorder="1" applyAlignment="1">
      <alignment horizontal="center" vertical="center" wrapText="1"/>
    </xf>
    <xf numFmtId="0" fontId="240" fillId="109" borderId="118" xfId="40" applyNumberFormat="1" applyFont="1" applyFill="1" applyBorder="1"/>
    <xf numFmtId="0" fontId="241" fillId="116" borderId="118" xfId="40" applyNumberFormat="1" applyFont="1" applyFill="1" applyBorder="1" applyAlignment="1">
      <alignment horizontal="center" vertical="center" wrapText="1"/>
    </xf>
    <xf numFmtId="0" fontId="241" fillId="122" borderId="118" xfId="40" applyNumberFormat="1" applyFont="1" applyFill="1" applyBorder="1" applyAlignment="1">
      <alignment horizontal="center" vertical="center" wrapText="1"/>
    </xf>
    <xf numFmtId="0" fontId="241" fillId="117" borderId="118" xfId="40" applyNumberFormat="1" applyFont="1" applyFill="1" applyBorder="1" applyAlignment="1">
      <alignment horizontal="center" vertical="center" wrapText="1"/>
    </xf>
    <xf numFmtId="0" fontId="241" fillId="119" borderId="118" xfId="40" applyNumberFormat="1" applyFont="1" applyFill="1" applyBorder="1" applyAlignment="1">
      <alignment horizontal="center" vertical="center" wrapText="1"/>
    </xf>
    <xf numFmtId="0" fontId="241" fillId="118" borderId="118" xfId="40" applyNumberFormat="1" applyFont="1" applyFill="1" applyBorder="1" applyAlignment="1">
      <alignment horizontal="center" vertical="center" wrapText="1"/>
    </xf>
    <xf numFmtId="0" fontId="241" fillId="120" borderId="118" xfId="40" applyNumberFormat="1" applyFont="1" applyFill="1" applyBorder="1" applyAlignment="1">
      <alignment horizontal="center" vertical="center" wrapText="1"/>
    </xf>
    <xf numFmtId="0" fontId="241" fillId="121" borderId="118" xfId="40" applyNumberFormat="1" applyFont="1" applyFill="1" applyBorder="1" applyAlignment="1">
      <alignment horizontal="center" vertical="center" wrapText="1"/>
    </xf>
    <xf numFmtId="0" fontId="240" fillId="113" borderId="118" xfId="40" applyNumberFormat="1" applyFont="1" applyFill="1" applyBorder="1"/>
    <xf numFmtId="0" fontId="241" fillId="125" borderId="118" xfId="40" applyNumberFormat="1" applyFont="1" applyFill="1" applyBorder="1" applyAlignment="1">
      <alignment horizontal="center" vertical="center" wrapText="1"/>
    </xf>
    <xf numFmtId="0" fontId="241" fillId="114" borderId="107" xfId="40" applyNumberFormat="1" applyFont="1" applyFill="1" applyBorder="1" applyAlignment="1">
      <alignment horizontal="left" vertical="center" wrapText="1"/>
    </xf>
    <xf numFmtId="0" fontId="241" fillId="114" borderId="128" xfId="40" applyNumberFormat="1" applyFont="1" applyFill="1" applyBorder="1" applyAlignment="1">
      <alignment horizontal="left" vertical="center" wrapText="1"/>
    </xf>
    <xf numFmtId="0" fontId="241" fillId="114" borderId="112" xfId="40" applyNumberFormat="1" applyFont="1" applyFill="1" applyBorder="1" applyAlignment="1">
      <alignment horizontal="left" vertical="center" wrapText="1"/>
    </xf>
    <xf numFmtId="0" fontId="240" fillId="113" borderId="130" xfId="40" applyNumberFormat="1" applyFont="1" applyFill="1" applyBorder="1" applyAlignment="1">
      <alignment horizontal="center" vertical="center" wrapText="1"/>
    </xf>
    <xf numFmtId="0" fontId="241" fillId="109" borderId="156" xfId="40" applyNumberFormat="1" applyFont="1" applyFill="1" applyBorder="1" applyAlignment="1">
      <alignment vertical="center" wrapText="1"/>
    </xf>
    <xf numFmtId="0" fontId="240" fillId="123" borderId="115" xfId="40" applyNumberFormat="1" applyFont="1" applyFill="1" applyBorder="1" applyAlignment="1">
      <alignment horizontal="left" vertical="center" wrapText="1"/>
    </xf>
    <xf numFmtId="0" fontId="240" fillId="114" borderId="115" xfId="40" applyNumberFormat="1" applyFont="1" applyFill="1" applyBorder="1" applyAlignment="1">
      <alignment horizontal="center" vertical="center" wrapText="1"/>
    </xf>
    <xf numFmtId="0" fontId="240" fillId="154" borderId="115" xfId="40" applyNumberFormat="1" applyFont="1" applyFill="1" applyBorder="1" applyAlignment="1">
      <alignment horizontal="center" vertical="center" wrapText="1"/>
    </xf>
    <xf numFmtId="0" fontId="240" fillId="160" borderId="115" xfId="40" applyNumberFormat="1" applyFont="1" applyFill="1" applyBorder="1" applyAlignment="1">
      <alignment horizontal="left" vertical="center" wrapText="1"/>
    </xf>
    <xf numFmtId="0" fontId="240" fillId="126" borderId="115" xfId="40" applyNumberFormat="1" applyFont="1" applyFill="1" applyBorder="1" applyAlignment="1">
      <alignment horizontal="center" vertical="center" wrapText="1"/>
    </xf>
    <xf numFmtId="0" fontId="240" fillId="126" borderId="115" xfId="40" applyNumberFormat="1" applyFont="1" applyFill="1" applyBorder="1" applyAlignment="1">
      <alignment vertical="center" wrapText="1"/>
    </xf>
    <xf numFmtId="0" fontId="240" fillId="113" borderId="115" xfId="40" applyNumberFormat="1" applyFont="1" applyFill="1" applyBorder="1" applyAlignment="1">
      <alignment horizontal="center" vertical="center" wrapText="1"/>
    </xf>
    <xf numFmtId="0" fontId="240" fillId="109" borderId="115" xfId="40" applyNumberFormat="1" applyFont="1" applyFill="1" applyBorder="1"/>
    <xf numFmtId="0" fontId="240" fillId="109" borderId="115" xfId="40" applyNumberFormat="1" applyFont="1" applyFill="1" applyBorder="1" applyAlignment="1">
      <alignment wrapText="1"/>
    </xf>
    <xf numFmtId="0" fontId="240" fillId="113" borderId="115" xfId="40" applyNumberFormat="1" applyFont="1" applyFill="1" applyBorder="1"/>
    <xf numFmtId="0" fontId="240" fillId="125" borderId="115" xfId="40" applyNumberFormat="1" applyFont="1" applyFill="1" applyBorder="1" applyAlignment="1">
      <alignment vertical="center" wrapText="1"/>
    </xf>
    <xf numFmtId="0" fontId="240" fillId="113" borderId="114" xfId="40" applyNumberFormat="1" applyFont="1" applyFill="1" applyBorder="1" applyAlignment="1">
      <alignment horizontal="center" vertical="center" wrapText="1"/>
    </xf>
    <xf numFmtId="0" fontId="241" fillId="109" borderId="127" xfId="40" applyNumberFormat="1" applyFont="1" applyFill="1" applyBorder="1" applyAlignment="1">
      <alignment vertical="center" wrapText="1"/>
    </xf>
    <xf numFmtId="0" fontId="240" fillId="150" borderId="115" xfId="40" applyNumberFormat="1" applyFont="1" applyFill="1" applyBorder="1"/>
    <xf numFmtId="0" fontId="240" fillId="150" borderId="115" xfId="40" applyNumberFormat="1" applyFont="1" applyFill="1" applyBorder="1" applyAlignment="1">
      <alignment wrapText="1"/>
    </xf>
    <xf numFmtId="0" fontId="241" fillId="113" borderId="127" xfId="40" applyNumberFormat="1" applyFont="1" applyFill="1" applyBorder="1" applyAlignment="1">
      <alignment vertical="center" wrapText="1"/>
    </xf>
    <xf numFmtId="0" fontId="240" fillId="131" borderId="115" xfId="40" applyNumberFormat="1" applyFont="1" applyFill="1" applyBorder="1"/>
    <xf numFmtId="0" fontId="240" fillId="131" borderId="115" xfId="40" applyNumberFormat="1" applyFont="1" applyFill="1" applyBorder="1" applyAlignment="1">
      <alignment wrapText="1"/>
    </xf>
    <xf numFmtId="0" fontId="240" fillId="125" borderId="115" xfId="40" applyNumberFormat="1" applyFont="1" applyFill="1" applyBorder="1" applyAlignment="1">
      <alignment horizontal="left" vertical="center" wrapText="1"/>
    </xf>
    <xf numFmtId="0" fontId="240" fillId="113" borderId="119" xfId="40" applyNumberFormat="1" applyFont="1" applyFill="1" applyBorder="1" applyAlignment="1">
      <alignment horizontal="center" vertical="center" wrapText="1"/>
    </xf>
    <xf numFmtId="0" fontId="241" fillId="109" borderId="144" xfId="40" applyNumberFormat="1" applyFont="1" applyFill="1" applyBorder="1" applyAlignment="1">
      <alignment vertical="center" wrapText="1"/>
    </xf>
    <xf numFmtId="0" fontId="242" fillId="113" borderId="130" xfId="40" applyNumberFormat="1" applyFont="1" applyFill="1" applyBorder="1" applyAlignment="1">
      <alignment horizontal="center" vertical="center" wrapText="1"/>
    </xf>
    <xf numFmtId="0" fontId="242" fillId="109" borderId="156" xfId="40" applyNumberFormat="1" applyFont="1" applyFill="1" applyBorder="1" applyAlignment="1">
      <alignment vertical="center" wrapText="1"/>
    </xf>
    <xf numFmtId="0" fontId="242" fillId="123" borderId="115" xfId="40" applyNumberFormat="1" applyFont="1" applyFill="1" applyBorder="1" applyAlignment="1">
      <alignment horizontal="left" vertical="center" wrapText="1"/>
    </xf>
    <xf numFmtId="0" fontId="242" fillId="114" borderId="115" xfId="40" applyNumberFormat="1" applyFont="1" applyFill="1" applyBorder="1" applyAlignment="1">
      <alignment horizontal="center" vertical="center" wrapText="1"/>
    </xf>
    <xf numFmtId="0" fontId="242" fillId="154" borderId="115" xfId="40" applyNumberFormat="1" applyFont="1" applyFill="1" applyBorder="1" applyAlignment="1">
      <alignment horizontal="center" vertical="center" wrapText="1"/>
    </xf>
    <xf numFmtId="0" fontId="242" fillId="160"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center" vertical="center" wrapText="1"/>
    </xf>
    <xf numFmtId="0" fontId="242" fillId="126" borderId="115" xfId="40" applyNumberFormat="1" applyFont="1" applyFill="1" applyBorder="1" applyAlignment="1">
      <alignment vertical="center" wrapText="1"/>
    </xf>
    <xf numFmtId="0" fontId="242" fillId="113" borderId="115" xfId="40" applyNumberFormat="1" applyFont="1" applyFill="1" applyBorder="1" applyAlignment="1">
      <alignment horizontal="center" vertical="center" wrapText="1"/>
    </xf>
    <xf numFmtId="0" fontId="242" fillId="109" borderId="115" xfId="40" applyNumberFormat="1" applyFont="1" applyFill="1" applyBorder="1"/>
    <xf numFmtId="0" fontId="242" fillId="109" borderId="115" xfId="40" applyNumberFormat="1" applyFont="1" applyFill="1" applyBorder="1" applyAlignment="1">
      <alignment wrapText="1"/>
    </xf>
    <xf numFmtId="0" fontId="242" fillId="113" borderId="115" xfId="40" applyNumberFormat="1" applyFont="1" applyFill="1" applyBorder="1"/>
    <xf numFmtId="0" fontId="242" fillId="125" borderId="115" xfId="40" applyNumberFormat="1" applyFont="1" applyFill="1" applyBorder="1" applyAlignment="1">
      <alignment vertical="center" wrapText="1"/>
    </xf>
    <xf numFmtId="0" fontId="242" fillId="113" borderId="114" xfId="40" applyNumberFormat="1" applyFont="1" applyFill="1" applyBorder="1" applyAlignment="1">
      <alignment horizontal="center" vertical="center" wrapText="1"/>
    </xf>
    <xf numFmtId="0" fontId="242" fillId="109" borderId="127" xfId="40" applyNumberFormat="1" applyFont="1" applyFill="1" applyBorder="1" applyAlignment="1">
      <alignment vertical="center" wrapText="1"/>
    </xf>
    <xf numFmtId="0" fontId="242" fillId="150" borderId="115" xfId="40" applyNumberFormat="1" applyFont="1" applyFill="1" applyBorder="1"/>
    <xf numFmtId="0" fontId="242" fillId="150" borderId="115" xfId="40" applyNumberFormat="1" applyFont="1" applyFill="1" applyBorder="1" applyAlignment="1">
      <alignment wrapText="1"/>
    </xf>
    <xf numFmtId="0" fontId="242" fillId="113" borderId="127" xfId="40" applyNumberFormat="1" applyFont="1" applyFill="1" applyBorder="1" applyAlignment="1">
      <alignment vertical="center" wrapText="1"/>
    </xf>
    <xf numFmtId="0" fontId="242" fillId="131" borderId="115" xfId="40" applyNumberFormat="1" applyFont="1" applyFill="1" applyBorder="1"/>
    <xf numFmtId="0" fontId="242" fillId="131" borderId="115" xfId="40" applyNumberFormat="1" applyFont="1" applyFill="1" applyBorder="1" applyAlignment="1">
      <alignment wrapText="1"/>
    </xf>
    <xf numFmtId="0" fontId="242" fillId="125" borderId="115" xfId="40" applyNumberFormat="1" applyFont="1" applyFill="1" applyBorder="1" applyAlignment="1">
      <alignment horizontal="left" vertical="center" wrapText="1"/>
    </xf>
    <xf numFmtId="0" fontId="242" fillId="113" borderId="119" xfId="40" applyNumberFormat="1" applyFont="1" applyFill="1" applyBorder="1" applyAlignment="1">
      <alignment horizontal="center" vertical="center" wrapText="1"/>
    </xf>
    <xf numFmtId="0" fontId="242" fillId="109" borderId="144" xfId="40" applyNumberFormat="1" applyFont="1" applyFill="1" applyBorder="1" applyAlignment="1">
      <alignment vertical="center" wrapText="1"/>
    </xf>
    <xf numFmtId="0" fontId="146" fillId="218" borderId="107" xfId="40" applyNumberFormat="1" applyFont="1" applyFill="1" applyBorder="1" applyAlignment="1">
      <alignment horizontal="left" vertical="center" wrapText="1"/>
    </xf>
    <xf numFmtId="0" fontId="146" fillId="218" borderId="128" xfId="40" applyNumberFormat="1" applyFont="1" applyFill="1" applyBorder="1" applyAlignment="1">
      <alignment horizontal="left" vertical="center" wrapText="1"/>
    </xf>
    <xf numFmtId="0" fontId="146" fillId="218" borderId="113" xfId="40" applyNumberFormat="1" applyFont="1" applyFill="1" applyBorder="1" applyAlignment="1">
      <alignment horizontal="left" vertical="center" wrapText="1"/>
    </xf>
    <xf numFmtId="0" fontId="125" fillId="218" borderId="106" xfId="40" applyNumberFormat="1" applyFont="1" applyFill="1" applyBorder="1" applyAlignment="1">
      <alignment horizontal="justify"/>
    </xf>
    <xf numFmtId="0" fontId="122" fillId="218" borderId="152" xfId="40" applyNumberFormat="1" applyFont="1" applyFill="1" applyBorder="1" applyAlignment="1">
      <alignment horizontal="center" vertical="center" wrapText="1"/>
    </xf>
    <xf numFmtId="0" fontId="122" fillId="218" borderId="106" xfId="40" applyNumberFormat="1" applyFont="1" applyFill="1" applyBorder="1" applyAlignment="1">
      <alignment horizontal="center" vertical="center" wrapText="1"/>
    </xf>
    <xf numFmtId="0" fontId="243" fillId="218" borderId="107" xfId="40" applyNumberFormat="1" applyFont="1" applyFill="1" applyBorder="1" applyAlignment="1">
      <alignment horizontal="left" vertical="center" wrapText="1"/>
    </xf>
    <xf numFmtId="0" fontId="243" fillId="218" borderId="128" xfId="40" applyNumberFormat="1" applyFont="1" applyFill="1" applyBorder="1" applyAlignment="1">
      <alignment horizontal="left" vertical="center" wrapText="1"/>
    </xf>
    <xf numFmtId="0" fontId="243" fillId="218" borderId="113" xfId="40" applyNumberFormat="1" applyFont="1" applyFill="1" applyBorder="1" applyAlignment="1">
      <alignment horizontal="left" vertical="center" wrapText="1"/>
    </xf>
    <xf numFmtId="0" fontId="243" fillId="218" borderId="106" xfId="40" applyNumberFormat="1" applyFont="1" applyFill="1" applyBorder="1" applyAlignment="1">
      <alignment horizontal="justify"/>
    </xf>
    <xf numFmtId="0" fontId="243" fillId="218" borderId="152" xfId="40" applyNumberFormat="1" applyFont="1" applyFill="1" applyBorder="1" applyAlignment="1">
      <alignment horizontal="center" vertical="center" wrapText="1"/>
    </xf>
    <xf numFmtId="0" fontId="243" fillId="218" borderId="106" xfId="40" applyNumberFormat="1" applyFont="1" applyFill="1" applyBorder="1" applyAlignment="1">
      <alignment horizontal="center" vertical="center" wrapText="1"/>
    </xf>
    <xf numFmtId="0" fontId="243" fillId="218" borderId="106" xfId="40" applyNumberFormat="1" applyFont="1" applyFill="1" applyBorder="1" applyAlignment="1">
      <alignment horizontal="justify" wrapText="1"/>
    </xf>
    <xf numFmtId="0" fontId="243" fillId="218" borderId="106" xfId="40" applyNumberFormat="1" applyFont="1" applyFill="1" applyBorder="1" applyAlignment="1">
      <alignment horizontal="justify" vertical="center" wrapText="1"/>
    </xf>
    <xf numFmtId="0" fontId="240" fillId="219" borderId="108" xfId="40" applyNumberFormat="1" applyFont="1" applyFill="1" applyBorder="1" applyAlignment="1">
      <alignment horizontal="right" vertical="center" wrapText="1"/>
    </xf>
    <xf numFmtId="0" fontId="240" fillId="219" borderId="109" xfId="40" applyNumberFormat="1" applyFont="1" applyFill="1" applyBorder="1" applyAlignment="1">
      <alignment horizontal="right" vertical="center" wrapText="1"/>
    </xf>
    <xf numFmtId="0" fontId="240" fillId="219" borderId="110" xfId="40" applyNumberFormat="1" applyFont="1" applyFill="1" applyBorder="1" applyAlignment="1">
      <alignment horizontal="right" vertical="center" wrapText="1"/>
    </xf>
    <xf numFmtId="0" fontId="240"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right" vertical="center" wrapText="1"/>
    </xf>
    <xf numFmtId="0" fontId="244" fillId="219" borderId="109" xfId="40" applyNumberFormat="1" applyFont="1" applyFill="1" applyBorder="1" applyAlignment="1">
      <alignment horizontal="right" vertical="center" wrapText="1"/>
    </xf>
    <xf numFmtId="0" fontId="244" fillId="219" borderId="110" xfId="40" applyNumberFormat="1" applyFont="1" applyFill="1" applyBorder="1" applyAlignment="1">
      <alignment horizontal="right" vertical="center" wrapText="1"/>
    </xf>
    <xf numFmtId="0" fontId="244"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center" vertical="center" wrapText="1"/>
    </xf>
    <xf numFmtId="0" fontId="244" fillId="219" borderId="109" xfId="40" applyNumberFormat="1" applyFont="1" applyFill="1" applyBorder="1" applyAlignment="1">
      <alignment horizontal="center" vertical="center" wrapText="1"/>
    </xf>
    <xf numFmtId="0" fontId="244" fillId="219" borderId="110" xfId="40" applyNumberFormat="1" applyFont="1" applyFill="1" applyBorder="1" applyAlignment="1">
      <alignment horizontal="center" vertical="center" wrapText="1"/>
    </xf>
    <xf numFmtId="0" fontId="244" fillId="219" borderId="111" xfId="40" applyNumberFormat="1" applyFont="1" applyFill="1" applyBorder="1" applyAlignment="1">
      <alignment horizontal="center" vertical="center" wrapText="1"/>
    </xf>
    <xf numFmtId="0" fontId="241" fillId="218" borderId="108" xfId="40" applyNumberFormat="1" applyFont="1" applyFill="1" applyBorder="1" applyAlignment="1">
      <alignment horizontal="center" vertical="center" wrapText="1"/>
    </xf>
    <xf numFmtId="0" fontId="241" fillId="218" borderId="109" xfId="40" applyNumberFormat="1" applyFont="1" applyFill="1" applyBorder="1" applyAlignment="1">
      <alignment horizontal="center" vertical="center" wrapText="1"/>
    </xf>
    <xf numFmtId="0" fontId="241" fillId="218" borderId="110" xfId="40" applyNumberFormat="1" applyFont="1" applyFill="1" applyBorder="1" applyAlignment="1">
      <alignment horizontal="center" vertical="center" wrapText="1"/>
    </xf>
    <xf numFmtId="0" fontId="241" fillId="218" borderId="155" xfId="40" applyNumberFormat="1" applyFont="1" applyFill="1" applyBorder="1" applyAlignment="1">
      <alignment horizontal="center" vertical="center" wrapText="1"/>
    </xf>
    <xf numFmtId="0" fontId="241" fillId="220" borderId="108" xfId="40" applyNumberFormat="1" applyFont="1" applyFill="1" applyBorder="1" applyAlignment="1">
      <alignment horizontal="center" vertical="center" wrapText="1"/>
    </xf>
    <xf numFmtId="0" fontId="241" fillId="220" borderId="109" xfId="40" applyNumberFormat="1" applyFont="1" applyFill="1" applyBorder="1" applyAlignment="1">
      <alignment horizontal="center" vertical="center" wrapText="1"/>
    </xf>
    <xf numFmtId="0" fontId="241" fillId="220" borderId="138" xfId="40" applyNumberFormat="1" applyFont="1" applyFill="1" applyBorder="1" applyAlignment="1">
      <alignment horizontal="center" vertical="center" wrapText="1"/>
    </xf>
    <xf numFmtId="0" fontId="241" fillId="220" borderId="155" xfId="40" applyNumberFormat="1" applyFont="1" applyFill="1" applyBorder="1" applyAlignment="1">
      <alignment horizontal="center" vertical="center" wrapText="1"/>
    </xf>
    <xf numFmtId="0" fontId="241" fillId="221" borderId="108" xfId="40" applyNumberFormat="1" applyFont="1" applyFill="1" applyBorder="1" applyAlignment="1">
      <alignment horizontal="center" vertical="center" wrapText="1"/>
    </xf>
    <xf numFmtId="0" fontId="241" fillId="221" borderId="109" xfId="40" applyNumberFormat="1" applyFont="1" applyFill="1" applyBorder="1" applyAlignment="1">
      <alignment horizontal="center" vertical="center" wrapText="1"/>
    </xf>
    <xf numFmtId="0" fontId="241" fillId="221" borderId="138" xfId="40" applyNumberFormat="1" applyFont="1" applyFill="1" applyBorder="1" applyAlignment="1">
      <alignment horizontal="center" vertical="center" wrapText="1"/>
    </xf>
    <xf numFmtId="0" fontId="241" fillId="221" borderId="155" xfId="40" applyNumberFormat="1" applyFont="1" applyFill="1" applyBorder="1" applyAlignment="1">
      <alignment horizontal="center" vertical="center" wrapText="1"/>
    </xf>
    <xf numFmtId="0" fontId="241" fillId="222" borderId="108" xfId="40" applyNumberFormat="1" applyFont="1" applyFill="1" applyBorder="1" applyAlignment="1">
      <alignment horizontal="center" vertical="center" wrapText="1"/>
    </xf>
    <xf numFmtId="0" fontId="241" fillId="222" borderId="110" xfId="40" applyNumberFormat="1" applyFont="1" applyFill="1" applyBorder="1" applyAlignment="1">
      <alignment horizontal="center" vertical="center" wrapText="1"/>
    </xf>
    <xf numFmtId="0" fontId="241" fillId="218" borderId="156" xfId="40" applyNumberFormat="1" applyFont="1" applyFill="1" applyBorder="1" applyAlignment="1">
      <alignment horizontal="center" vertical="center" wrapText="1"/>
    </xf>
    <xf numFmtId="0" fontId="136" fillId="218" borderId="137" xfId="40" applyNumberFormat="1" applyFont="1" applyFill="1" applyBorder="1" applyAlignment="1">
      <alignment horizontal="center" vertical="center" wrapText="1"/>
    </xf>
    <xf numFmtId="0" fontId="241" fillId="218" borderId="118" xfId="40" applyNumberFormat="1" applyFont="1" applyFill="1" applyBorder="1" applyAlignment="1">
      <alignment horizontal="center" vertical="center" wrapText="1"/>
    </xf>
    <xf numFmtId="0" fontId="136" fillId="218" borderId="145" xfId="40" applyNumberFormat="1" applyFont="1" applyFill="1" applyBorder="1" applyAlignment="1">
      <alignment horizontal="center" vertical="center" wrapText="1"/>
    </xf>
    <xf numFmtId="0" fontId="136" fillId="218" borderId="115" xfId="40" applyNumberFormat="1" applyFont="1" applyFill="1" applyBorder="1" applyAlignment="1">
      <alignment horizontal="center" vertical="center" wrapText="1"/>
    </xf>
    <xf numFmtId="0" fontId="241" fillId="109" borderId="118" xfId="40" applyNumberFormat="1" applyFont="1" applyFill="1" applyBorder="1"/>
    <xf numFmtId="0" fontId="241" fillId="113" borderId="118" xfId="40" applyNumberFormat="1" applyFont="1" applyFill="1" applyBorder="1"/>
    <xf numFmtId="0" fontId="241" fillId="109" borderId="118" xfId="40" applyNumberFormat="1" applyFont="1" applyFill="1" applyBorder="1" applyAlignment="1">
      <alignment wrapText="1"/>
    </xf>
    <xf numFmtId="0" fontId="241" fillId="113" borderId="118" xfId="40" applyNumberFormat="1" applyFont="1" applyFill="1" applyBorder="1" applyAlignment="1">
      <alignment wrapText="1"/>
    </xf>
    <xf numFmtId="0" fontId="241" fillId="109" borderId="118" xfId="40" applyNumberFormat="1" applyFont="1" applyFill="1" applyBorder="1" applyAlignment="1">
      <alignment vertical="center" wrapText="1"/>
    </xf>
    <xf numFmtId="0" fontId="241" fillId="113" borderId="118" xfId="40" applyNumberFormat="1" applyFont="1" applyFill="1" applyBorder="1" applyAlignment="1">
      <alignment vertical="center" wrapText="1"/>
    </xf>
    <xf numFmtId="0" fontId="241" fillId="223" borderId="107" xfId="40" applyNumberFormat="1" applyFont="1" applyFill="1" applyBorder="1" applyAlignment="1">
      <alignment horizontal="left" vertical="center" wrapText="1"/>
    </xf>
    <xf numFmtId="0" fontId="241" fillId="223" borderId="128" xfId="40" applyNumberFormat="1" applyFont="1" applyFill="1" applyBorder="1" applyAlignment="1">
      <alignment horizontal="left" vertical="center" wrapText="1"/>
    </xf>
    <xf numFmtId="0" fontId="241" fillId="223" borderId="112" xfId="40" applyNumberFormat="1" applyFont="1" applyFill="1" applyBorder="1" applyAlignment="1">
      <alignment horizontal="left" vertical="center" wrapText="1"/>
    </xf>
    <xf numFmtId="0" fontId="136" fillId="223" borderId="128" xfId="40" applyNumberFormat="1" applyFont="1" applyFill="1" applyBorder="1" applyAlignment="1">
      <alignment horizontal="left" vertical="center" wrapText="1"/>
    </xf>
    <xf numFmtId="0" fontId="245" fillId="223" borderId="107" xfId="40" applyNumberFormat="1" applyFont="1" applyFill="1" applyBorder="1" applyAlignment="1">
      <alignment horizontal="left" vertical="center" wrapText="1"/>
    </xf>
    <xf numFmtId="0" fontId="245" fillId="223" borderId="128" xfId="40" applyNumberFormat="1" applyFont="1" applyFill="1" applyBorder="1" applyAlignment="1">
      <alignment horizontal="left" vertical="center" wrapText="1"/>
    </xf>
    <xf numFmtId="0" fontId="245" fillId="223" borderId="112" xfId="40" applyNumberFormat="1" applyFont="1" applyFill="1" applyBorder="1" applyAlignment="1">
      <alignment horizontal="left" vertical="center" wrapText="1"/>
    </xf>
    <xf numFmtId="0" fontId="242" fillId="113" borderId="130" xfId="40" applyNumberFormat="1" applyFont="1" applyFill="1" applyBorder="1" applyAlignment="1">
      <alignment horizontal="center" vertical="top" wrapText="1"/>
    </xf>
    <xf numFmtId="0" fontId="242" fillId="109" borderId="156" xfId="40" applyNumberFormat="1" applyFont="1" applyFill="1" applyBorder="1" applyAlignment="1">
      <alignment vertical="top" wrapText="1"/>
    </xf>
    <xf numFmtId="0" fontId="242" fillId="123" borderId="115" xfId="40" applyNumberFormat="1" applyFont="1" applyFill="1" applyBorder="1" applyAlignment="1">
      <alignment horizontal="left" vertical="top" wrapText="1"/>
    </xf>
    <xf numFmtId="0" fontId="242" fillId="114" borderId="115" xfId="40" applyNumberFormat="1" applyFont="1" applyFill="1" applyBorder="1" applyAlignment="1">
      <alignment horizontal="center" vertical="top" wrapText="1"/>
    </xf>
    <xf numFmtId="0" fontId="242" fillId="154" borderId="115" xfId="40" applyNumberFormat="1" applyFont="1" applyFill="1" applyBorder="1" applyAlignment="1">
      <alignment horizontal="center" vertical="top" wrapText="1"/>
    </xf>
    <xf numFmtId="0" fontId="242" fillId="160" borderId="115" xfId="40" applyNumberFormat="1" applyFont="1" applyFill="1" applyBorder="1" applyAlignment="1">
      <alignment horizontal="left" vertical="top" wrapText="1"/>
    </xf>
    <xf numFmtId="0" fontId="242" fillId="126" borderId="115" xfId="40" applyNumberFormat="1" applyFont="1" applyFill="1" applyBorder="1" applyAlignment="1">
      <alignment horizontal="center" vertical="top" wrapText="1"/>
    </xf>
    <xf numFmtId="0" fontId="242" fillId="126" borderId="115" xfId="40" applyNumberFormat="1" applyFont="1" applyFill="1" applyBorder="1" applyAlignment="1">
      <alignment vertical="top" wrapText="1"/>
    </xf>
    <xf numFmtId="0" fontId="242" fillId="113" borderId="115" xfId="40" applyNumberFormat="1" applyFont="1" applyFill="1" applyBorder="1" applyAlignment="1">
      <alignment horizontal="center" vertical="top" wrapText="1"/>
    </xf>
    <xf numFmtId="0" fontId="242" fillId="109" borderId="115" xfId="40" applyNumberFormat="1" applyFont="1" applyFill="1" applyBorder="1" applyAlignment="1">
      <alignment vertical="top"/>
    </xf>
    <xf numFmtId="0" fontId="242" fillId="109" borderId="115" xfId="40" applyNumberFormat="1" applyFont="1" applyFill="1" applyBorder="1" applyAlignment="1">
      <alignment vertical="top" wrapText="1"/>
    </xf>
    <xf numFmtId="0" fontId="242" fillId="113" borderId="115" xfId="40" applyNumberFormat="1" applyFont="1" applyFill="1" applyBorder="1" applyAlignment="1">
      <alignment vertical="top"/>
    </xf>
    <xf numFmtId="0" fontId="242" fillId="125" borderId="115" xfId="40" applyNumberFormat="1" applyFont="1" applyFill="1" applyBorder="1" applyAlignment="1">
      <alignment vertical="top" wrapText="1"/>
    </xf>
    <xf numFmtId="0" fontId="242" fillId="113" borderId="114" xfId="40" applyNumberFormat="1" applyFont="1" applyFill="1" applyBorder="1" applyAlignment="1">
      <alignment horizontal="center" vertical="top" wrapText="1"/>
    </xf>
    <xf numFmtId="0" fontId="242" fillId="109" borderId="127" xfId="40" applyNumberFormat="1" applyFont="1" applyFill="1" applyBorder="1" applyAlignment="1">
      <alignment vertical="top" wrapText="1"/>
    </xf>
    <xf numFmtId="0" fontId="242" fillId="150" borderId="115" xfId="40" applyNumberFormat="1" applyFont="1" applyFill="1" applyBorder="1" applyAlignment="1">
      <alignment vertical="top"/>
    </xf>
    <xf numFmtId="0" fontId="242" fillId="150" borderId="115" xfId="40" applyNumberFormat="1" applyFont="1" applyFill="1" applyBorder="1" applyAlignment="1">
      <alignment vertical="top" wrapText="1"/>
    </xf>
    <xf numFmtId="0" fontId="242" fillId="113" borderId="127" xfId="40" applyNumberFormat="1" applyFont="1" applyFill="1" applyBorder="1" applyAlignment="1">
      <alignment vertical="top" wrapText="1"/>
    </xf>
    <xf numFmtId="0" fontId="242" fillId="131" borderId="115" xfId="40" applyNumberFormat="1" applyFont="1" applyFill="1" applyBorder="1" applyAlignment="1">
      <alignment vertical="top"/>
    </xf>
    <xf numFmtId="0" fontId="242" fillId="131" borderId="115" xfId="40" applyNumberFormat="1" applyFont="1" applyFill="1" applyBorder="1" applyAlignment="1">
      <alignment vertical="top" wrapText="1"/>
    </xf>
    <xf numFmtId="0" fontId="242" fillId="125" borderId="115" xfId="40" applyNumberFormat="1" applyFont="1" applyFill="1" applyBorder="1" applyAlignment="1">
      <alignment horizontal="left" vertical="top" wrapText="1"/>
    </xf>
    <xf numFmtId="0" fontId="242" fillId="113" borderId="119" xfId="40" applyNumberFormat="1" applyFont="1" applyFill="1" applyBorder="1" applyAlignment="1">
      <alignment horizontal="center" vertical="top" wrapText="1"/>
    </xf>
    <xf numFmtId="0" fontId="242" fillId="109" borderId="144" xfId="40" applyNumberFormat="1" applyFont="1" applyFill="1" applyBorder="1" applyAlignment="1">
      <alignment vertical="top" wrapText="1"/>
    </xf>
    <xf numFmtId="0" fontId="242" fillId="113" borderId="115" xfId="40" applyNumberFormat="1" applyFont="1" applyFill="1" applyBorder="1" applyAlignment="1">
      <alignment vertical="top" wrapText="1"/>
    </xf>
    <xf numFmtId="0" fontId="241" fillId="109" borderId="156" xfId="40" applyNumberFormat="1" applyFont="1" applyFill="1" applyBorder="1" applyAlignment="1">
      <alignment vertical="top" wrapText="1"/>
    </xf>
    <xf numFmtId="0" fontId="241" fillId="109" borderId="127" xfId="40" applyNumberFormat="1" applyFont="1" applyFill="1" applyBorder="1" applyAlignment="1">
      <alignment vertical="top" wrapText="1"/>
    </xf>
    <xf numFmtId="0" fontId="241" fillId="113" borderId="127" xfId="40" applyNumberFormat="1" applyFont="1" applyFill="1" applyBorder="1" applyAlignment="1">
      <alignment vertical="top" wrapText="1"/>
    </xf>
    <xf numFmtId="0" fontId="241" fillId="109" borderId="144" xfId="40" applyNumberFormat="1" applyFont="1" applyFill="1" applyBorder="1" applyAlignment="1">
      <alignment vertical="top" wrapText="1"/>
    </xf>
    <xf numFmtId="0" fontId="241" fillId="224" borderId="156" xfId="40" applyNumberFormat="1" applyFont="1" applyFill="1" applyBorder="1" applyAlignment="1">
      <alignment vertical="top" wrapText="1"/>
    </xf>
    <xf numFmtId="0" fontId="241" fillId="224" borderId="127" xfId="40" applyNumberFormat="1" applyFont="1" applyFill="1" applyBorder="1" applyAlignment="1">
      <alignment vertical="top" wrapText="1"/>
    </xf>
    <xf numFmtId="0" fontId="241" fillId="224" borderId="144" xfId="40" applyNumberFormat="1" applyFont="1" applyFill="1" applyBorder="1" applyAlignment="1">
      <alignment vertical="top" wrapText="1"/>
    </xf>
    <xf numFmtId="0" fontId="242" fillId="224" borderId="115" xfId="40" applyNumberFormat="1" applyFont="1" applyFill="1" applyBorder="1" applyAlignment="1">
      <alignment horizontal="left" vertical="top" wrapText="1"/>
    </xf>
    <xf numFmtId="0" fontId="242" fillId="224" borderId="115" xfId="40" applyNumberFormat="1" applyFont="1" applyFill="1" applyBorder="1" applyAlignment="1">
      <alignment vertical="top" wrapText="1"/>
    </xf>
    <xf numFmtId="0" fontId="242" fillId="225" borderId="115" xfId="40" applyNumberFormat="1" applyFont="1" applyFill="1" applyBorder="1" applyAlignment="1">
      <alignment horizontal="center" vertical="top" wrapText="1"/>
    </xf>
    <xf numFmtId="0" fontId="241" fillId="225" borderId="115" xfId="40" applyNumberFormat="1" applyFont="1" applyFill="1" applyBorder="1" applyAlignment="1">
      <alignment horizontal="center" vertical="top" wrapText="1"/>
    </xf>
    <xf numFmtId="166" fontId="241" fillId="225" borderId="115" xfId="40" applyNumberFormat="1" applyFont="1" applyFill="1" applyBorder="1" applyAlignment="1">
      <alignment horizontal="center" vertical="top" wrapText="1"/>
    </xf>
    <xf numFmtId="0" fontId="242" fillId="223" borderId="130" xfId="40" applyNumberFormat="1" applyFont="1" applyFill="1" applyBorder="1" applyAlignment="1">
      <alignment horizontal="center" vertical="top" wrapText="1"/>
    </xf>
    <xf numFmtId="0" fontId="242" fillId="223" borderId="114" xfId="40" applyNumberFormat="1" applyFont="1" applyFill="1" applyBorder="1" applyAlignment="1">
      <alignment horizontal="center" vertical="top" wrapText="1"/>
    </xf>
    <xf numFmtId="0" fontId="242" fillId="223" borderId="119" xfId="40" applyNumberFormat="1" applyFont="1" applyFill="1" applyBorder="1" applyAlignment="1">
      <alignment horizontal="center" vertical="top" wrapText="1"/>
    </xf>
    <xf numFmtId="0" fontId="242" fillId="223" borderId="115" xfId="40" applyNumberFormat="1" applyFont="1" applyFill="1" applyBorder="1" applyAlignment="1">
      <alignment horizontal="center" vertical="top" wrapText="1"/>
    </xf>
    <xf numFmtId="0" fontId="241" fillId="125" borderId="115" xfId="40" applyNumberFormat="1" applyFont="1" applyFill="1" applyBorder="1" applyAlignment="1">
      <alignment horizontal="center" vertical="center" wrapText="1"/>
    </xf>
    <xf numFmtId="0" fontId="241" fillId="114" borderId="107" xfId="40" applyNumberFormat="1" applyFont="1" applyFill="1" applyBorder="1" applyAlignment="1">
      <alignment vertical="center" wrapText="1"/>
    </xf>
    <xf numFmtId="0" fontId="241" fillId="114" borderId="128" xfId="40" applyNumberFormat="1" applyFont="1" applyFill="1" applyBorder="1" applyAlignment="1">
      <alignment vertical="center" wrapText="1"/>
    </xf>
    <xf numFmtId="0" fontId="241" fillId="114" borderId="112" xfId="40" applyNumberFormat="1" applyFont="1" applyFill="1" applyBorder="1" applyAlignment="1">
      <alignment vertical="center" wrapText="1"/>
    </xf>
    <xf numFmtId="0" fontId="241" fillId="114" borderId="106" xfId="40" applyNumberFormat="1" applyFont="1" applyFill="1" applyBorder="1" applyAlignment="1">
      <alignment vertical="center" wrapText="1"/>
    </xf>
    <xf numFmtId="0" fontId="240" fillId="126"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left" vertical="center" wrapText="1"/>
    </xf>
    <xf numFmtId="0" fontId="240" fillId="226" borderId="108" xfId="40" applyNumberFormat="1" applyFont="1" applyFill="1" applyBorder="1" applyAlignment="1">
      <alignment horizontal="right" vertical="center" wrapText="1"/>
    </xf>
    <xf numFmtId="0" fontId="240" fillId="226" borderId="109" xfId="40" applyNumberFormat="1" applyFont="1" applyFill="1" applyBorder="1" applyAlignment="1">
      <alignment horizontal="right" vertical="center" wrapText="1"/>
    </xf>
    <xf numFmtId="0" fontId="240" fillId="226" borderId="110" xfId="40" applyNumberFormat="1" applyFont="1" applyFill="1" applyBorder="1" applyAlignment="1">
      <alignment horizontal="right" vertical="center" wrapText="1"/>
    </xf>
    <xf numFmtId="0" fontId="240"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right" vertical="center" wrapText="1"/>
    </xf>
    <xf numFmtId="0" fontId="176" fillId="226" borderId="109" xfId="40" applyNumberFormat="1" applyFont="1" applyFill="1" applyBorder="1" applyAlignment="1">
      <alignment horizontal="right" vertical="center" wrapText="1"/>
    </xf>
    <xf numFmtId="0" fontId="176" fillId="226" borderId="110" xfId="40" applyNumberFormat="1" applyFont="1" applyFill="1" applyBorder="1" applyAlignment="1">
      <alignment horizontal="right" vertical="center" wrapText="1"/>
    </xf>
    <xf numFmtId="0" fontId="176"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center" vertical="center" wrapText="1"/>
    </xf>
    <xf numFmtId="0" fontId="176" fillId="226" borderId="109" xfId="40" applyNumberFormat="1" applyFont="1" applyFill="1" applyBorder="1" applyAlignment="1">
      <alignment horizontal="center" vertical="center" wrapText="1"/>
    </xf>
    <xf numFmtId="0" fontId="176" fillId="226" borderId="110" xfId="40" applyNumberFormat="1" applyFont="1" applyFill="1" applyBorder="1" applyAlignment="1">
      <alignment horizontal="center" vertical="center" wrapText="1"/>
    </xf>
    <xf numFmtId="0" fontId="176" fillId="226" borderId="111" xfId="40" applyNumberFormat="1" applyFont="1" applyFill="1" applyBorder="1" applyAlignment="1">
      <alignment horizontal="center" vertical="center" wrapText="1"/>
    </xf>
    <xf numFmtId="0" fontId="241" fillId="218" borderId="115" xfId="40" applyNumberFormat="1" applyFont="1" applyFill="1" applyBorder="1" applyAlignment="1">
      <alignment horizontal="center" vertical="center" wrapText="1"/>
    </xf>
    <xf numFmtId="0" fontId="241" fillId="223" borderId="107" xfId="40" applyNumberFormat="1" applyFont="1" applyFill="1" applyBorder="1" applyAlignment="1">
      <alignment vertical="center" wrapText="1"/>
    </xf>
    <xf numFmtId="0" fontId="241" fillId="223" borderId="128" xfId="40" applyNumberFormat="1" applyFont="1" applyFill="1" applyBorder="1" applyAlignment="1">
      <alignment vertical="center" wrapText="1"/>
    </xf>
    <xf numFmtId="0" fontId="241" fillId="223" borderId="112" xfId="40" applyNumberFormat="1" applyFont="1" applyFill="1" applyBorder="1" applyAlignment="1">
      <alignment vertical="center" wrapText="1"/>
    </xf>
    <xf numFmtId="0" fontId="241" fillId="223" borderId="106" xfId="40" applyNumberFormat="1" applyFont="1" applyFill="1" applyBorder="1" applyAlignment="1">
      <alignment vertical="center" wrapText="1"/>
    </xf>
    <xf numFmtId="0" fontId="136" fillId="223" borderId="149" xfId="40" applyNumberFormat="1" applyFont="1" applyFill="1" applyBorder="1" applyAlignment="1">
      <alignment vertical="center" wrapText="1"/>
    </xf>
    <xf numFmtId="0" fontId="245" fillId="223" borderId="107" xfId="40" applyNumberFormat="1" applyFont="1" applyFill="1" applyBorder="1" applyAlignment="1">
      <alignment vertical="center" wrapText="1"/>
    </xf>
    <xf numFmtId="0" fontId="245" fillId="223" borderId="128" xfId="40" applyNumberFormat="1" applyFont="1" applyFill="1" applyBorder="1" applyAlignment="1">
      <alignment vertical="center" wrapText="1"/>
    </xf>
    <xf numFmtId="0" fontId="245" fillId="223" borderId="112" xfId="40" applyNumberFormat="1" applyFont="1" applyFill="1" applyBorder="1" applyAlignment="1">
      <alignment vertical="center" wrapText="1"/>
    </xf>
    <xf numFmtId="0" fontId="245" fillId="223" borderId="106" xfId="40" applyNumberFormat="1" applyFont="1" applyFill="1" applyBorder="1" applyAlignment="1">
      <alignment vertical="center" wrapText="1"/>
    </xf>
    <xf numFmtId="0" fontId="245" fillId="223" borderId="149" xfId="40" applyNumberFormat="1" applyFont="1" applyFill="1" applyBorder="1" applyAlignment="1">
      <alignment vertical="center" wrapText="1"/>
    </xf>
    <xf numFmtId="0" fontId="242" fillId="126" borderId="115" xfId="40" applyNumberFormat="1" applyFont="1" applyFill="1" applyBorder="1" applyAlignment="1">
      <alignment horizontal="left" vertical="top" wrapText="1"/>
    </xf>
    <xf numFmtId="0" fontId="241" fillId="114" borderId="106" xfId="40" applyNumberFormat="1" applyFont="1" applyFill="1" applyBorder="1" applyAlignment="1">
      <alignment horizontal="left" vertical="center" wrapText="1"/>
    </xf>
    <xf numFmtId="0" fontId="241" fillId="109" borderId="158" xfId="40" applyNumberFormat="1" applyFont="1" applyFill="1" applyBorder="1" applyAlignment="1">
      <alignment vertical="center" wrapText="1"/>
    </xf>
    <xf numFmtId="0" fontId="240" fillId="150" borderId="115" xfId="40" applyNumberFormat="1" applyFont="1" applyFill="1" applyBorder="1" applyAlignment="1">
      <alignment horizontal="center" vertical="center" wrapText="1"/>
    </xf>
    <xf numFmtId="0" fontId="242" fillId="109" borderId="158" xfId="40" applyNumberFormat="1" applyFont="1" applyFill="1" applyBorder="1" applyAlignment="1">
      <alignment vertical="center" wrapText="1"/>
    </xf>
    <xf numFmtId="0" fontId="242" fillId="150" borderId="115" xfId="40" applyNumberFormat="1" applyFont="1" applyFill="1" applyBorder="1" applyAlignment="1">
      <alignment horizontal="center" vertical="center" wrapText="1"/>
    </xf>
    <xf numFmtId="0" fontId="122" fillId="218" borderId="132" xfId="40" applyNumberFormat="1" applyFont="1" applyFill="1" applyBorder="1" applyAlignment="1">
      <alignment horizontal="center" vertical="center" wrapText="1"/>
    </xf>
    <xf numFmtId="0" fontId="122" fillId="218" borderId="133" xfId="40" applyNumberFormat="1" applyFont="1" applyFill="1" applyBorder="1" applyAlignment="1">
      <alignment horizontal="center" vertical="center" wrapText="1"/>
    </xf>
    <xf numFmtId="0" fontId="122" fillId="218" borderId="139" xfId="40" applyNumberFormat="1" applyFont="1" applyFill="1" applyBorder="1" applyAlignment="1">
      <alignment horizontal="center" vertical="center" wrapText="1"/>
    </xf>
    <xf numFmtId="0" fontId="243" fillId="218" borderId="132" xfId="40" applyNumberFormat="1" applyFont="1" applyFill="1" applyBorder="1" applyAlignment="1">
      <alignment horizontal="center" vertical="center" wrapText="1"/>
    </xf>
    <xf numFmtId="0" fontId="243" fillId="218" borderId="133" xfId="40" applyNumberFormat="1" applyFont="1" applyFill="1" applyBorder="1" applyAlignment="1">
      <alignment horizontal="center" vertical="center" wrapText="1"/>
    </xf>
    <xf numFmtId="0" fontId="243" fillId="218" borderId="139" xfId="40" applyNumberFormat="1" applyFont="1" applyFill="1" applyBorder="1" applyAlignment="1">
      <alignment horizontal="center" vertical="center" wrapText="1"/>
    </xf>
    <xf numFmtId="0" fontId="240" fillId="227" borderId="108" xfId="40" applyNumberFormat="1" applyFont="1" applyFill="1" applyBorder="1" applyAlignment="1">
      <alignment horizontal="right" vertical="center" wrapText="1"/>
    </xf>
    <xf numFmtId="0" fontId="240" fillId="227" borderId="109" xfId="40" applyNumberFormat="1" applyFont="1" applyFill="1" applyBorder="1" applyAlignment="1">
      <alignment horizontal="right" vertical="center" wrapText="1"/>
    </xf>
    <xf numFmtId="0" fontId="240" fillId="227" borderId="110" xfId="40" applyNumberFormat="1" applyFont="1" applyFill="1" applyBorder="1" applyAlignment="1">
      <alignment horizontal="right" vertical="center" wrapText="1"/>
    </xf>
    <xf numFmtId="0" fontId="240"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right" vertical="center" wrapText="1"/>
    </xf>
    <xf numFmtId="0" fontId="176" fillId="227" borderId="109" xfId="40" applyNumberFormat="1" applyFont="1" applyFill="1" applyBorder="1" applyAlignment="1">
      <alignment horizontal="right" vertical="center" wrapText="1"/>
    </xf>
    <xf numFmtId="0" fontId="176" fillId="227" borderId="110" xfId="40" applyNumberFormat="1" applyFont="1" applyFill="1" applyBorder="1" applyAlignment="1">
      <alignment horizontal="right" vertical="center" wrapText="1"/>
    </xf>
    <xf numFmtId="0" fontId="176"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center" vertical="center" wrapText="1"/>
    </xf>
    <xf numFmtId="0" fontId="176" fillId="227" borderId="109" xfId="40" applyNumberFormat="1" applyFont="1" applyFill="1" applyBorder="1" applyAlignment="1">
      <alignment horizontal="center" vertical="center" wrapText="1"/>
    </xf>
    <xf numFmtId="0" fontId="176" fillId="227" borderId="110" xfId="40" applyNumberFormat="1" applyFont="1" applyFill="1" applyBorder="1" applyAlignment="1">
      <alignment horizontal="center" vertical="center" wrapText="1"/>
    </xf>
    <xf numFmtId="0" fontId="176" fillId="227" borderId="111" xfId="40" applyNumberFormat="1" applyFont="1" applyFill="1" applyBorder="1" applyAlignment="1">
      <alignment horizontal="center" vertical="center" wrapText="1"/>
    </xf>
    <xf numFmtId="0" fontId="241" fillId="223" borderId="106" xfId="40" applyNumberFormat="1" applyFont="1" applyFill="1" applyBorder="1" applyAlignment="1">
      <alignment horizontal="left" vertical="center" wrapText="1"/>
    </xf>
    <xf numFmtId="0" fontId="136" fillId="223" borderId="149" xfId="40" applyNumberFormat="1" applyFont="1" applyFill="1" applyBorder="1" applyAlignment="1">
      <alignment horizontal="left" vertical="center" wrapText="1"/>
    </xf>
    <xf numFmtId="0" fontId="245" fillId="223" borderId="106" xfId="40" applyNumberFormat="1" applyFont="1" applyFill="1" applyBorder="1" applyAlignment="1">
      <alignment horizontal="left" vertical="center" wrapText="1"/>
    </xf>
    <xf numFmtId="0" fontId="245" fillId="223" borderId="149" xfId="40" applyNumberFormat="1" applyFont="1" applyFill="1" applyBorder="1" applyAlignment="1">
      <alignment horizontal="left" vertical="center" wrapText="1"/>
    </xf>
    <xf numFmtId="0" fontId="242" fillId="109" borderId="158" xfId="40" applyNumberFormat="1" applyFont="1" applyFill="1" applyBorder="1" applyAlignment="1">
      <alignment vertical="top" wrapText="1"/>
    </xf>
    <xf numFmtId="0" fontId="242" fillId="150" borderId="115" xfId="40" applyNumberFormat="1" applyFont="1" applyFill="1" applyBorder="1" applyAlignment="1">
      <alignment horizontal="center" vertical="top" wrapText="1"/>
    </xf>
    <xf numFmtId="0" fontId="241" fillId="109" borderId="158" xfId="40" applyNumberFormat="1" applyFont="1" applyFill="1" applyBorder="1" applyAlignment="1">
      <alignment vertical="top" wrapText="1"/>
    </xf>
    <xf numFmtId="0" fontId="241" fillId="224" borderId="158" xfId="40" applyNumberFormat="1" applyFont="1" applyFill="1" applyBorder="1" applyAlignment="1">
      <alignment vertical="top" wrapText="1"/>
    </xf>
    <xf numFmtId="0" fontId="241" fillId="114" borderId="111" xfId="40" applyNumberFormat="1" applyFont="1" applyFill="1" applyBorder="1" applyAlignment="1">
      <alignment horizontal="center" vertical="center" wrapText="1"/>
    </xf>
    <xf numFmtId="0" fontId="241" fillId="154" borderId="110" xfId="40" applyNumberFormat="1" applyFont="1" applyFill="1" applyBorder="1" applyAlignment="1">
      <alignment horizontal="center" vertical="center" wrapText="1"/>
    </xf>
    <xf numFmtId="0" fontId="241" fillId="154" borderId="111" xfId="40" applyNumberFormat="1" applyFont="1" applyFill="1" applyBorder="1" applyAlignment="1">
      <alignment horizontal="center" vertical="center" wrapText="1"/>
    </xf>
    <xf numFmtId="0" fontId="241" fillId="126" borderId="110" xfId="40" applyNumberFormat="1" applyFont="1" applyFill="1" applyBorder="1" applyAlignment="1">
      <alignment horizontal="center" vertical="center" wrapText="1"/>
    </xf>
    <xf numFmtId="0" fontId="241" fillId="126" borderId="111" xfId="40" applyNumberFormat="1" applyFont="1" applyFill="1" applyBorder="1" applyAlignment="1">
      <alignment horizontal="center" vertical="center" wrapText="1"/>
    </xf>
    <xf numFmtId="0" fontId="241" fillId="114" borderId="136" xfId="40" applyNumberFormat="1" applyFont="1" applyFill="1" applyBorder="1" applyAlignment="1">
      <alignment horizontal="left" vertical="center" wrapText="1"/>
    </xf>
    <xf numFmtId="0" fontId="241" fillId="114" borderId="137" xfId="40" applyNumberFormat="1" applyFont="1" applyFill="1" applyBorder="1" applyAlignment="1">
      <alignment horizontal="left" vertical="center" wrapText="1"/>
    </xf>
    <xf numFmtId="0" fontId="240" fillId="228" borderId="108" xfId="40" applyNumberFormat="1" applyFont="1" applyFill="1" applyBorder="1" applyAlignment="1">
      <alignment horizontal="right" vertical="center" wrapText="1"/>
    </xf>
    <xf numFmtId="0" fontId="240" fillId="228" borderId="109" xfId="40" applyNumberFormat="1" applyFont="1" applyFill="1" applyBorder="1" applyAlignment="1">
      <alignment horizontal="right" vertical="center" wrapText="1"/>
    </xf>
    <xf numFmtId="0" fontId="240" fillId="228" borderId="110" xfId="40" applyNumberFormat="1" applyFont="1" applyFill="1" applyBorder="1" applyAlignment="1">
      <alignment horizontal="right" vertical="center" wrapText="1"/>
    </xf>
    <xf numFmtId="0" fontId="240"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right" vertical="center" wrapText="1"/>
    </xf>
    <xf numFmtId="0" fontId="176" fillId="228" borderId="109" xfId="40" applyNumberFormat="1" applyFont="1" applyFill="1" applyBorder="1" applyAlignment="1">
      <alignment horizontal="right" vertical="center" wrapText="1"/>
    </xf>
    <xf numFmtId="0" fontId="176" fillId="228" borderId="110" xfId="40" applyNumberFormat="1" applyFont="1" applyFill="1" applyBorder="1" applyAlignment="1">
      <alignment horizontal="right" vertical="center" wrapText="1"/>
    </xf>
    <xf numFmtId="0" fontId="176"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center" vertical="center" wrapText="1"/>
    </xf>
    <xf numFmtId="0" fontId="176" fillId="228" borderId="109" xfId="40" applyNumberFormat="1" applyFont="1" applyFill="1" applyBorder="1" applyAlignment="1">
      <alignment horizontal="center" vertical="center" wrapText="1"/>
    </xf>
    <xf numFmtId="0" fontId="176" fillId="228" borderId="110" xfId="40" applyNumberFormat="1" applyFont="1" applyFill="1" applyBorder="1" applyAlignment="1">
      <alignment horizontal="center" vertical="center" wrapText="1"/>
    </xf>
    <xf numFmtId="0" fontId="176" fillId="228" borderId="111" xfId="40" applyNumberFormat="1" applyFont="1" applyFill="1" applyBorder="1" applyAlignment="1">
      <alignment horizontal="center" vertical="center" wrapText="1"/>
    </xf>
    <xf numFmtId="0" fontId="241" fillId="218" borderId="111" xfId="40" applyNumberFormat="1" applyFont="1" applyFill="1" applyBorder="1" applyAlignment="1">
      <alignment horizontal="center" vertical="center" wrapText="1"/>
    </xf>
    <xf numFmtId="0" fontId="241" fillId="220" borderId="110" xfId="40" applyNumberFormat="1" applyFont="1" applyFill="1" applyBorder="1" applyAlignment="1">
      <alignment horizontal="center" vertical="center" wrapText="1"/>
    </xf>
    <xf numFmtId="0" fontId="241" fillId="220" borderId="111" xfId="40" applyNumberFormat="1" applyFont="1" applyFill="1" applyBorder="1" applyAlignment="1">
      <alignment horizontal="center" vertical="center" wrapText="1"/>
    </xf>
    <xf numFmtId="0" fontId="241" fillId="221" borderId="110" xfId="40" applyNumberFormat="1" applyFont="1" applyFill="1" applyBorder="1" applyAlignment="1">
      <alignment horizontal="center" vertical="center" wrapText="1"/>
    </xf>
    <xf numFmtId="0" fontId="241" fillId="221" borderId="111" xfId="40" applyNumberFormat="1" applyFont="1" applyFill="1" applyBorder="1" applyAlignment="1">
      <alignment horizontal="center" vertical="center" wrapText="1"/>
    </xf>
    <xf numFmtId="0" fontId="136" fillId="218" borderId="111" xfId="40" applyNumberFormat="1" applyFont="1" applyFill="1" applyBorder="1" applyAlignment="1">
      <alignment horizontal="center" vertical="center" wrapText="1"/>
    </xf>
    <xf numFmtId="0" fontId="241" fillId="223" borderId="136" xfId="40" applyNumberFormat="1" applyFont="1" applyFill="1" applyBorder="1" applyAlignment="1">
      <alignment horizontal="left" vertical="center" wrapText="1"/>
    </xf>
    <xf numFmtId="0" fontId="241" fillId="223" borderId="137" xfId="40" applyNumberFormat="1" applyFont="1" applyFill="1" applyBorder="1" applyAlignment="1">
      <alignment horizontal="left" vertical="center" wrapText="1"/>
    </xf>
    <xf numFmtId="0" fontId="136" fillId="223" borderId="142" xfId="40" applyNumberFormat="1" applyFont="1" applyFill="1" applyBorder="1" applyAlignment="1">
      <alignment horizontal="left" vertical="center" wrapText="1"/>
    </xf>
    <xf numFmtId="0" fontId="245" fillId="223" borderId="136" xfId="40" applyNumberFormat="1" applyFont="1" applyFill="1" applyBorder="1" applyAlignment="1">
      <alignment horizontal="left" vertical="center" wrapText="1"/>
    </xf>
    <xf numFmtId="0" fontId="245" fillId="223" borderId="137" xfId="40" applyNumberFormat="1" applyFont="1" applyFill="1" applyBorder="1" applyAlignment="1">
      <alignment horizontal="left" vertical="center" wrapText="1"/>
    </xf>
    <xf numFmtId="0" fontId="245" fillId="223" borderId="142" xfId="40" applyNumberFormat="1" applyFont="1" applyFill="1" applyBorder="1" applyAlignment="1">
      <alignment horizontal="left" vertical="center" wrapText="1"/>
    </xf>
    <xf numFmtId="0" fontId="240" fillId="123" borderId="115" xfId="40" applyNumberFormat="1" applyFont="1" applyFill="1" applyBorder="1" applyAlignment="1">
      <alignment vertical="center" wrapText="1"/>
    </xf>
    <xf numFmtId="0" fontId="241" fillId="126" borderId="110" xfId="40" applyNumberFormat="1" applyFont="1" applyFill="1" applyBorder="1" applyAlignment="1">
      <alignment horizontal="center" vertical="center"/>
    </xf>
    <xf numFmtId="0" fontId="242" fillId="123" borderId="115" xfId="40" applyNumberFormat="1" applyFont="1" applyFill="1" applyBorder="1" applyAlignment="1">
      <alignment vertical="center" wrapText="1"/>
    </xf>
    <xf numFmtId="0" fontId="242" fillId="126" borderId="110" xfId="40" applyNumberFormat="1" applyFont="1" applyFill="1" applyBorder="1" applyAlignment="1">
      <alignment horizontal="center" vertical="center"/>
    </xf>
    <xf numFmtId="0" fontId="240" fillId="229" borderId="108" xfId="40" applyNumberFormat="1" applyFont="1" applyFill="1" applyBorder="1" applyAlignment="1">
      <alignment horizontal="right" vertical="center" wrapText="1"/>
    </xf>
    <xf numFmtId="0" fontId="240" fillId="229" borderId="109" xfId="40" applyNumberFormat="1" applyFont="1" applyFill="1" applyBorder="1" applyAlignment="1">
      <alignment horizontal="right" vertical="center" wrapText="1"/>
    </xf>
    <xf numFmtId="0" fontId="240" fillId="229" borderId="110" xfId="40" applyNumberFormat="1" applyFont="1" applyFill="1" applyBorder="1" applyAlignment="1">
      <alignment horizontal="right" vertical="center" wrapText="1"/>
    </xf>
    <xf numFmtId="0" fontId="240"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right" vertical="center" wrapText="1"/>
    </xf>
    <xf numFmtId="0" fontId="244" fillId="229" borderId="109" xfId="40" applyNumberFormat="1" applyFont="1" applyFill="1" applyBorder="1" applyAlignment="1">
      <alignment horizontal="right" vertical="center" wrapText="1"/>
    </xf>
    <xf numFmtId="0" fontId="244" fillId="229" borderId="110" xfId="40" applyNumberFormat="1" applyFont="1" applyFill="1" applyBorder="1" applyAlignment="1">
      <alignment horizontal="right" vertical="center" wrapText="1"/>
    </xf>
    <xf numFmtId="0" fontId="244"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center" vertical="center" wrapText="1"/>
    </xf>
    <xf numFmtId="0" fontId="244" fillId="229" borderId="109" xfId="40" applyNumberFormat="1" applyFont="1" applyFill="1" applyBorder="1" applyAlignment="1">
      <alignment horizontal="center" vertical="center" wrapText="1"/>
    </xf>
    <xf numFmtId="0" fontId="244" fillId="229" borderId="110" xfId="40" applyNumberFormat="1" applyFont="1" applyFill="1" applyBorder="1" applyAlignment="1">
      <alignment horizontal="center" vertical="center" wrapText="1"/>
    </xf>
    <xf numFmtId="0" fontId="244" fillId="229" borderId="111" xfId="40" applyNumberFormat="1" applyFont="1" applyFill="1" applyBorder="1" applyAlignment="1">
      <alignment horizontal="center" vertical="center" wrapText="1"/>
    </xf>
    <xf numFmtId="0" fontId="242" fillId="123" borderId="115" xfId="40" applyNumberFormat="1" applyFont="1" applyFill="1" applyBorder="1" applyAlignment="1">
      <alignment vertical="top" wrapText="1"/>
    </xf>
    <xf numFmtId="0" fontId="242" fillId="126" borderId="110" xfId="40" applyNumberFormat="1" applyFont="1" applyFill="1" applyBorder="1" applyAlignment="1">
      <alignment horizontal="center" vertical="top"/>
    </xf>
    <xf numFmtId="0" fontId="242" fillId="126" borderId="110" xfId="40" applyNumberFormat="1" applyFont="1" applyFill="1" applyBorder="1" applyAlignment="1">
      <alignment horizontal="center" vertical="top" wrapText="1"/>
    </xf>
    <xf numFmtId="0" fontId="242" fillId="225" borderId="110" xfId="40" applyNumberFormat="1" applyFont="1" applyFill="1" applyBorder="1" applyAlignment="1">
      <alignment horizontal="center" vertical="top" wrapText="1"/>
    </xf>
    <xf numFmtId="0" fontId="241" fillId="225" borderId="110" xfId="40" applyNumberFormat="1" applyFont="1" applyFill="1" applyBorder="1" applyAlignment="1">
      <alignment horizontal="center" vertical="top" wrapText="1"/>
    </xf>
    <xf numFmtId="166" fontId="241" fillId="225" borderId="110" xfId="40" applyNumberFormat="1" applyFont="1" applyFill="1" applyBorder="1" applyAlignment="1">
      <alignment horizontal="center" vertical="top" wrapText="1"/>
    </xf>
    <xf numFmtId="0" fontId="240" fillId="109" borderId="106" xfId="40" applyNumberFormat="1" applyFont="1" applyFill="1" applyBorder="1"/>
    <xf numFmtId="0" fontId="240" fillId="109" borderId="106" xfId="40" applyNumberFormat="1" applyFont="1" applyFill="1" applyBorder="1" applyAlignment="1">
      <alignment vertical="center"/>
    </xf>
    <xf numFmtId="0" fontId="240" fillId="109" borderId="106" xfId="40" applyNumberFormat="1" applyFont="1" applyFill="1" applyBorder="1" applyAlignment="1">
      <alignment vertical="center" wrapText="1"/>
    </xf>
    <xf numFmtId="0" fontId="240" fillId="218" borderId="106" xfId="40" applyNumberFormat="1" applyFont="1" applyFill="1" applyBorder="1" applyAlignment="1">
      <alignment vertical="center" wrapText="1"/>
    </xf>
    <xf numFmtId="0" fontId="241" fillId="218" borderId="106" xfId="40" applyNumberFormat="1" applyFont="1" applyFill="1" applyBorder="1" applyAlignment="1">
      <alignment vertical="center" wrapText="1"/>
    </xf>
    <xf numFmtId="0" fontId="246" fillId="218" borderId="106" xfId="40" applyNumberFormat="1" applyFont="1" applyFill="1" applyBorder="1" applyAlignment="1">
      <alignment vertical="center" wrapText="1"/>
    </xf>
    <xf numFmtId="0" fontId="246" fillId="218" borderId="212" xfId="40" applyNumberFormat="1" applyFont="1" applyFill="1" applyBorder="1" applyAlignment="1">
      <alignment vertical="center" wrapText="1"/>
    </xf>
    <xf numFmtId="0" fontId="246" fillId="218" borderId="213" xfId="40" applyNumberFormat="1" applyFont="1" applyFill="1" applyBorder="1" applyAlignment="1">
      <alignment vertical="center" wrapText="1"/>
    </xf>
    <xf numFmtId="0" fontId="246" fillId="218" borderId="214" xfId="40" applyNumberFormat="1" applyFont="1" applyFill="1" applyBorder="1" applyAlignment="1">
      <alignment vertical="center" wrapText="1"/>
    </xf>
    <xf numFmtId="0" fontId="242" fillId="109" borderId="106" xfId="40" applyNumberFormat="1" applyFont="1" applyFill="1" applyBorder="1" applyAlignment="1">
      <alignment vertical="center" wrapText="1"/>
    </xf>
    <xf numFmtId="0" fontId="241" fillId="218" borderId="106" xfId="40" applyNumberFormat="1" applyFont="1" applyFill="1" applyBorder="1" applyAlignment="1">
      <alignment horizontal="center" vertical="center" wrapText="1"/>
    </xf>
    <xf numFmtId="0" fontId="246" fillId="218" borderId="106" xfId="40" applyNumberFormat="1" applyFont="1" applyFill="1" applyBorder="1" applyAlignment="1">
      <alignment horizontal="center" vertical="center" wrapText="1"/>
    </xf>
    <xf numFmtId="165" fontId="246" fillId="218" borderId="106" xfId="40" applyNumberFormat="1" applyFont="1" applyFill="1" applyBorder="1" applyAlignment="1">
      <alignment horizontal="center" vertical="center" wrapText="1"/>
    </xf>
    <xf numFmtId="0" fontId="240" fillId="222" borderId="106" xfId="40" applyNumberFormat="1" applyFont="1" applyFill="1" applyBorder="1" applyAlignment="1">
      <alignment vertical="center" wrapText="1"/>
    </xf>
    <xf numFmtId="0" fontId="241" fillId="222" borderId="106" xfId="40" applyNumberFormat="1" applyFont="1" applyFill="1" applyBorder="1" applyAlignment="1">
      <alignment vertical="center" wrapText="1"/>
    </xf>
    <xf numFmtId="0" fontId="241" fillId="222" borderId="106" xfId="40" applyNumberFormat="1" applyFont="1" applyFill="1" applyBorder="1" applyAlignment="1">
      <alignment horizontal="center" vertical="center" wrapText="1"/>
    </xf>
    <xf numFmtId="0" fontId="246" fillId="222" borderId="106" xfId="40" applyNumberFormat="1" applyFont="1" applyFill="1" applyBorder="1" applyAlignment="1">
      <alignment horizontal="center" vertical="center" wrapText="1"/>
    </xf>
    <xf numFmtId="0" fontId="240" fillId="220" borderId="106" xfId="40" applyNumberFormat="1" applyFont="1" applyFill="1" applyBorder="1" applyAlignment="1">
      <alignment vertical="center" wrapText="1"/>
    </xf>
    <xf numFmtId="0" fontId="241" fillId="220" borderId="106" xfId="40" applyNumberFormat="1" applyFont="1" applyFill="1" applyBorder="1" applyAlignment="1">
      <alignment vertical="center" wrapText="1"/>
    </xf>
    <xf numFmtId="0" fontId="241" fillId="220" borderId="106" xfId="40" applyNumberFormat="1" applyFont="1" applyFill="1" applyBorder="1" applyAlignment="1">
      <alignment horizontal="center" vertical="center" wrapText="1"/>
    </xf>
    <xf numFmtId="0" fontId="246" fillId="220" borderId="106" xfId="40" applyNumberFormat="1" applyFont="1" applyFill="1" applyBorder="1" applyAlignment="1">
      <alignment horizontal="center" vertical="center" wrapText="1"/>
    </xf>
    <xf numFmtId="165" fontId="246" fillId="220" borderId="106" xfId="40" applyNumberFormat="1" applyFont="1" applyFill="1" applyBorder="1" applyAlignment="1">
      <alignment horizontal="center" vertical="center" wrapText="1"/>
    </xf>
    <xf numFmtId="0" fontId="240" fillId="221" borderId="106" xfId="40" applyNumberFormat="1" applyFont="1" applyFill="1" applyBorder="1" applyAlignment="1">
      <alignment vertical="center" wrapText="1"/>
    </xf>
    <xf numFmtId="0" fontId="241" fillId="221" borderId="106" xfId="40" applyNumberFormat="1" applyFont="1" applyFill="1" applyBorder="1" applyAlignment="1">
      <alignment vertical="center" wrapText="1"/>
    </xf>
    <xf numFmtId="0" fontId="241" fillId="221" borderId="106" xfId="40" applyNumberFormat="1" applyFont="1" applyFill="1" applyBorder="1" applyAlignment="1">
      <alignment horizontal="center" vertical="center" wrapText="1"/>
    </xf>
    <xf numFmtId="0" fontId="246" fillId="221" borderId="106" xfId="40" applyNumberFormat="1" applyFont="1" applyFill="1" applyBorder="1" applyAlignment="1">
      <alignment horizontal="center" vertical="center" wrapText="1"/>
    </xf>
    <xf numFmtId="165" fontId="246" fillId="221" borderId="106" xfId="40" applyNumberFormat="1" applyFont="1" applyFill="1" applyBorder="1" applyAlignment="1">
      <alignment horizontal="center" vertical="center" wrapText="1"/>
    </xf>
    <xf numFmtId="0" fontId="247" fillId="109" borderId="106" xfId="40" applyNumberFormat="1" applyFont="1" applyFill="1" applyBorder="1" applyAlignment="1">
      <alignment vertical="center" wrapText="1"/>
    </xf>
    <xf numFmtId="0" fontId="241" fillId="218" borderId="212" xfId="40" applyNumberFormat="1" applyFont="1" applyFill="1" applyBorder="1" applyAlignment="1">
      <alignment vertical="center" wrapText="1"/>
    </xf>
    <xf numFmtId="0" fontId="241" fillId="218" borderId="213" xfId="40" applyNumberFormat="1" applyFont="1" applyFill="1" applyBorder="1" applyAlignment="1">
      <alignment vertical="center" wrapText="1"/>
    </xf>
    <xf numFmtId="0" fontId="241" fillId="218" borderId="214" xfId="40" applyNumberFormat="1" applyFont="1" applyFill="1" applyBorder="1" applyAlignment="1">
      <alignment vertical="center" wrapText="1"/>
    </xf>
    <xf numFmtId="0" fontId="240" fillId="218" borderId="106" xfId="40" applyNumberFormat="1" applyFont="1" applyFill="1" applyBorder="1" applyAlignment="1">
      <alignment vertical="center"/>
    </xf>
    <xf numFmtId="0" fontId="241" fillId="218" borderId="106" xfId="40" applyNumberFormat="1" applyFont="1" applyFill="1" applyBorder="1" applyAlignment="1">
      <alignment vertical="center"/>
    </xf>
    <xf numFmtId="0" fontId="241" fillId="218" borderId="215" xfId="40" applyNumberFormat="1" applyFont="1" applyFill="1" applyBorder="1" applyAlignment="1">
      <alignment vertical="center"/>
    </xf>
    <xf numFmtId="0" fontId="241" fillId="218" borderId="215" xfId="40" applyNumberFormat="1" applyFont="1" applyFill="1" applyBorder="1" applyAlignment="1">
      <alignment vertical="center" wrapText="1"/>
    </xf>
    <xf numFmtId="0" fontId="241" fillId="218" borderId="215" xfId="40" applyNumberFormat="1" applyFont="1" applyFill="1" applyBorder="1" applyAlignment="1">
      <alignment horizontal="center" vertical="center" wrapText="1"/>
    </xf>
    <xf numFmtId="0" fontId="241" fillId="220" borderId="215" xfId="40" applyNumberFormat="1" applyFont="1" applyFill="1" applyBorder="1" applyAlignment="1">
      <alignment horizontal="center" vertical="center" wrapText="1"/>
    </xf>
    <xf numFmtId="0" fontId="241" fillId="222" borderId="215" xfId="40" applyNumberFormat="1" applyFont="1" applyFill="1" applyBorder="1" applyAlignment="1">
      <alignment horizontal="center" vertical="center" wrapText="1"/>
    </xf>
    <xf numFmtId="0" fontId="241" fillId="221" borderId="215" xfId="40" applyNumberFormat="1" applyFont="1" applyFill="1" applyBorder="1" applyAlignment="1">
      <alignment horizontal="center" vertical="center" wrapText="1"/>
    </xf>
    <xf numFmtId="0" fontId="240" fillId="219" borderId="106" xfId="40" applyNumberFormat="1" applyFont="1" applyFill="1" applyBorder="1" applyAlignment="1">
      <alignment vertical="center"/>
    </xf>
    <xf numFmtId="0" fontId="237" fillId="219" borderId="106" xfId="40" applyNumberFormat="1" applyFont="1" applyFill="1" applyBorder="1" applyAlignment="1">
      <alignment vertical="center"/>
    </xf>
    <xf numFmtId="0" fontId="240" fillId="226" borderId="106" xfId="40" applyNumberFormat="1" applyFont="1" applyFill="1" applyBorder="1" applyAlignment="1">
      <alignment vertical="center"/>
    </xf>
    <xf numFmtId="0" fontId="241" fillId="226" borderId="106" xfId="40" applyNumberFormat="1" applyFont="1" applyFill="1" applyBorder="1" applyAlignment="1">
      <alignment vertical="center"/>
    </xf>
    <xf numFmtId="0" fontId="240" fillId="227" borderId="106" xfId="40" applyNumberFormat="1" applyFont="1" applyFill="1" applyBorder="1" applyAlignment="1">
      <alignment vertical="center"/>
    </xf>
    <xf numFmtId="0" fontId="241" fillId="227" borderId="106" xfId="40" applyNumberFormat="1" applyFont="1" applyFill="1" applyBorder="1" applyAlignment="1">
      <alignment vertical="center"/>
    </xf>
    <xf numFmtId="0" fontId="240" fillId="228" borderId="106" xfId="40" applyNumberFormat="1" applyFont="1" applyFill="1" applyBorder="1" applyAlignment="1">
      <alignment vertical="center"/>
    </xf>
    <xf numFmtId="0" fontId="241" fillId="228" borderId="106" xfId="40" applyNumberFormat="1" applyFont="1" applyFill="1" applyBorder="1" applyAlignment="1">
      <alignment vertical="center"/>
    </xf>
    <xf numFmtId="0" fontId="240" fillId="229" borderId="106" xfId="40" applyNumberFormat="1" applyFont="1" applyFill="1" applyBorder="1" applyAlignment="1">
      <alignment vertical="center"/>
    </xf>
    <xf numFmtId="0" fontId="237" fillId="229" borderId="106" xfId="40" applyNumberFormat="1" applyFont="1" applyFill="1" applyBorder="1" applyAlignment="1">
      <alignment vertical="center"/>
    </xf>
    <xf numFmtId="0" fontId="240" fillId="109" borderId="106" xfId="40" applyNumberFormat="1" applyFont="1" applyFill="1" applyBorder="1" applyAlignment="1">
      <alignment horizontal="center" vertical="center"/>
    </xf>
    <xf numFmtId="0" fontId="237" fillId="219" borderId="216" xfId="40" applyNumberFormat="1" applyFont="1" applyFill="1" applyBorder="1" applyAlignment="1">
      <alignment vertical="center"/>
    </xf>
    <xf numFmtId="0" fontId="240" fillId="109" borderId="216" xfId="40" applyNumberFormat="1" applyFont="1" applyFill="1" applyBorder="1" applyAlignment="1">
      <alignment horizontal="center" vertical="center"/>
    </xf>
    <xf numFmtId="0" fontId="241" fillId="226" borderId="216" xfId="40" applyNumberFormat="1" applyFont="1" applyFill="1" applyBorder="1" applyAlignment="1">
      <alignment vertical="center"/>
    </xf>
    <xf numFmtId="0" fontId="241" fillId="227" borderId="216" xfId="40" applyNumberFormat="1" applyFont="1" applyFill="1" applyBorder="1" applyAlignment="1">
      <alignment vertical="center"/>
    </xf>
    <xf numFmtId="0" fontId="241" fillId="228" borderId="216" xfId="40" applyNumberFormat="1" applyFont="1" applyFill="1" applyBorder="1" applyAlignment="1">
      <alignment vertical="center"/>
    </xf>
    <xf numFmtId="0" fontId="237" fillId="229" borderId="216" xfId="40" applyNumberFormat="1" applyFont="1" applyFill="1" applyBorder="1" applyAlignment="1">
      <alignment vertical="center"/>
    </xf>
    <xf numFmtId="0" fontId="240" fillId="109" borderId="216" xfId="40" applyNumberFormat="1" applyFont="1" applyFill="1" applyBorder="1" applyAlignment="1">
      <alignment vertical="center"/>
    </xf>
    <xf numFmtId="0" fontId="240" fillId="218" borderId="216" xfId="40" applyNumberFormat="1" applyFont="1" applyFill="1" applyBorder="1" applyAlignment="1">
      <alignment vertical="center"/>
    </xf>
    <xf numFmtId="0" fontId="240" fillId="218" borderId="216" xfId="40" applyNumberFormat="1" applyFont="1" applyFill="1" applyBorder="1" applyAlignment="1">
      <alignment horizontal="center" vertical="center"/>
    </xf>
    <xf numFmtId="0" fontId="241" fillId="218" borderId="216" xfId="40" applyNumberFormat="1" applyFont="1" applyFill="1" applyBorder="1" applyAlignment="1">
      <alignment vertical="center"/>
    </xf>
    <xf numFmtId="0" fontId="241" fillId="218" borderId="216" xfId="40" applyNumberFormat="1" applyFont="1" applyFill="1" applyBorder="1" applyAlignment="1">
      <alignment horizontal="center" vertical="center"/>
    </xf>
    <xf numFmtId="165" fontId="240" fillId="109" borderId="216" xfId="40" applyNumberFormat="1" applyFont="1" applyFill="1" applyBorder="1" applyAlignment="1">
      <alignment horizontal="center" vertical="center"/>
    </xf>
    <xf numFmtId="165" fontId="241" fillId="218" borderId="216" xfId="40" applyNumberFormat="1" applyFont="1" applyFill="1" applyBorder="1" applyAlignment="1">
      <alignment horizontal="center" vertical="center"/>
    </xf>
    <xf numFmtId="0" fontId="240" fillId="230" borderId="106" xfId="40" applyNumberFormat="1" applyFont="1" applyFill="1" applyBorder="1" applyAlignment="1">
      <alignment vertical="center"/>
    </xf>
    <xf numFmtId="0" fontId="240" fillId="231" borderId="106" xfId="40" applyNumberFormat="1" applyFont="1" applyFill="1" applyBorder="1" applyAlignment="1">
      <alignment vertical="center"/>
    </xf>
    <xf numFmtId="0" fontId="240" fillId="232" borderId="106" xfId="40" applyNumberFormat="1" applyFont="1" applyFill="1" applyBorder="1" applyAlignment="1">
      <alignment vertical="center"/>
    </xf>
    <xf numFmtId="0" fontId="240" fillId="233" borderId="106" xfId="40" applyNumberFormat="1" applyFont="1" applyFill="1" applyBorder="1" applyAlignment="1">
      <alignment vertical="center"/>
    </xf>
    <xf numFmtId="0" fontId="240" fillId="234" borderId="106" xfId="40" applyNumberFormat="1" applyFont="1" applyFill="1" applyBorder="1" applyAlignment="1">
      <alignment vertical="center"/>
    </xf>
    <xf numFmtId="0" fontId="240" fillId="235" borderId="106" xfId="40" applyNumberFormat="1" applyFont="1" applyFill="1" applyBorder="1" applyAlignment="1">
      <alignment vertical="center"/>
    </xf>
    <xf numFmtId="0" fontId="240" fillId="218" borderId="215" xfId="40" applyNumberFormat="1" applyFont="1" applyFill="1" applyBorder="1" applyAlignment="1">
      <alignment vertical="center" wrapText="1"/>
    </xf>
    <xf numFmtId="0" fontId="240" fillId="109" borderId="215" xfId="40" applyNumberFormat="1" applyFont="1" applyFill="1" applyBorder="1" applyAlignment="1">
      <alignment vertical="center"/>
    </xf>
    <xf numFmtId="0" fontId="240" fillId="230" borderId="215" xfId="40" applyNumberFormat="1" applyFont="1" applyFill="1" applyBorder="1" applyAlignment="1">
      <alignment vertical="center"/>
    </xf>
    <xf numFmtId="0" fontId="240" fillId="231" borderId="215" xfId="40" applyNumberFormat="1" applyFont="1" applyFill="1" applyBorder="1" applyAlignment="1">
      <alignment vertical="center"/>
    </xf>
    <xf numFmtId="0" fontId="240" fillId="232" borderId="215" xfId="40" applyNumberFormat="1" applyFont="1" applyFill="1" applyBorder="1" applyAlignment="1">
      <alignment vertical="center"/>
    </xf>
    <xf numFmtId="0" fontId="240" fillId="233" borderId="215" xfId="40" applyNumberFormat="1" applyFont="1" applyFill="1" applyBorder="1" applyAlignment="1">
      <alignment vertical="center"/>
    </xf>
    <xf numFmtId="0" fontId="240" fillId="234" borderId="215" xfId="40" applyNumberFormat="1" applyFont="1" applyFill="1" applyBorder="1" applyAlignment="1">
      <alignment vertical="center"/>
    </xf>
    <xf numFmtId="0" fontId="240" fillId="235" borderId="215" xfId="40" applyNumberFormat="1" applyFont="1" applyFill="1" applyBorder="1" applyAlignment="1">
      <alignment vertical="center"/>
    </xf>
    <xf numFmtId="0" fontId="240" fillId="230" borderId="215" xfId="40" applyNumberFormat="1" applyFont="1" applyFill="1" applyBorder="1" applyAlignment="1">
      <alignment horizontal="center" vertical="center"/>
    </xf>
    <xf numFmtId="0" fontId="240" fillId="231" borderId="215" xfId="40" applyNumberFormat="1" applyFont="1" applyFill="1" applyBorder="1" applyAlignment="1">
      <alignment horizontal="center" vertical="center"/>
    </xf>
    <xf numFmtId="0" fontId="240" fillId="232" borderId="215" xfId="40" applyNumberFormat="1" applyFont="1" applyFill="1" applyBorder="1" applyAlignment="1">
      <alignment horizontal="center" vertical="center"/>
    </xf>
    <xf numFmtId="0" fontId="240" fillId="233" borderId="215" xfId="40" applyNumberFormat="1" applyFont="1" applyFill="1" applyBorder="1" applyAlignment="1">
      <alignment horizontal="center" vertical="center"/>
    </xf>
    <xf numFmtId="0" fontId="240" fillId="109" borderId="215" xfId="40" applyNumberFormat="1" applyFont="1" applyFill="1" applyBorder="1" applyAlignment="1">
      <alignment horizontal="center" vertical="center"/>
    </xf>
    <xf numFmtId="0" fontId="240" fillId="234" borderId="215" xfId="40" applyNumberFormat="1" applyFont="1" applyFill="1" applyBorder="1" applyAlignment="1">
      <alignment horizontal="center" vertical="center"/>
    </xf>
    <xf numFmtId="0" fontId="240" fillId="235" borderId="215" xfId="40" applyNumberFormat="1" applyFont="1" applyFill="1" applyBorder="1" applyAlignment="1">
      <alignment horizontal="center" vertical="center"/>
    </xf>
    <xf numFmtId="0" fontId="241" fillId="218" borderId="215" xfId="40" applyNumberFormat="1" applyFont="1" applyFill="1" applyBorder="1" applyAlignment="1">
      <alignment horizontal="center" vertical="center"/>
    </xf>
    <xf numFmtId="0" fontId="240" fillId="236" borderId="106" xfId="40" applyNumberFormat="1" applyFont="1" applyFill="1" applyBorder="1" applyAlignment="1">
      <alignment vertical="center" wrapText="1"/>
    </xf>
    <xf numFmtId="0" fontId="242" fillId="236" borderId="106" xfId="40" applyNumberFormat="1" applyFont="1" applyFill="1" applyBorder="1" applyAlignment="1">
      <alignment vertical="center" wrapText="1"/>
    </xf>
    <xf numFmtId="0" fontId="241" fillId="218" borderId="217" xfId="40" applyNumberFormat="1" applyFont="1" applyFill="1" applyBorder="1" applyAlignment="1">
      <alignment vertical="center" wrapText="1"/>
    </xf>
    <xf numFmtId="0" fontId="241" fillId="218" borderId="218" xfId="40" applyNumberFormat="1" applyFont="1" applyFill="1" applyBorder="1" applyAlignment="1">
      <alignment vertical="center" wrapText="1"/>
    </xf>
    <xf numFmtId="0" fontId="240" fillId="218" borderId="219" xfId="40" applyNumberFormat="1" applyFont="1" applyFill="1" applyBorder="1" applyAlignment="1">
      <alignment vertical="center"/>
    </xf>
    <xf numFmtId="0" fontId="242" fillId="236" borderId="220" xfId="40" applyNumberFormat="1" applyFont="1" applyFill="1" applyBorder="1" applyAlignment="1">
      <alignment vertical="center" wrapText="1"/>
    </xf>
    <xf numFmtId="0" fontId="240" fillId="109" borderId="221" xfId="40" applyNumberFormat="1" applyFont="1" applyFill="1" applyBorder="1" applyAlignment="1">
      <alignment vertical="center"/>
    </xf>
    <xf numFmtId="0" fontId="242" fillId="109" borderId="220" xfId="40" applyNumberFormat="1" applyFont="1" applyFill="1" applyBorder="1" applyAlignment="1">
      <alignment vertical="center" wrapText="1"/>
    </xf>
    <xf numFmtId="0" fontId="242" fillId="236" borderId="222" xfId="40" applyNumberFormat="1" applyFont="1" applyFill="1" applyBorder="1" applyAlignment="1">
      <alignment vertical="center" wrapText="1"/>
    </xf>
    <xf numFmtId="0" fontId="242" fillId="236" borderId="223" xfId="40" applyNumberFormat="1" applyFont="1" applyFill="1" applyBorder="1" applyAlignment="1">
      <alignment vertical="center" wrapText="1"/>
    </xf>
    <xf numFmtId="0" fontId="240" fillId="109" borderId="224" xfId="40" applyNumberFormat="1" applyFont="1" applyFill="1" applyBorder="1" applyAlignment="1">
      <alignment vertical="center"/>
    </xf>
    <xf numFmtId="0" fontId="240" fillId="109" borderId="221" xfId="40" applyNumberFormat="1" applyFont="1" applyFill="1" applyBorder="1" applyAlignment="1">
      <alignment horizontal="center" vertical="center"/>
    </xf>
    <xf numFmtId="0" fontId="240" fillId="109" borderId="224" xfId="40" applyNumberFormat="1" applyFont="1" applyFill="1" applyBorder="1" applyAlignment="1">
      <alignment horizontal="center" vertical="center"/>
    </xf>
    <xf numFmtId="0" fontId="248" fillId="109" borderId="106" xfId="40" applyNumberFormat="1" applyFont="1" applyFill="1" applyBorder="1" applyAlignment="1">
      <alignment vertical="center"/>
    </xf>
    <xf numFmtId="0" fontId="242" fillId="223" borderId="106" xfId="40" applyNumberFormat="1" applyFont="1" applyFill="1" applyBorder="1" applyAlignment="1">
      <alignment vertical="center" wrapText="1"/>
    </xf>
    <xf numFmtId="0" fontId="240" fillId="223" borderId="106" xfId="40" applyNumberFormat="1" applyFont="1" applyFill="1" applyBorder="1" applyAlignment="1">
      <alignment vertical="center"/>
    </xf>
    <xf numFmtId="0" fontId="240" fillId="223" borderId="106" xfId="40" applyNumberFormat="1" applyFont="1" applyFill="1" applyBorder="1" applyAlignment="1">
      <alignment horizontal="center" vertical="center"/>
    </xf>
    <xf numFmtId="0" fontId="241" fillId="222" borderId="212" xfId="40" applyNumberFormat="1" applyFont="1" applyFill="1" applyBorder="1" applyAlignment="1">
      <alignment vertical="center" wrapText="1"/>
    </xf>
    <xf numFmtId="0" fontId="241" fillId="222" borderId="213" xfId="40" applyNumberFormat="1" applyFont="1" applyFill="1" applyBorder="1" applyAlignment="1">
      <alignment vertical="center" wrapText="1"/>
    </xf>
    <xf numFmtId="0" fontId="241" fillId="222" borderId="214" xfId="40" applyNumberFormat="1" applyFont="1" applyFill="1" applyBorder="1" applyAlignment="1">
      <alignment vertical="center" wrapText="1"/>
    </xf>
    <xf numFmtId="0" fontId="242" fillId="218" borderId="106" xfId="40" applyNumberFormat="1" applyFont="1" applyFill="1" applyBorder="1" applyAlignment="1">
      <alignment vertical="center" wrapText="1"/>
    </xf>
    <xf numFmtId="0" fontId="240" fillId="109" borderId="106" xfId="40" applyNumberFormat="1" applyFont="1" applyFill="1" applyBorder="1" applyAlignment="1">
      <alignment vertical="top" wrapText="1"/>
    </xf>
    <xf numFmtId="0" fontId="242" fillId="109" borderId="106" xfId="40" applyNumberFormat="1" applyFont="1" applyFill="1" applyBorder="1" applyAlignment="1">
      <alignment vertical="top" wrapText="1"/>
    </xf>
    <xf numFmtId="0" fontId="240" fillId="109" borderId="225" xfId="40" applyNumberFormat="1" applyFont="1" applyFill="1" applyBorder="1" applyAlignment="1">
      <alignment vertical="top" wrapText="1"/>
    </xf>
    <xf numFmtId="0" fontId="242" fillId="109" borderId="226" xfId="40" applyNumberFormat="1" applyFont="1" applyFill="1" applyBorder="1" applyAlignment="1">
      <alignment vertical="top" wrapText="1"/>
    </xf>
    <xf numFmtId="0" fontId="240" fillId="109" borderId="226" xfId="40" applyNumberFormat="1" applyFont="1" applyFill="1" applyBorder="1" applyAlignment="1">
      <alignment vertical="top" wrapText="1"/>
    </xf>
    <xf numFmtId="0" fontId="242" fillId="109" borderId="227" xfId="40" applyNumberFormat="1" applyFont="1" applyFill="1" applyBorder="1" applyAlignment="1">
      <alignment vertical="top" wrapText="1"/>
    </xf>
    <xf numFmtId="0" fontId="240" fillId="223" borderId="225" xfId="40" applyNumberFormat="1" applyFont="1" applyFill="1" applyBorder="1" applyAlignment="1">
      <alignment vertical="top" wrapText="1"/>
    </xf>
    <xf numFmtId="0" fontId="242" fillId="223" borderId="226" xfId="40" applyNumberFormat="1" applyFont="1" applyFill="1" applyBorder="1" applyAlignment="1">
      <alignment vertical="top" wrapText="1"/>
    </xf>
    <xf numFmtId="0" fontId="240" fillId="223" borderId="226" xfId="40" applyNumberFormat="1" applyFont="1" applyFill="1" applyBorder="1" applyAlignment="1">
      <alignment vertical="top" wrapText="1"/>
    </xf>
    <xf numFmtId="0" fontId="242" fillId="223" borderId="227" xfId="40" applyNumberFormat="1" applyFont="1" applyFill="1" applyBorder="1" applyAlignment="1">
      <alignment vertical="top" wrapText="1"/>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1665">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4659260841701"/>
        </patternFill>
      </fill>
    </dxf>
    <dxf>
      <fill>
        <patternFill>
          <bgColor rgb="FF7030A0"/>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patternType="solid">
          <bgColor rgb="FFFBE7D3"/>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bgColor rgb="FFFBE7D3"/>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font>
      <fill>
        <patternFill patternType="solid">
          <bgColor rgb="FFE6B9B8"/>
        </patternFill>
      </fill>
    </dxf>
    <dxf>
      <font>
        <b/>
      </font>
      <fill>
        <patternFill patternType="solid">
          <bgColor rgb="FFE6B9B8"/>
        </patternFill>
      </fill>
    </dxf>
    <dxf>
      <font>
        <b/>
        <color rgb="FF000000"/>
      </font>
      <fill>
        <patternFill patternType="solid">
          <bgColor rgb="FFFF0000"/>
        </patternFill>
      </fill>
    </dxf>
    <dxf>
      <font>
        <b/>
      </font>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CiblesMetier" Type="http://schemas.openxmlformats.org/officeDocument/2006/relationships/worksheet" Target="/xl/worksheets/sheet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ONR : Ensemble des 32 cibles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1 : Sobriété</a:t>
            </a:r>
          </a:p>
        </c:rich>
      </c:tx>
      <c:overlay val="0"/>
      <c:spPr>
        <a:noFill/>
        <a:ln>
          <a:noFill/>
        </a:ln>
      </c:spPr>
    </c:title>
    <c:autoTitleDeleted val="0"/>
    <c:plotArea>
      <c:layout/>
      <c:pieChart>
        <c:varyColors val="1"/>
        <c:ser>
          <c:idx val="0"/>
          <c:order val="0"/>
          <c:tx>
            <c:strRef>
              <c:f>'Résultats synthèse'!$B$4</c:f>
              <c:strCache>
                <c:ptCount val="1"/>
                <c:pt idx="0">
                  <c:v>ONR 1 : Sobriété</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synthèse'!$G$4:$M$4</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2 : Inclusion</a:t>
            </a:r>
          </a:p>
        </c:rich>
      </c:tx>
      <c:overlay val="0"/>
      <c:spPr>
        <a:noFill/>
        <a:ln>
          <a:noFill/>
        </a:ln>
      </c:spPr>
    </c:title>
    <c:autoTitleDeleted val="0"/>
    <c:plotArea>
      <c:layout/>
      <c:pieChart>
        <c:varyColors val="1"/>
        <c:ser>
          <c:idx val="0"/>
          <c:order val="0"/>
          <c:tx>
            <c:strRef>
              <c:f>'Résultats synthèse'!$B$5</c:f>
              <c:strCache>
                <c:ptCount val="1"/>
                <c:pt idx="0">
                  <c:v>ONR 2 : Inclusion</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synthèse'!$G$5:$M$5</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3 : RSE</a:t>
            </a:r>
          </a:p>
        </c:rich>
      </c:tx>
      <c:overlay val="0"/>
      <c:spPr>
        <a:noFill/>
        <a:ln>
          <a:noFill/>
        </a:ln>
      </c:spPr>
    </c:title>
    <c:autoTitleDeleted val="0"/>
    <c:plotArea>
      <c:layout/>
      <c:pieChart>
        <c:varyColors val="1"/>
        <c:ser>
          <c:idx val="0"/>
          <c:order val="0"/>
          <c:tx>
            <c:strRef>
              <c:f>'Résultats synthèse'!$B$6</c:f>
              <c:strCache>
                <c:ptCount val="1"/>
                <c:pt idx="0">
                  <c:v>ONR 3 : RSE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synthèse'!$G$6:$M$6</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4 : Résilience et stratégie</a:t>
            </a:r>
          </a:p>
        </c:rich>
      </c:tx>
      <c:overlay val="0"/>
      <c:spPr>
        <a:noFill/>
        <a:ln>
          <a:noFill/>
        </a:ln>
      </c:spPr>
    </c:title>
    <c:autoTitleDeleted val="0"/>
    <c:plotArea>
      <c:layout/>
      <c:pieChart>
        <c:varyColors val="1"/>
        <c:ser>
          <c:idx val="0"/>
          <c:order val="0"/>
          <c:tx>
            <c:strRef>
              <c:f>'Résultats synthèse'!$B$7</c:f>
              <c:strCache>
                <c:ptCount val="1"/>
                <c:pt idx="0">
                  <c:v>ONR 4 : Résilience et stratégie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synthèse'!$G$7:$M$7</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5 : Management</a:t>
            </a:r>
          </a:p>
        </c:rich>
      </c:tx>
      <c:overlay val="0"/>
      <c:spPr>
        <a:noFill/>
        <a:ln>
          <a:noFill/>
        </a:ln>
      </c:spPr>
    </c:title>
    <c:autoTitleDeleted val="0"/>
    <c:plotArea>
      <c:layout/>
      <c:pieChart>
        <c:varyColors val="1"/>
        <c:ser>
          <c:idx val="0"/>
          <c:order val="0"/>
          <c:tx>
            <c:strRef>
              <c:f>'Résultats synthèse'!$B$8</c:f>
              <c:strCache>
                <c:ptCount val="1"/>
                <c:pt idx="0">
                  <c:v>ONR 5 : Management</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synthèse'!$G$8:$M$8</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officialLogoINR20261007" Type="http://schemas.openxmlformats.org/officeDocument/2006/relationships/image" Target="/xl/media/inr20261007_image.png"/><Relationship Id="bandeauCoedition" Type="http://schemas.openxmlformats.org/officeDocument/2006/relationships/image" Target="/xl/media/bandeau-coedition.png"/></Relationships>
</file>

<file path=xl/drawings/_rels/drawing2.xml.rels><?xml version='1.0' encoding='UTF-8' standalone='yes'?>
<Relationships xmlns="http://schemas.openxmlformats.org/package/2006/relationships"><Relationship Id="officialLogoINR20261007" Type="http://schemas.openxmlformats.org/officeDocument/2006/relationships/image" Target="/xl/media/inr20261007_image.png"/><Relationship Id="bandeauCoedition" Type="http://schemas.openxmlformats.org/officeDocument/2006/relationships/image" Target="/xl/media/bandeau-coedition.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inr20261007_drawing1.xml.rels><?xml version="1.0" encoding="UTF-8" standalone="yes"?><Relationships xmlns="http://schemas.openxmlformats.org/package/2006/relationships"><Relationship Id="Rd0f8b23f0a7a4abc" Type="http://schemas.openxmlformats.org/officeDocument/2006/relationships/image" Target="/xl/media/inr20261007_image.png"/><Relationship Id="bandeauCoedition" Type="http://schemas.openxmlformats.org/officeDocument/2006/relationships/image" Target="/xl/media/bandeau-coedition.png"/></Relationships>
</file>

<file path=xl/drawings/_rels/inr20261007_drawing3.xml.rels><?xml version='1.0' encoding='UTF-8' standalone='yes'?>
<Relationships xmlns="http://schemas.openxmlformats.org/package/2006/relationships"><Relationship Type="http://schemas.openxmlformats.org/officeDocument/2006/relationships/image" Target="/xl/media/inr20261007_image.png" Id="R1641b25ecc3940ba"/><Relationship Id="bandeauCoedition" Type="http://schemas.openxmlformats.org/officeDocument/2006/relationships/image" Target="/xl/media/bandeau-coedition.png"/></Relationships>
</file>

<file path=xl/drawings/_rels/inr20261007_drawing4.xml.rels><?xml version='1.0' encoding='UTF-8' standalone='yes'?>
<Relationships xmlns="http://schemas.openxmlformats.org/package/2006/relationships"><Relationship Type="http://schemas.openxmlformats.org/officeDocument/2006/relationships/image" Target="/xl/media/inr20261007_image.png" Id="R34c26571c7014388"/><Relationship Id="bandeauCoedition" Type="http://schemas.openxmlformats.org/officeDocument/2006/relationships/image" Target="/xl/media/bandeau-coedition.png"/></Relationships>
</file>

<file path=xl/drawings/_rels/inr20261007_drawing5.xml.rels><?xml version='1.0' encoding='UTF-8' standalone='yes'?>
<Relationships xmlns="http://schemas.openxmlformats.org/package/2006/relationships"><Relationship Type="http://schemas.openxmlformats.org/officeDocument/2006/relationships/image" Target="/xl/media/inr20261007_image.png" Id="Rd0f8b23f0a7a4abc"/><Relationship Id="bandeauCoedition" Type="http://schemas.openxmlformats.org/officeDocument/2006/relationships/image" Target="/xl/media/bandeau-coedition.png"/></Relationships>
</file>

<file path=xl/drawings/_rels/inr20261007_drawing6.xml.rels><?xml version='1.0' encoding='UTF-8' standalone='yes'?>
<Relationships xmlns="http://schemas.openxmlformats.org/package/2006/relationships"><Relationship Type="http://schemas.openxmlformats.org/officeDocument/2006/relationships/image" Target="/xl/media/inr20261007_image.png" Id="Rf6467eda94464bb5"/><Relationship Id="bandeauCoedition" Type="http://schemas.openxmlformats.org/officeDocument/2006/relationships/image" Target="/xl/media/bandeau-coedition.png"/></Relationships>
</file>

<file path=xl/drawings/_rels/inr20261007_drawing7.xml.rels><?xml version='1.0' encoding='UTF-8' standalone='yes'?>
<Relationships xmlns="http://schemas.openxmlformats.org/package/2006/relationships"><Relationship Type="http://schemas.openxmlformats.org/officeDocument/2006/relationships/image" Target="/xl/media/inr20261007_image.png" Id="R5e03a6a319674c4e"/><Relationship Id="bandeauCoedition" Type="http://schemas.openxmlformats.org/officeDocument/2006/relationships/image" Target="/xl/media/bandeau-coedition.png"/></Relationships>
</file>

<file path=xl/drawings/_rels/inr20261007_drawing8.xml.rels><?xml version='1.0' encoding='UTF-8' standalone='yes'?>
<Relationships xmlns="http://schemas.openxmlformats.org/package/2006/relationships"><Relationship Type="http://schemas.openxmlformats.org/officeDocument/2006/relationships/image" Target="/xl/media/inr20261007_image.png" Id="R009525bc9d6e404c"/><Relationship Id="bandeauCoedition" Type="http://schemas.openxmlformats.org/officeDocument/2006/relationships/image" Target="/xl/media/bandeau-coedition.png"/></Relationships>
</file>

<file path=xl/drawings/_rels/inr20261007_drawing9.xml.rels><?xml version='1.0' encoding='UTF-8' standalone='yes'?>
<Relationships xmlns="http://schemas.openxmlformats.org/package/2006/relationships"><Relationship Type="http://schemas.openxmlformats.org/officeDocument/2006/relationships/image" Target="/xl/media/inr20261007_image.png" Id="R8c85558606f24767"/><Relationship Id="bandeauCoedition" Type="http://schemas.openxmlformats.org/officeDocument/2006/relationships/image" Target="/xl/media/bandeau-coedition.png"/></Relationships>
</file>

<file path=xl/drawings/_rels/inr20261007_drawing10.xml.rels><?xml version='1.0' encoding='UTF-8' standalone='yes'?>
<Relationships xmlns="http://schemas.openxmlformats.org/package/2006/relationships"><Relationship Type="http://schemas.openxmlformats.org/officeDocument/2006/relationships/image" Target="/xl/media/inr20261007_image.png" Id="R4133cfea2974438b"/><Relationship Type="http://schemas.openxmlformats.org/officeDocument/2006/relationships/chart" Target="/xl/drawings/charts/inr20261007_chart1.xml" Id="R1e9ea38c3cdb4831"/><Relationship Type="http://schemas.openxmlformats.org/officeDocument/2006/relationships/chart" Target="/xl/drawings/charts/inr20261007_chart2.xml" Id="Rf6fef42f66cd425f"/><Relationship Id="bandeauCoedition" Type="http://schemas.openxmlformats.org/officeDocument/2006/relationships/image" Target="/xl/media/bandeau-coedition.png"/></Relationships>
</file>

<file path=xl/drawings/_rels/inr20261007_drawing11.xml.rels><?xml version='1.0' encoding='UTF-8' standalone='yes'?>
<Relationships xmlns="http://schemas.openxmlformats.org/package/2006/relationships"><Relationship Type="http://schemas.openxmlformats.org/officeDocument/2006/relationships/image" Target="/xl/media/inr20261007_image.png" Id="R88a94acdc061494d"/><Relationship Id="bandeauCoedition" Type="http://schemas.openxmlformats.org/officeDocument/2006/relationships/image" Target="/xl/media/bandeau-coedition.png"/></Relationships>
</file>

<file path=xl/drawings/_rels/summary20261007_drawing3.xml.rels><?xml version='1.0' encoding='UTF-8' standalone='yes'?>
<Relationships xmlns="http://schemas.openxmlformats.org/package/2006/relationships"><Relationship Type="http://schemas.openxmlformats.org/officeDocument/2006/relationships/chart" Target="/xl/drawings/charts/summary20261007_chart1.xml" Id="R38dbbba435e943c3"/></Relationships>
</file>

<file path=xl/drawings/charts/inr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Part des cibles évaluées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Part évaluée</c:v>
          </c:tx>
          <c:spPr>
            <a:solidFill xmlns:a="http://schemas.openxmlformats.org/drawingml/2006/main">
              <a:srgbClr val="4BACC6"/>
            </a:solidFill>
          </c:spPr>
          <c:cat>
            <c:strRef>
              <c:f>'Résultats synthèse'!$B$11:$B$15</c:f>
              <c:strCache>
                <c:ptCount val="0"/>
              </c:strCache>
            </c:strRef>
          </c:cat>
          <c:val>
            <c:numRef>
              <c:f>'Résultats synthèse'!$F$11:$F$15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inr20261007_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Cibles urgentes et prioritaires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Urgentes</c:v>
          </c:tx>
          <c:spPr>
            <a:solidFill xmlns:a="http://schemas.openxmlformats.org/drawingml/2006/main">
              <a:srgbClr val="FF0000"/>
            </a:solidFill>
          </c:spPr>
          <c:cat>
            <c:strRef>
              <c:f>'Résultats synthèse'!$B$11:$B$15</c:f>
              <c:strCache>
                <c:ptCount val="0"/>
              </c:strCache>
            </c:strRef>
          </c:cat>
          <c:val>
            <c:numRef>
              <c:f>'Résultats synthèse'!$H$11:$H$15</c:f>
              <c:numCache>
                <c:formatCode>0</c:formatCode>
                <c:ptCount val="0"/>
              </c:numCache>
            </c:numRef>
          </c:val>
        </c:ser>
        <c:ser>
          <c:idx val="1"/>
          <c:order val="1"/>
          <c:tx>
            <c:v>Prioritaires</c:v>
          </c:tx>
          <c:spPr>
            <a:solidFill xmlns:a="http://schemas.openxmlformats.org/drawingml/2006/main">
              <a:srgbClr val="FFC000"/>
            </a:solidFill>
          </c:spPr>
          <c:cat>
            <c:strRef>
              <c:f>'Résultats synthèse'!$B$11:$B$15</c:f>
              <c:strCache>
                <c:ptCount val="0"/>
              </c:strCache>
            </c:strRef>
          </c:cat>
          <c:val>
            <c:numRef>
              <c:f>'Résultats synthèse'!$I$11:$I$15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majorUnit val="1"/>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summary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Répartition des 32 cibles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Cibles</c:v>
          </c:tx>
          <c:spPr>
            <a:solidFill xmlns:a="http://schemas.openxmlformats.org/drawingml/2006/main">
              <a:srgbClr val="5B8C76"/>
            </a:solidFill>
          </c:spPr>
          <c:cat>
            <c:strRef>
              <c:f>'Résultats synthèse'!$B$28:$B$35</c:f>
              <c:strCache>
                <c:ptCount val="0"/>
              </c:strCache>
            </c:strRef>
          </c:cat>
          <c:val>
            <c:numRef>
              <c:f>'Résultats synthèse'!$C$28:$C$35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mlns:a="http://schemas.openxmlformats.org/drawingml/2006/main">
  <xdr:twoCellAnchor>
    <xdr:from>
      <xdr:col>0</xdr:col>
      <xdr:colOff>19050</xdr:colOff>
      <xdr:row>4</xdr:row>
      <xdr:rowOff>0</xdr:rowOff>
    </xdr:from>
    <xdr:to>
      <xdr:col>12</xdr:col>
      <xdr:colOff>390525</xdr:colOff>
      <xdr:row>65</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VERSION ENSEIGNEMENT SUPÉRIEUR ET RECHERCHE</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a:t>
          </a:r>
          <a:r>
            <a:rPr lang="fr-CA" sz="1100" baseline="0">
              <a:solidFill>
                <a:schemeClr val="dk1"/>
              </a:solidFill>
              <a:effectLst/>
              <a:latin typeface="+mn-lt"/>
              <a:ea typeface="+mn-ea"/>
              <a:cs typeface="+mn-cs"/>
            </a:rPr>
            <a:t> à</a:t>
          </a:r>
          <a:r>
            <a:rPr lang="fr-CA" sz="1100">
              <a:solidFill>
                <a:schemeClr val="dk1"/>
              </a:solidFill>
              <a:effectLst/>
              <a:latin typeface="+mn-lt"/>
              <a:ea typeface="+mn-ea"/>
              <a:cs typeface="+mn-cs"/>
            </a:rPr>
            <a:t> La Rochelle Université et à LaNum Pays Basque.</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spéficiquement pour encadrer des projets NR pour tout type d'organisation </a:t>
          </a:r>
          <a:endParaRPr lang="fr-FR">
            <a:effectLst/>
          </a:endParaRPr>
        </a:p>
        <a:p>
          <a:r>
            <a:rPr lang="fr-CA" sz="1100">
              <a:solidFill>
                <a:schemeClr val="dk1"/>
              </a:solidFill>
              <a:effectLst/>
              <a:latin typeface="+mn-lt"/>
              <a:ea typeface="+mn-ea"/>
              <a:cs typeface="+mn-cs"/>
            </a:rPr>
            <a:t>Version « Enseignement supérieur et recherche » : LaNum Pays Basque l'a conçue pour les publics qu'elle accompagne dans le projet européen NÉONUM, à partir de la GPC-ONR ; l'INR la co-édite. Les feuilles de résultats ne reprennent pas les cibles de la feuille « Cibles métier ».</a:t>
          </a: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4254500" cy="638175"/>
    <xdr:pic>
      <xdr:nvPicPr>
        <xdr:cNvPr id="3" name="Logos INR, LaNum Pays Basque et NÉONUM"/>
        <xdr:cNvPicPr>
          <a:picLocks noChangeAspect="1"/>
        </xdr:cNvPicPr>
      </xdr:nvPicPr>
      <xdr:blipFill>
        <a:blip xmlns:r="http://schemas.openxmlformats.org/officeDocument/2006/relationships" r:embed="bandeauCoedition"/>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28574</xdr:colOff>
      <xdr:row>4</xdr:row>
      <xdr:rowOff>28572</xdr:rowOff>
    </xdr:from>
    <xdr:to>
      <xdr:col>11</xdr:col>
      <xdr:colOff>761999</xdr:colOff>
      <xdr:row>163</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Identifier les compétences internes et externes à mobiliser pour agir sur chaque cible.</a:t>
          </a:r>
          <a:r>
            <a:rPr lang="fr-CA" sz="1200" b="0" i="0" baseline="0">
              <a:solidFill>
                <a:schemeClr val="dk1"/>
              </a:solidFill>
              <a:effectLst/>
              <a:latin typeface="+mn-lt"/>
              <a:ea typeface="+mn-ea"/>
              <a:cs typeface="+mn-cs"/>
            </a:rPr>
            <a:t/>
          </a:r>
          <a:r>
            <a:rPr lang="fr-CA" sz="1200" b="0" i="0">
              <a:solidFill>
                <a:schemeClr val="dk1"/>
              </a:solidFill>
              <a:effectLst/>
              <a:latin typeface="+mn-lt"/>
              <a:ea typeface="+mn-ea"/>
              <a:cs typeface="+mn-cs"/>
            </a:rPr>
            <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Réaliser cette analyse avec les équipes concernées, en tenant compte des ressources et des partenaires disponibles. Ce choix ne modifie pas le niveau de priorité.</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valeurs de 1 à 4 identifient les compétences à mobiliser.</a:t>
          </a:r>
          <a:r>
            <a:rPr lang="fr-CA" sz="1200" b="0" i="0">
              <a:solidFill>
                <a:sysClr val="windowText" lastClr="000000"/>
              </a:solidFill>
              <a:effectLst/>
              <a:latin typeface="+mn-lt"/>
              <a:ea typeface="+mn-ea"/>
              <a:cs typeface="+mn-cs"/>
            </a:rPr>
            <a:t/>
          </a:r>
        </a:p>
        <a:p>
          <a:r>
            <a:rPr lang="fr-CA" sz="1200" b="0" i="0">
              <a:solidFill>
                <a:sysClr val="windowText" lastClr="000000"/>
              </a:solidFill>
              <a:effectLst/>
              <a:latin typeface="+mn-lt"/>
              <a:ea typeface="+mn-ea"/>
              <a:cs typeface="+mn-cs"/>
            </a:rPr>
            <a:t>1 - Équipe NR / RSE</a:t>
          </a:r>
        </a:p>
        <a:p>
          <a:r>
            <a:rPr lang="fr-CA" sz="1200" b="0" i="0">
              <a:solidFill>
                <a:sysClr val="windowText" lastClr="000000"/>
              </a:solidFill>
              <a:effectLst/>
              <a:latin typeface="+mn-lt"/>
              <a:ea typeface="+mn-ea"/>
              <a:cs typeface="+mn-cs"/>
            </a:rPr>
            <a:t>2 - NR / RSE et DSI</a:t>
          </a:r>
        </a:p>
        <a:p>
          <a:r>
            <a:rPr lang="fr-CA" sz="1200" b="0" i="0">
              <a:solidFill>
                <a:sysClr val="windowText" lastClr="000000"/>
              </a:solidFill>
              <a:effectLst/>
              <a:latin typeface="+mn-lt"/>
              <a:ea typeface="+mn-ea"/>
              <a:cs typeface="+mn-cs"/>
            </a:rPr>
            <a:t>3 - NR / RSE et équipe hors DSI ; 4 - Intervention extérieure</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4254500" cy="638175"/>
    <xdr:pic>
      <xdr:nvPicPr>
        <xdr:cNvPr id="3" name="Logos INR, LaNum Pays Basque et NÉONUM"/>
        <xdr:cNvPicPr>
          <a:picLocks noChangeAspect="1"/>
        </xdr:cNvPicPr>
      </xdr:nvPicPr>
      <xdr:blipFill>
        <a:blip xmlns:r="http://schemas.openxmlformats.org/officeDocument/2006/relationships" r:embed="bandeauCoedition"/>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76199</xdr:colOff>
      <xdr:row>9</xdr:row>
      <xdr:rowOff>10885</xdr:rowOff>
    </xdr:from>
    <xdr:to>
      <xdr:col>23</xdr:col>
      <xdr:colOff>228599</xdr:colOff>
      <xdr:row>17</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76199</xdr:colOff>
      <xdr:row>18</xdr:row>
      <xdr:rowOff>10885</xdr:rowOff>
    </xdr:from>
    <xdr:to>
      <xdr:col>23</xdr:col>
      <xdr:colOff>228599</xdr:colOff>
      <xdr:row>26</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76199</xdr:colOff>
      <xdr:row>27</xdr:row>
      <xdr:rowOff>10885</xdr:rowOff>
    </xdr:from>
    <xdr:to>
      <xdr:col>23</xdr:col>
      <xdr:colOff>228599</xdr:colOff>
      <xdr:row>35</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76199</xdr:colOff>
      <xdr:row>36</xdr:row>
      <xdr:rowOff>10885</xdr:rowOff>
    </xdr:from>
    <xdr:to>
      <xdr:col>23</xdr:col>
      <xdr:colOff>228599</xdr:colOff>
      <xdr:row>44</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76199</xdr:colOff>
      <xdr:row>45</xdr:row>
      <xdr:rowOff>10885</xdr:rowOff>
    </xdr:from>
    <xdr:to>
      <xdr:col>23</xdr:col>
      <xdr:colOff>228599</xdr:colOff>
      <xdr:row>53</xdr:row>
      <xdr:rowOff>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inr20261007_drawing1.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3.xml><?xml version="1.0" encoding="utf-8"?>
<xdr:wsDr xmlns:xdr="http://schemas.openxmlformats.org/drawingml/2006/spreadsheetDrawing">
  <xdr:oneCellAnchor>
    <xdr:from>
      <xdr:col>2</xdr:col>
      <xdr:colOff>7156450</xdr:colOff>
      <xdr:row>1</xdr:row>
      <xdr:rowOff>47625</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4.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5.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6.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7.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8.xml><?xml version="1.0" encoding="utf-8"?>
<xdr:wsDr xmlns:xdr="http://schemas.openxmlformats.org/drawingml/2006/spreadsheetDrawing">
  <xdr:oneCellAnchor>
    <xdr:from>
      <xdr:col>15</xdr:col>
      <xdr:colOff>374650</xdr:colOff>
      <xdr:row>1</xdr:row>
      <xdr:rowOff>38100</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9.xml><?xml version="1.0" encoding="utf-8"?>
<xdr:wsDr xmlns:xdr="http://schemas.openxmlformats.org/drawingml/2006/spreadsheetDrawing">
  <xdr:oneCellAnchor>
    <xdr:from>
      <xdr:col>36</xdr:col>
      <xdr:colOff>212725</xdr:colOff>
      <xdr:row>1</xdr:row>
      <xdr:rowOff>47625</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10.xml><?xml version="1.0" encoding="utf-8"?>
<xdr:wsDr xmlns:xdr="http://schemas.openxmlformats.org/drawingml/2006/spreadsheetDrawing">
  <xdr:twoCellAnchor>
    <xdr:from>
      <xdr:col>1</xdr:col>
      <xdr:colOff>0</xdr:colOff>
      <xdr:row>21</xdr:row>
      <xdr:rowOff>0</xdr:rowOff>
    </xdr:from>
    <xdr:to>
      <xdr:col>7</xdr:col>
      <xdr:colOff>0</xdr:colOff>
      <xdr:row>34</xdr:row>
      <xdr:rowOff>0</xdr:rowOff>
    </xdr:to>
    <xdr:graphicFrame macro="">
      <xdr:nvGraphicFramePr>
        <xdr:cNvPr id="1" name="Couverture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9ea38c3cdb4831"/>
        </a:graphicData>
      </a:graphic>
    </xdr:graphicFrame>
    <xdr:clientData/>
  </xdr:twoCellAnchor>
  <xdr:twoCellAnchor>
    <xdr:from>
      <xdr:col>7</xdr:col>
      <xdr:colOff>0</xdr:colOff>
      <xdr:row>21</xdr:row>
      <xdr:rowOff>0</xdr:rowOff>
    </xdr:from>
    <xdr:to>
      <xdr:col>13</xdr:col>
      <xdr:colOff>0</xdr:colOff>
      <xdr:row>34</xdr:row>
      <xdr:rowOff>0</xdr:rowOff>
    </xdr:to>
    <xdr:graphicFrame macro="">
      <xdr:nvGraphicFramePr>
        <xdr:cNvPr id="2" name="Priorités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fef42f66cd425f"/>
        </a:graphicData>
      </a:graphic>
    </xdr:graphicFrame>
    <xdr:clientData/>
  </xdr:twoCellAnchor>
  <xdr:oneCellAnchor>
    <xdr:from>
      <xdr:col>7</xdr:col>
      <xdr:colOff>498475</xdr:colOff>
      <xdr:row>1</xdr:row>
      <xdr:rowOff>47625</xdr:rowOff>
    </xdr:from>
    <xdr:ext cx="4254500" cy="638175"/>
    <xdr:pic>
      <xdr:nvPicPr>
        <xdr:cNvPr id="3"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inr20261007_drawing11.xml><?xml version="1.0" encoding="utf-8"?>
<xdr:wsDr xmlns:xdr="http://schemas.openxmlformats.org/drawingml/2006/spreadsheetDrawing">
  <xdr:oneCellAnchor>
    <xdr:from>
      <xdr:col>2</xdr:col>
      <xdr:colOff>114300</xdr:colOff>
      <xdr:row>0</xdr:row>
      <xdr:rowOff>47625</xdr:rowOff>
    </xdr:from>
    <xdr:ext cx="4254500" cy="638175"/>
    <xdr:pic>
      <xdr:nvPicPr>
        <xdr:cNvPr id="1" name="Logos INR, LaNum Pays Basque et NÉONUM"/>
        <xdr:cNvPicPr>
          <a:picLocks xmlns:a="http://schemas.openxmlformats.org/drawingml/2006/main" noChangeAspect="1"/>
        </xdr:cNvPicPr>
      </xdr:nvPicPr>
      <xdr:blipFill>
        <a:blip xmlns:r="http://schemas.openxmlformats.org/officeDocument/2006/relationships" xmlns:a="http://schemas.openxmlformats.org/drawingml/2006/main" r:embed="bandeauCoedition"/>
        <a:stretch xmlns:a="http://schemas.openxmlformats.org/drawingml/2006/main">
          <a:fillRect/>
        </a:stretch>
      </xdr:blipFill>
      <xdr:spPr>
        <a:prstGeom xmlns:a="http://schemas.openxmlformats.org/drawingml/2006/main" prst="rect"/>
      </xdr:spPr>
    </xdr:pic>
    <xdr:clientData/>
  </xdr:oneCellAnchor>
</xdr:wsDr>
</file>

<file path=xl/drawings/summary20261007_drawing3.xml><?xml version="1.0" encoding="utf-8"?>
<xdr:wsDr xmlns:xdr="http://schemas.openxmlformats.org/drawingml/2006/spreadsheetDrawing">
  <xdr:twoCellAnchor>
    <xdr:from>
      <xdr:col>4</xdr:col>
      <xdr:colOff>0</xdr:colOff>
      <xdr:row>26</xdr:row>
      <xdr:rowOff>0</xdr:rowOff>
    </xdr:from>
    <xdr:to>
      <xdr:col>13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dbbba435e943c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logoINR20261007" Type="http://schemas.openxmlformats.org/officeDocument/2006/relationships/drawing" Target="/xl/drawings/inr20261007_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logoINR20261007" Type="http://schemas.openxmlformats.org/officeDocument/2006/relationships/drawing" Target="/xl/drawings/inr20261007_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logoINR20261007" Type="http://schemas.openxmlformats.org/officeDocument/2006/relationships/drawing" Target="/xl/drawings/inr20261007_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logoINR20261007" Type="http://schemas.openxmlformats.org/officeDocument/2006/relationships/drawing" Target="/xl/drawings/inr20261007_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logoINR20261007" Type="http://schemas.openxmlformats.org/officeDocument/2006/relationships/drawing" Target="/xl/drawings/inr20261007_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logoINR20261007" Type="http://schemas.openxmlformats.org/officeDocument/2006/relationships/drawing" Target="/xl/drawings/inr20261007_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logoINR20261007" Type="http://schemas.openxmlformats.org/officeDocument/2006/relationships/drawing" Target="/xl/drawings/inr20261007_drawing9.xml"/></Relationships>
</file>

<file path=xl/worksheets/_rels/sheet11.xml.rels><?xml version='1.0' encoding='UTF-8' standalone='yes'?>
<Relationships xmlns="http://schemas.openxmlformats.org/package/2006/relationships"><Relationship Id="logoINR20261007" Type="http://schemas.openxmlformats.org/officeDocument/2006/relationships/drawing" Target="/xl/drawings/inr20261007_drawing10.xml"/></Relationships>
</file>

<file path=xl/worksheets/_rels/sheet12.xml.rels><?xml version='1.0' encoding='UTF-8' standalone='yes'?>
<Relationships xmlns="http://schemas.openxmlformats.org/package/2006/relationships"><Relationship Id="logoINR20261007" Type="http://schemas.openxmlformats.org/officeDocument/2006/relationships/drawing" Target="/xl/drawings/inr20261007_drawing11.xml"/></Relationships>
</file>

<file path=xl/worksheets/_rels/sheet13.xml.rels><?xml version="1.0" encoding="UTF-8" standalone="yes"?><Relationships xmlns="http://schemas.openxmlformats.org/package/2006/relationships"><Relationship Id="rId3" Type="http://schemas.openxmlformats.org/officeDocument/2006/relationships/comments" Target="/xl/comments7.xml"/><Relationship Id="rId2" Type="http://schemas.openxmlformats.org/officeDocument/2006/relationships/vmlDrawing" Target="/xl/drawings/vmlDrawing7.vml"/><Relationship Id="rId1" Type="http://schemas.openxmlformats.org/officeDocument/2006/relationships/printerSettings" Target="/xl/printerSettings/printerSettings10.bin"/><Relationship Id="logoINR20261007" Type="http://schemas.openxmlformats.org/officeDocument/2006/relationships/drawing" Target="/xl/drawings/inr20261007_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tabSelected="1" zoomScaleNormal="100" workbookViewId="0">
      <selection activeCell="N52" sqref="N5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26" t="s">
        <v>1</v>
      </c>
      <c r="C2" s="327"/>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drawing r:id="logoINR20261007"/>
</worksheet>
</file>

<file path=xl/worksheets/sheet4.xml><?xml version="1.0" encoding="utf-8"?>
<x:worksheet xmlns:x="http://schemas.openxmlformats.org/spreadsheetml/2006/main">
  <x:sheetPr>
    <x:tabColor theme="4"/>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16.6640625" style="866" hidden="1" customWidth="1"/>
    <x:col min="13" max="13" width="17.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8.6640625" style="871" hidden="1" customWidth="1"/>
    <x:col min="24" max="24" width="78.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1 : Sobriété · Utiliser les outils numériques pour consommer moins de ressources et réduire leurs effets sur l’environnement</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731" t="str">
        <x:v>Cibles à évaluer</x:v>
      </x:c>
      <x:c r="C4" s="1732"/>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733"/>
      <x:c r="C5" s="1734"/>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752"/>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766"/>
      <x:c r="W6" s="1765"/>
      <x:c r="X6" s="1107"/>
    </x:row>
    <x:row r="7" s="952" customFormat="1" ht="76" customHeight="1">
      <x:c r="A7" s="951"/>
      <x:c r="B7" s="1803" t="inlineStr">
        <x:is>
          <x:t xml:space="preserve">1.1</x:t>
        </x:is>
      </x:c>
      <x:c r="C7" s="1795" t="inlineStr">
        <x:is>
          <x:t xml:space="preserve">Prendre en compte toute la vie des équipements et des logiciels de l'établissement, de l'achat à la fin de vie : postes, salles informatiques, équipements de laboratoire et de calcul.</x:t>
        </x:is>
      </x:c>
      <x:c r="D7" s="1798"/>
      <x:c r="E7" s="1802"/>
      <x:c r="F7" s="1802"/>
      <x:c r="G7" s="1798"/>
      <x:c r="H7" s="1802"/>
      <x:c r="I7" s="1799"/>
      <x:c r="J7" s="1806" t="str">
        <x:f>S7</x:f>
      </x:c>
      <x:c r="K7" s="1777" t="str">
        <x:f>IF(IF(ISNUMBER(E7),AND(E7&gt;=0,E7&lt;=3,MOD(E7,1)=0),FALSE),IF(E7=0,0,IF(IF(ISNUMBER(F7),AND(F7&gt;=1,F7&lt;=4,MOD(F7,1)=0),FALSE),E7*10+F7,"")),"")</x:f>
      </x:c>
      <x:c r="L7" s="1777" t="b">
        <x:f>IF(ISNUMBER(K7),K7=31,FALSE)</x:f>
        <x:v>0</x:v>
      </x:c>
      <x:c r="M7" s="1777" t="b">
        <x:f>IF(ISNUMBER(K7),OR(K7=21,K7=32),FALSE)</x:f>
        <x:v>0</x:v>
      </x:c>
      <x:c r="N7" s="1777" t="b">
        <x:f>IF(ISNUMBER(K7),OR(K7=22,K7=33),FALSE)</x:f>
        <x:v>0</x:v>
      </x:c>
      <x:c r="O7" s="1777" t="b">
        <x:f>IF(ISNUMBER(K7),OR(K7=11,K7=12),FALSE)</x:f>
        <x:v>0</x:v>
      </x:c>
      <x:c r="P7" s="1777" t="b">
        <x:f>IF(ISNUMBER(K7),OR(K7=23,K7=34),FALSE)</x:f>
        <x:v>0</x:v>
      </x:c>
      <x:c r="Q7" s="1777" t="b">
        <x:f>IF(ISNUMBER(K7),OR(K7=13,K7=14,K7=24),FALSE)</x:f>
        <x:v>0</x:v>
      </x:c>
      <x:c r="R7" s="1777" t="b">
        <x:f>IF(ISNUMBER(K7),K7=0,FALSE)</x:f>
        <x:v>0</x:v>
      </x:c>
      <x:c r="S7" s="1777" t="str">
        <x:f t="shared" ref="S7:S12" si="0">IF(ISNUMBER(T7),INDEX($L$5:$R$5,1,7-T7),"")</x:f>
      </x:c>
      <x:c r="T7" s="1777" t="str">
        <x:f t="shared" ref="T7:T12" si="1">IF(ISNUMBER(K7),IF(L7,6,IF(M7,5,IF(N7,4,IF(O7,3,IF(P7,2,IF(Q7,1,0)))))),"")</x:f>
      </x:c>
      <x:c r="U7" s="1790" t="str">
        <x:f>IF(AND(ISNUMBER(T7),ISNUMBER(H7)),IF(AND(H7&gt;=1,H7&lt;=4,MOD(H7,1)=0),T7*10+H7,""),"")</x:f>
      </x:c>
      <x:c r="V7" s="1799"/>
      <x:c r="W7" s="1103"/>
      <x:c r="X7" s="903"/>
    </x:row>
    <x:row r="8" s="952" customFormat="1" ht="76" customHeight="1">
      <x:c r="A8" s="951"/>
      <x:c r="B8" s="1804" t="inlineStr">
        <x:is>
          <x:t xml:space="preserve">1.2</x:t>
        </x:is>
      </x:c>
      <x:c r="C8" s="1796" t="inlineStr">
        <x:is>
          <x:t xml:space="preserve">Utiliser plus longtemps les équipements des personnels, des salles et des laboratoires, même après leur amortissement, en organisant leur réparation et leur réaffectation.</x:t>
        </x:is>
      </x:c>
      <x:c r="D8" s="1798"/>
      <x:c r="E8" s="1802"/>
      <x:c r="F8" s="1802"/>
      <x:c r="G8" s="1798"/>
      <x:c r="H8" s="1802"/>
      <x:c r="I8" s="1799"/>
      <x:c r="J8" s="1806" t="str">
        <x:f t="shared" ref="J8:J12" si="2">S8</x:f>
      </x:c>
      <x:c r="K8" s="1777" t="str">
        <x:f t="shared" ref="K8:K12" si="3">IF(IF(ISNUMBER(E8),AND(E8&gt;=0,E8&lt;=3,MOD(E8,1)=0),FALSE),IF(E8=0,0,IF(IF(ISNUMBER(F8),AND(F8&gt;=1,F8&lt;=4,MOD(F8,1)=0),FALSE),E8*10+F8,"")),"")</x:f>
      </x:c>
      <x:c r="L8" s="1777" t="b">
        <x:f t="shared" ref="L8:L12" si="4">IF(ISNUMBER(K8),K8=31,FALSE)</x:f>
        <x:v>0</x:v>
      </x:c>
      <x:c r="M8" s="1777" t="b">
        <x:f t="shared" ref="M8:M12" si="5">IF(ISNUMBER(K8),OR(K8=21,K8=32),FALSE)</x:f>
        <x:v>0</x:v>
      </x:c>
      <x:c r="N8" s="1777" t="b">
        <x:f t="shared" ref="N8:N12" si="6">IF(ISNUMBER(K8),OR(K8=22,K8=33),FALSE)</x:f>
        <x:v>0</x:v>
      </x:c>
      <x:c r="O8" s="1777" t="b">
        <x:f t="shared" ref="O8:O12" si="7">IF(ISNUMBER(K8),OR(K8=11,K8=12),FALSE)</x:f>
        <x:v>0</x:v>
      </x:c>
      <x:c r="P8" s="1777" t="b">
        <x:f t="shared" ref="P8:P12" si="8">IF(ISNUMBER(K8),OR(K8=23,K8=34),FALSE)</x:f>
        <x:v>0</x:v>
      </x:c>
      <x:c r="Q8" s="1777" t="b">
        <x:f t="shared" ref="Q8:Q12" si="9">IF(ISNUMBER(K8),OR(K8=13,K8=14,K8=24),FALSE)</x:f>
        <x:v>0</x:v>
      </x:c>
      <x:c r="R8" s="1777" t="b">
        <x:f t="shared" ref="R8:R12" si="10">IF(ISNUMBER(K8),K8=0,FALSE)</x:f>
        <x:v>0</x:v>
      </x:c>
      <x:c r="S8" s="1777" t="str">
        <x:f t="shared" si="0">IF(ISNUMBER(T8),INDEX($L$5:$R$5,1,7-T8),"")</x:f>
      </x:c>
      <x:c r="T8" s="1777" t="str">
        <x:f t="shared" si="1">IF(ISNUMBER(K8),IF(L8,6,IF(M8,5,IF(N8,4,IF(O8,3,IF(P8,2,IF(Q8,1,0)))))),"")</x:f>
      </x:c>
      <x:c r="U8" s="1790" t="str">
        <x:f t="shared" ref="U8:U12" si="11">IF(AND(ISNUMBER(T8),ISNUMBER(H8)),IF(AND(H8&gt;=1,H8&lt;=4,MOD(H8,1)=0),T8*10+H8,""),"")</x:f>
      </x:c>
      <x:c r="V8" s="1799"/>
      <x:c r="W8" s="1118"/>
      <x:c r="X8" s="1117"/>
    </x:row>
    <x:row r="9" s="952" customFormat="1" ht="100" customHeight="1">
      <x:c r="A9" s="951"/>
      <x:c r="B9" s="1804" t="inlineStr">
        <x:is>
          <x:t xml:space="preserve">1.3</x:t>
        </x:is>
      </x:c>
      <x:c r="C9" s="1796" t="inlineStr">
        <x:is>
          <x:t xml:space="preserve">Concevoir des services numériques qui limitent leurs effets sur l'environnement, en suivant le RGESN : plateforme pédagogique (LMS comme Moodle), environnement numérique de travail (ENT), applications de scolarité, logiciels de recherche. Choisir des technologies qui contribuent aux ODD.</x:t>
        </x:is>
      </x:c>
      <x:c r="D9" s="1798"/>
      <x:c r="E9" s="1802"/>
      <x:c r="F9" s="1802"/>
      <x:c r="G9" s="1798"/>
      <x:c r="H9" s="1802"/>
      <x:c r="I9" s="1799"/>
      <x:c r="J9" s="1806" t="str">
        <x:f t="shared" si="2">S9</x:f>
      </x:c>
      <x:c r="K9" s="1783" t="str">
        <x:f t="shared" si="3">IF(IF(ISNUMBER(E9),AND(E9&gt;=0,E9&lt;=3,MOD(E9,1)=0),FALSE),IF(E9=0,0,IF(IF(ISNUMBER(F9),AND(F9&gt;=1,F9&lt;=4,MOD(F9,1)=0),FALSE),E9*10+F9,"")),"")</x:f>
      </x:c>
      <x:c r="L9" s="1783" t="b">
        <x:f t="shared" si="4">IF(ISNUMBER(K9),K9=31,FALSE)</x:f>
        <x:v>0</x:v>
      </x:c>
      <x:c r="M9" s="1783" t="b">
        <x:f t="shared" si="5">IF(ISNUMBER(K9),OR(K9=21,K9=32),FALSE)</x:f>
        <x:v>0</x:v>
      </x:c>
      <x:c r="N9" s="1783" t="b">
        <x:f t="shared" si="6">IF(ISNUMBER(K9),OR(K9=22,K9=33),FALSE)</x:f>
        <x:v>0</x:v>
      </x:c>
      <x:c r="O9" s="1783" t="b">
        <x:f t="shared" si="7">IF(ISNUMBER(K9),OR(K9=11,K9=12),FALSE)</x:f>
        <x:v>0</x:v>
      </x:c>
      <x:c r="P9" s="1783" t="b">
        <x:f t="shared" si="8">IF(ISNUMBER(K9),OR(K9=23,K9=34),FALSE)</x:f>
        <x:v>0</x:v>
      </x:c>
      <x:c r="Q9" s="1783" t="b">
        <x:f t="shared" si="9">IF(ISNUMBER(K9),OR(K9=13,K9=14,K9=24),FALSE)</x:f>
        <x:v>0</x:v>
      </x:c>
      <x:c r="R9" s="1783" t="b">
        <x:f t="shared" si="10">IF(ISNUMBER(K9),K9=0,FALSE)</x:f>
        <x:v>0</x:v>
      </x:c>
      <x:c r="S9" s="1783" t="str">
        <x:f t="shared" si="0">IF(ISNUMBER(T9),INDEX($L$5:$R$5,1,7-T9),"")</x:f>
      </x:c>
      <x:c r="T9" s="1783" t="str">
        <x:f t="shared" si="1">IF(ISNUMBER(K9),IF(L9,6,IF(M9,5,IF(N9,4,IF(O9,3,IF(P9,2,IF(Q9,1,0)))))),"")</x:f>
      </x:c>
      <x:c r="U9" s="1783" t="str">
        <x:f t="shared" si="11">IF(AND(ISNUMBER(T9),ISNUMBER(H9)),IF(AND(H9&gt;=1,H9&lt;=4,MOD(H9,1)=0),T9*10+H9,""),"")</x:f>
      </x:c>
      <x:c r="V9" s="1799"/>
      <x:c r="W9" s="1104"/>
      <x:c r="X9" s="1116"/>
    </x:row>
    <x:row r="10" s="952" customFormat="1" ht="70" customHeight="1">
      <x:c r="A10" s="951"/>
      <x:c r="B10" s="1804" t="inlineStr">
        <x:is>
          <x:t xml:space="preserve">1.4</x:t>
        </x:is>
      </x:c>
      <x:c r="C10" s="1796" t="inlineStr">
        <x:is>
          <x:t xml:space="preserve">Adopter, dans les cours, les examens, l'administration et les laboratoires, des pratiques qui consomment moins de matériel, d'énergie, de papier et de stockage.</x:t>
        </x:is>
      </x:c>
      <x:c r="D10" s="1798"/>
      <x:c r="E10" s="1802"/>
      <x:c r="F10" s="1802"/>
      <x:c r="G10" s="1798"/>
      <x:c r="H10" s="1802"/>
      <x:c r="I10" s="1799"/>
      <x:c r="J10" s="1806" t="str">
        <x:f t="shared" si="2">S10</x:f>
      </x:c>
      <x:c r="K10" s="1786" t="str">
        <x:f t="shared" si="3">IF(IF(ISNUMBER(E10),AND(E10&gt;=0,E10&lt;=3,MOD(E10,1)=0),FALSE),IF(E10=0,0,IF(IF(ISNUMBER(F10),AND(F10&gt;=1,F10&lt;=4,MOD(F10,1)=0),FALSE),E10*10+F10,"")),"")</x:f>
      </x:c>
      <x:c r="L10" s="1786" t="b">
        <x:f t="shared" si="4">IF(ISNUMBER(K10),K10=31,FALSE)</x:f>
        <x:v>0</x:v>
      </x:c>
      <x:c r="M10" s="1786" t="b">
        <x:f t="shared" si="5">IF(ISNUMBER(K10),OR(K10=21,K10=32),FALSE)</x:f>
        <x:v>0</x:v>
      </x:c>
      <x:c r="N10" s="1786" t="b">
        <x:f t="shared" si="6">IF(ISNUMBER(K10),OR(K10=22,K10=33),FALSE)</x:f>
        <x:v>0</x:v>
      </x:c>
      <x:c r="O10" s="1786" t="b">
        <x:f t="shared" si="7">IF(ISNUMBER(K10),OR(K10=11,K10=12),FALSE)</x:f>
        <x:v>0</x:v>
      </x:c>
      <x:c r="P10" s="1786" t="b">
        <x:f t="shared" si="8">IF(ISNUMBER(K10),OR(K10=23,K10=34),FALSE)</x:f>
        <x:v>0</x:v>
      </x:c>
      <x:c r="Q10" s="1786" t="b">
        <x:f t="shared" si="9">IF(ISNUMBER(K10),OR(K10=13,K10=14,K10=24),FALSE)</x:f>
        <x:v>0</x:v>
      </x:c>
      <x:c r="R10" s="1786" t="b">
        <x:f t="shared" si="10">IF(ISNUMBER(K10),K10=0,FALSE)</x:f>
        <x:v>0</x:v>
      </x:c>
      <x:c r="S10" s="1786" t="str">
        <x:f t="shared" si="0">IF(ISNUMBER(T10),INDEX($L$5:$R$5,1,7-T10),"")</x:f>
      </x:c>
      <x:c r="T10" s="1786" t="str">
        <x:f t="shared" si="1">IF(ISNUMBER(K10),IF(L10,6,IF(M10,5,IF(N10,4,IF(O10,3,IF(P10,2,IF(Q10,1,0)))))),"")</x:f>
      </x:c>
      <x:c r="U10" s="1790" t="str">
        <x:f t="shared" si="11">IF(AND(ISNUMBER(T10),ISNUMBER(H10)),IF(AND(H10&gt;=1,H10&lt;=4,MOD(H10,1)=0),T10*10+H10,""),"")</x:f>
      </x:c>
      <x:c r="V10" s="1798"/>
      <x:c r="W10" s="1105"/>
      <x:c r="X10" s="903"/>
    </x:row>
    <x:row r="11" s="952" customFormat="1" ht="76" customHeight="1">
      <x:c r="A11" s="951"/>
      <x:c r="B11" s="1805" t="inlineStr">
        <x:is>
          <x:t xml:space="preserve">1.5</x:t>
        </x:is>
      </x:c>
      <x:c r="C11" s="1797" t="inlineStr">
        <x:is>
          <x:t xml:space="preserve">Confier les équipements en fin d'usage à des filières de réemploi et de l'économie sociale et solidaire, par exemple pour équiper des étudiants.</x:t>
        </x:is>
      </x:c>
      <x:c r="D11" s="1798"/>
      <x:c r="E11" s="1802"/>
      <x:c r="F11" s="1802"/>
      <x:c r="G11" s="1798"/>
      <x:c r="H11" s="1802"/>
      <x:c r="I11" s="1799"/>
      <x:c r="J11" s="1806" t="str">
        <x:f t="shared" si="2">S11</x:f>
      </x:c>
      <x:c r="K11" s="1786" t="str">
        <x:f t="shared" si="3">IF(IF(ISNUMBER(E11),AND(E11&gt;=0,E11&lt;=3,MOD(E11,1)=0),FALSE),IF(E11=0,0,IF(IF(ISNUMBER(F11),AND(F11&gt;=1,F11&lt;=4,MOD(F11,1)=0),FALSE),E11*10+F11,"")),"")</x:f>
      </x:c>
      <x:c r="L11" s="1786" t="b">
        <x:f t="shared" si="4">IF(ISNUMBER(K11),K11=31,FALSE)</x:f>
        <x:v>0</x:v>
      </x:c>
      <x:c r="M11" s="1786" t="b">
        <x:f t="shared" si="5">IF(ISNUMBER(K11),OR(K11=21,K11=32),FALSE)</x:f>
        <x:v>0</x:v>
      </x:c>
      <x:c r="N11" s="1786" t="b">
        <x:f t="shared" si="6">IF(ISNUMBER(K11),OR(K11=22,K11=33),FALSE)</x:f>
        <x:v>0</x:v>
      </x:c>
      <x:c r="O11" s="1786" t="b">
        <x:f t="shared" si="7">IF(ISNUMBER(K11),OR(K11=11,K11=12),FALSE)</x:f>
        <x:v>0</x:v>
      </x:c>
      <x:c r="P11" s="1786" t="b">
        <x:f t="shared" si="8">IF(ISNUMBER(K11),OR(K11=23,K11=34),FALSE)</x:f>
        <x:v>0</x:v>
      </x:c>
      <x:c r="Q11" s="1786" t="b">
        <x:f t="shared" si="9">IF(ISNUMBER(K11),OR(K11=13,K11=14,K11=24),FALSE)</x:f>
        <x:v>0</x:v>
      </x:c>
      <x:c r="R11" s="1786" t="b">
        <x:f t="shared" si="10">IF(ISNUMBER(K11),K11=0,FALSE)</x:f>
        <x:v>0</x:v>
      </x:c>
      <x:c r="S11" s="1786" t="str">
        <x:f t="shared" si="0">IF(ISNUMBER(T11),INDEX($L$5:$R$5,1,7-T11),"")</x:f>
      </x:c>
      <x:c r="T11" s="1786" t="str">
        <x:f t="shared" si="1">IF(ISNUMBER(K11),IF(L11,6,IF(M11,5,IF(N11,4,IF(O11,3,IF(P11,2,IF(Q11,1,0)))))),"")</x:f>
      </x:c>
      <x:c r="U11" s="1790" t="str">
        <x:f t="shared" si="11">IF(AND(ISNUMBER(T11),ISNUMBER(H11)),IF(AND(H11&gt;=1,H11&lt;=4,MOD(H11,1)=0),T11*10+H11,""),"")</x:f>
      </x:c>
      <x:c r="V11" s="1798"/>
      <x:c r="W11" s="1119"/>
      <x:c r="X11" s="1114"/>
    </x:row>
    <x:row r="12" s="953" customFormat="1" ht="70" customHeight="1">
      <x:c r="A12" s="951"/>
      <x:c r="B12" s="1804" t="inlineStr">
        <x:is>
          <x:t xml:space="preserve">1.6</x:t>
        </x:is>
      </x:c>
      <x:c r="C12" s="1797" t="inlineStr">
        <x:is>
          <x:t xml:space="preserve">Alimenter les campus, les centres de données et les moyens de calcul avec des énergies renouvelables, et valoriser leur chaleur fatale.</x:t>
        </x:is>
      </x:c>
      <x:c r="D12" s="1798"/>
      <x:c r="E12" s="1802"/>
      <x:c r="F12" s="1802"/>
      <x:c r="G12" s="1798"/>
      <x:c r="H12" s="1802"/>
      <x:c r="I12" s="1799"/>
      <x:c r="J12" s="1806" t="str">
        <x:f t="shared" si="2">S12</x:f>
      </x:c>
      <x:c r="K12" s="1786" t="str">
        <x:f t="shared" si="3">IF(IF(ISNUMBER(E12),AND(E12&gt;=0,E12&lt;=3,MOD(E12,1)=0),FALSE),IF(E12=0,0,IF(IF(ISNUMBER(F12),AND(F12&gt;=1,F12&lt;=4,MOD(F12,1)=0),FALSE),E12*10+F12,"")),"")</x:f>
      </x:c>
      <x:c r="L12" s="1786" t="b">
        <x:f t="shared" si="4">IF(ISNUMBER(K12),K12=31,FALSE)</x:f>
        <x:v>0</x:v>
      </x:c>
      <x:c r="M12" s="1786" t="b">
        <x:f t="shared" si="5">IF(ISNUMBER(K12),OR(K12=21,K12=32),FALSE)</x:f>
        <x:v>0</x:v>
      </x:c>
      <x:c r="N12" s="1786" t="b">
        <x:f t="shared" si="6">IF(ISNUMBER(K12),OR(K12=22,K12=33),FALSE)</x:f>
        <x:v>0</x:v>
      </x:c>
      <x:c r="O12" s="1786" t="b">
        <x:f t="shared" si="7">IF(ISNUMBER(K12),OR(K12=11,K12=12),FALSE)</x:f>
        <x:v>0</x:v>
      </x:c>
      <x:c r="P12" s="1786" t="b">
        <x:f t="shared" si="8">IF(ISNUMBER(K12),OR(K12=23,K12=34),FALSE)</x:f>
        <x:v>0</x:v>
      </x:c>
      <x:c r="Q12" s="1786" t="b">
        <x:f t="shared" si="9">IF(ISNUMBER(K12),OR(K12=13,K12=14,K12=24),FALSE)</x:f>
        <x:v>0</x:v>
      </x:c>
      <x:c r="R12" s="1786" t="b">
        <x:f t="shared" si="10">IF(ISNUMBER(K12),K12=0,FALSE)</x:f>
        <x:v>0</x:v>
      </x:c>
      <x:c r="S12" s="1786" t="str">
        <x:f t="shared" si="0">IF(ISNUMBER(T12),INDEX($L$5:$R$5,1,7-T12),"")</x:f>
      </x:c>
      <x:c r="T12" s="1786" t="str">
        <x:f t="shared" si="1">IF(ISNUMBER(K12),IF(L12,6,IF(M12,5,IF(N12,4,IF(O12,3,IF(P12,2,IF(Q12,1,0)))))),"")</x:f>
      </x:c>
      <x:c r="U12" s="1790" t="str">
        <x:f t="shared" si="11">IF(AND(ISNUMBER(T12),ISNUMBER(H12)),IF(AND(H12&gt;=1,H12&lt;=4,MOD(H12,1)=0),T12*10+H12,""),"")</x:f>
      </x:c>
      <x:c r="V12" s="1798"/>
      <x:c r="W12" s="1120"/>
      <x:c r="X12" s="1114"/>
    </x:row>
    <x:row r="13" ht="70" customHeight="1">
      <x:c r="B13" s="1804" t="inlineStr">
        <x:is>
          <x:t xml:space="preserve">1.7</x:t>
        </x:is>
      </x:c>
      <x:c r="C13" s="1797" t="inlineStr">
        <x:is>
          <x:t xml:space="preserve">Réserver l'intelligence artificielle aux besoins de formation, de recherche et de gestion qui la justifient, et choisir des solutions sobres.</x:t>
        </x:is>
      </x:c>
      <x:c r="D13" s="1798"/>
      <x:c r="E13" s="1802"/>
      <x:c r="F13" s="1802"/>
      <x:c r="G13" s="1798"/>
      <x:c r="H13" s="1802"/>
      <x:c r="I13" s="1799"/>
      <x:c r="J13" s="1806" t="str">
        <x:f t="shared" ref="J13" si="12">S13</x:f>
      </x:c>
      <x:c r="K13" s="1786" t="str">
        <x:f t="shared" ref="K13" si="13">IF(IF(ISNUMBER(E13),AND(E13&gt;=0,E13&lt;=3,MOD(E13,1)=0),FALSE),IF(E13=0,0,IF(IF(ISNUMBER(F13),AND(F13&gt;=1,F13&lt;=4,MOD(F13,1)=0),FALSE),E13*10+F13,"")),"")</x:f>
      </x:c>
      <x:c r="L13" s="1786" t="b">
        <x:f t="shared" ref="L13" si="14">IF(ISNUMBER(K13),K13=31,FALSE)</x:f>
        <x:v>0</x:v>
      </x:c>
      <x:c r="M13" s="1786" t="b">
        <x:f t="shared" ref="M13" si="15">IF(ISNUMBER(K13),OR(K13=21,K13=32),FALSE)</x:f>
        <x:v>0</x:v>
      </x:c>
      <x:c r="N13" s="1786" t="b">
        <x:f t="shared" ref="N13" si="16">IF(ISNUMBER(K13),OR(K13=22,K13=33),FALSE)</x:f>
        <x:v>0</x:v>
      </x:c>
      <x:c r="O13" s="1786" t="b">
        <x:f t="shared" ref="O13" si="17">IF(ISNUMBER(K13),OR(K13=11,K13=12),FALSE)</x:f>
        <x:v>0</x:v>
      </x:c>
      <x:c r="P13" s="1786" t="b">
        <x:f t="shared" ref="P13" si="18">IF(ISNUMBER(K13),OR(K13=23,K13=34),FALSE)</x:f>
        <x:v>0</x:v>
      </x:c>
      <x:c r="Q13" s="1786" t="b">
        <x:f t="shared" ref="Q13" si="19">IF(ISNUMBER(K13),OR(K13=13,K13=14,K13=24),FALSE)</x:f>
        <x:v>0</x:v>
      </x:c>
      <x:c r="R13" s="1786" t="b">
        <x:f t="shared" ref="R13" si="20">IF(ISNUMBER(K13),K13=0,FALSE)</x:f>
        <x:v>0</x:v>
      </x:c>
      <x:c r="S13" s="1786" t="str">
        <x:f t="shared" ref="S13" si="21">IF(ISNUMBER(T13),INDEX($L$5:$R$5,1,7-T13),"")</x:f>
      </x:c>
      <x:c r="T13" s="1786" t="str">
        <x:f t="shared" ref="T13" si="22">IF(ISNUMBER(K13),IF(L13,6,IF(M13,5,IF(N13,4,IF(O13,3,IF(P13,2,IF(Q13,1,0)))))),"")</x:f>
      </x:c>
      <x:c r="U13" s="1790" t="str">
        <x:f t="shared" ref="U13" si="23">IF(AND(ISNUMBER(T13),ISNUMBER(H13)),IF(AND(H13&gt;=1,H13&lt;=4,MOD(H13,1)=0),T13*10+H13,""),"")</x:f>
      </x:c>
      <x:c r="V13" s="1798"/>
      <x:c r="W13" s="1121"/>
      <x:c r="X13" s="1114"/>
    </x:row>
    <x:row r="14" ht="70" customHeight="1">
      <x:c r="B14" s="1804" t="inlineStr">
        <x:is>
          <x:t xml:space="preserve">1.8</x:t>
        </x:is>
      </x:c>
      <x:c r="C14" s="1797" t="inlineStr">
        <x:is>
          <x:t xml:space="preserve">Mesurer et réduire ce que consomme l'intelligence artificielle dans l'établissement, notamment l'entraînement de modèles par les équipes de recherche.</x:t>
        </x:is>
      </x:c>
      <x:c r="D14" s="1798"/>
      <x:c r="E14" s="1802"/>
      <x:c r="F14" s="1802"/>
      <x:c r="G14" s="1798"/>
      <x:c r="H14" s="1802"/>
      <x:c r="I14" s="1799"/>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21"/>
      <x:c r="X14" s="1114"/>
    </x:row>
  </x:sheetData>
  <x:mergeCells>
    <x:mergeCell ref="B6:W6"/>
    <x:mergeCell ref="B4:C5"/>
    <x:mergeCell ref="D4:E4"/>
    <x:mergeCell ref="F4:G4"/>
    <x:mergeCell ref="H4:I4"/>
    <x:mergeCell ref="V4:X4"/>
    <x:mergeCell ref="B2:J3"/>
  </x:mergeCells>
  <x:conditionalFormatting sqref="J7:J14">
    <x:cfRule type="expression" dxfId="1626" priority="271">
      <x:formula>AND(ISNUMBER($T7),$T7=6)</x:formula>
    </x:cfRule>
    <x:cfRule type="expression" dxfId="1627" priority="272">
      <x:formula>AND(ISNUMBER($T7),$T7=5)</x:formula>
    </x:cfRule>
    <x:cfRule type="expression" dxfId="1628" priority="273">
      <x:formula>AND(ISNUMBER($T7),$T7=4)</x:formula>
    </x:cfRule>
    <x:cfRule type="expression" dxfId="1629" priority="274">
      <x:formula>AND(ISNUMBER($T7),$T7=3)</x:formula>
    </x:cfRule>
    <x:cfRule type="expression" dxfId="1630" priority="275">
      <x:formula>AND(ISNUMBER($T7),$T7=2)</x:formula>
    </x:cfRule>
    <x:cfRule type="expression" dxfId="1631" priority="276">
      <x:formula>AND(ISNUMBER($T7),$T7=1)</x:formula>
    </x:cfRule>
    <x:cfRule type="expression" dxfId="1632" priority="277">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5.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42.6640625" style="871" hidden="1" customWidth="1"/>
    <x:col min="24" max="24" width="4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2 : Inclusion · Développer des services numériques durables que toutes et tous peuvent utiliser</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822" t="str">
        <x:v>Cibles à évaluer</x:v>
      </x:c>
      <x:c r="C4" s="182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24"/>
      <x:c r="C5" s="1825"/>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t="inlineStr">
        <x:is>
          <x:t xml:space="preserve">Adhérence</x:t>
        </x:is>
      </x:c>
      <x:c r="X5" s="1753"/>
    </x:row>
    <x:row r="6" s="875" customFormat="1" ht="34" customHeight="1">
      <x:c r="A6" s="874"/>
      <x:c r="B6" s="1832" t="str">
        <x:v>Renseigner les cellules jaunes pour les notes, puis les textes utiles. La priorité se calcule automatiquement. Faire défiler vers la droite pour proposer des actions.</x:v>
      </x:c>
      <x:c r="C6" s="1833"/>
      <x:c r="D6" s="1834"/>
      <x:c r="E6" s="1834"/>
      <x:c r="F6" s="1834"/>
      <x:c r="G6" s="1834"/>
      <x:c r="H6" s="1834"/>
      <x:c r="I6" s="1834"/>
      <x:c r="J6" s="1834"/>
      <x:c r="K6" s="1834"/>
      <x:c r="L6" s="1834"/>
      <x:c r="M6" s="1834"/>
      <x:c r="N6" s="1834"/>
      <x:c r="O6" s="1834"/>
      <x:c r="P6" s="1834"/>
      <x:c r="Q6" s="1834"/>
      <x:c r="R6" s="1834"/>
      <x:c r="S6" s="1834"/>
      <x:c r="T6" s="1834"/>
      <x:c r="U6" s="1834"/>
      <x:c r="V6" s="1835"/>
      <x:c r="W6" s="1836"/>
      <x:c r="X6" s="1129"/>
    </x:row>
    <x:row r="7" s="952" customFormat="1" ht="70" customHeight="1">
      <x:c r="A7" s="951"/>
      <x:c r="B7" s="1804" t="inlineStr">
        <x:is>
          <x:t xml:space="preserve">2.1</x:t>
        </x:is>
      </x:c>
      <x:c r="C7" s="1796" t="inlineStr">
        <x:is>
          <x:t xml:space="preserve">Intégrer dans les achats numériques de l'établissement, y compris ceux des laboratoires, des clauses sociales et environnementales et des critères de durabilité.</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IF(ISNUMBER(T7),INDEX($L$5:$R$5,1,7-T7),"")</x:f>
      </x:c>
      <x:c r="T7" s="1783" t="str">
        <x:f>IF(ISNUMBER(K7),IF(L7,6,IF(M7,5,IF(N7,4,IF(O7,3,IF(P7,2,IF(Q7,1,0)))))),"")</x:f>
      </x:c>
      <x:c r="U7" s="1783" t="str">
        <x:f>IF(AND(ISNUMBER(T7),ISNUMBER(H7)),IF(AND(H7&gt;=1,H7&lt;=4,MOD(H7,1)=0),T7*10+H7,""),"")</x:f>
      </x:c>
      <x:c r="V7" s="1798"/>
      <x:c r="W7" s="1123"/>
      <x:c r="X7" s="1113"/>
    </x:row>
    <x:row r="8" s="952" customFormat="1" ht="76" customHeight="1">
      <x:c r="A8" s="951"/>
      <x:c r="B8" s="1804" t="inlineStr">
        <x:is>
          <x:t xml:space="preserve">2.2</x:t>
        </x:is>
      </x:c>
      <x:c r="C8" s="1796" t="inlineStr">
        <x:is>
          <x:t xml:space="preserve">Rendre accessibles à toutes et tous les sites, l'ENT, le LMS et les ressources pédagogiques : vidéos de cours sous-titrées, documents et supports accessibles. Mesurer leur conformité au RGAA.</x:t>
        </x:is>
      </x:c>
      <x:c r="D8" s="1798"/>
      <x:c r="E8" s="1802"/>
      <x:c r="F8" s="1802"/>
      <x:c r="G8" s="1798"/>
      <x:c r="H8" s="1802"/>
      <x:c r="I8" s="1798"/>
      <x:c r="J8" s="1806" t="str">
        <x:f t="shared" si="0">S8</x:f>
      </x:c>
      <x:c r="K8" s="1783" t="str">
        <x:f>IF(IF(ISNUMBER(E8),AND(E8&gt;=0,E8&lt;=3,MOD(E8,1)=0),FALSE),IF(E8=0,0,IF(IF(ISNUMBER(F8),AND(F8&gt;=1,F8&lt;=4,MOD(F8,1)=0),FALSE),E8*10+F8,"")),"")</x:f>
      </x:c>
      <x:c r="L8" s="1783" t="b">
        <x:f>IF(ISNUMBER(K8),K8=31,FALSE)</x:f>
        <x:v>0</x:v>
      </x:c>
      <x:c r="M8" s="1783" t="b">
        <x:f>IF(ISNUMBER(K8),OR(K8=21,K8=32),FALSE)</x:f>
        <x:v>0</x:v>
      </x:c>
      <x:c r="N8" s="1783" t="b">
        <x:f>IF(ISNUMBER(K8),OR(K8=22,K8=33),FALSE)</x:f>
        <x:v>0</x:v>
      </x:c>
      <x:c r="O8" s="1783" t="b">
        <x:f>IF(ISNUMBER(K8),OR(K8=11,K8=12),FALSE)</x:f>
        <x:v>0</x:v>
      </x:c>
      <x:c r="P8" s="1783" t="b">
        <x:f>IF(ISNUMBER(K8),OR(K8=23,K8=34),FALSE)</x:f>
        <x:v>0</x:v>
      </x:c>
      <x:c r="Q8" s="1783" t="b">
        <x:f>IF(ISNUMBER(K8),OR(K8=13,K8=14,K8=24),FALSE)</x:f>
        <x:v>0</x:v>
      </x:c>
      <x:c r="R8" s="1783" t="b">
        <x:f>IF(ISNUMBER(K8),K8=0,FALSE)</x:f>
        <x:v>0</x:v>
      </x:c>
      <x:c r="S8" s="1783" t="str">
        <x:f>IF(ISNUMBER(T8),INDEX($L$5:$R$5,1,7-T8),"")</x:f>
      </x:c>
      <x:c r="T8" s="1783" t="str">
        <x:f>IF(ISNUMBER(K8),IF(L8,6,IF(M8,5,IF(N8,4,IF(O8,3,IF(P8,2,IF(Q8,1,0)))))),"")</x:f>
      </x:c>
      <x:c r="U8" s="1783" t="str">
        <x:f>IF(AND(ISNUMBER(T8),ISNUMBER(H8)),IF(AND(H8&gt;=1,H8&lt;=4,MOD(H8,1)=0),T8*10+H8,""),"")</x:f>
      </x:c>
      <x:c r="V8" s="1798"/>
      <x:c r="W8" s="1109"/>
      <x:c r="X8" s="1108"/>
    </x:row>
    <x:row r="9" s="952" customFormat="1" ht="77" customHeight="1">
      <x:c r="A9" s="951"/>
      <x:c r="B9" s="1804" t="inlineStr">
        <x:is>
          <x:t xml:space="preserve">2.3</x:t>
        </x:is>
      </x:c>
      <x:c r="C9" s="1796" t="inlineStr">
        <x:is>
          <x:t xml:space="preserve">Proposer aux étudiants et aux personnels des outils utiles, faciles à utiliser et réellement utilisés, plutôt qu'une multitude de plateformes : un ENT, un LMS, une messagerie, une visioconférence, un outil d'emploi du temps.</x:t>
        </x:is>
      </x:c>
      <x:c r="D9" s="1798"/>
      <x:c r="E9" s="1802"/>
      <x:c r="F9" s="1802"/>
      <x:c r="G9" s="1798"/>
      <x:c r="H9" s="1802"/>
      <x:c r="I9" s="1798"/>
      <x:c r="J9" s="1806" t="str">
        <x:f t="shared" si="0">S9</x:f>
      </x:c>
      <x:c r="K9" s="1783" t="str">
        <x:f>IF(IF(ISNUMBER(E9),AND(E9&gt;=0,E9&lt;=3,MOD(E9,1)=0),FALSE),IF(E9=0,0,IF(IF(ISNUMBER(F9),AND(F9&gt;=1,F9&lt;=4,MOD(F9,1)=0),FALSE),E9*10+F9,"")),"")</x:f>
      </x:c>
      <x:c r="L9" s="1783" t="b">
        <x:f>IF(ISNUMBER(K9),K9=31,FALSE)</x:f>
        <x:v>0</x:v>
      </x:c>
      <x:c r="M9" s="1783" t="b">
        <x:f>IF(ISNUMBER(K9),OR(K9=21,K9=32),FALSE)</x:f>
        <x:v>0</x:v>
      </x:c>
      <x:c r="N9" s="1783" t="b">
        <x:f>IF(ISNUMBER(K9),OR(K9=22,K9=33),FALSE)</x:f>
        <x:v>0</x:v>
      </x:c>
      <x:c r="O9" s="1783" t="b">
        <x:f>IF(ISNUMBER(K9),OR(K9=11,K9=12),FALSE)</x:f>
        <x:v>0</x:v>
      </x:c>
      <x:c r="P9" s="1783" t="b">
        <x:f>IF(ISNUMBER(K9),OR(K9=23,K9=34),FALSE)</x:f>
        <x:v>0</x:v>
      </x:c>
      <x:c r="Q9" s="1783" t="b">
        <x:f>IF(ISNUMBER(K9),OR(K9=13,K9=14,K9=24),FALSE)</x:f>
        <x:v>0</x:v>
      </x:c>
      <x:c r="R9" s="1783" t="b">
        <x:f>IF(ISNUMBER(K9),K9=0,FALSE)</x:f>
        <x:v>0</x:v>
      </x:c>
      <x:c r="S9" s="1783" t="str">
        <x:f>IF(ISNUMBER(T9),INDEX($L$5:$R$5,1,7-T9),"")</x:f>
      </x:c>
      <x:c r="T9" s="1783" t="str">
        <x:f>IF(ISNUMBER(K9),IF(L9,6,IF(M9,5,IF(N9,4,IF(O9,3,IF(P9,2,IF(Q9,1,0)))))),"")</x:f>
      </x:c>
      <x:c r="U9" s="1783" t="str">
        <x:f>IF(AND(ISNUMBER(T9),ISNUMBER(H9)),IF(AND(H9&gt;=1,H9&lt;=4,MOD(H9,1)=0),T9*10+H9,""),"")</x:f>
      </x:c>
      <x:c r="V9" s="1798"/>
      <x:c r="W9" s="1122"/>
      <x:c r="X9" s="1114"/>
    </x:row>
    <x:row r="10" s="952" customFormat="1" ht="70" customHeight="1">
      <x:c r="A10" s="951"/>
      <x:c r="B10" s="1804" t="inlineStr">
        <x:is>
          <x:t xml:space="preserve">2.4</x:t>
        </x:is>
      </x:c>
      <x:c r="C10" s="1796" t="inlineStr">
        <x:is>
          <x:t xml:space="preserve">Concevoir les services numériques avec les étudiants, les enseignants, les chercheurs et les personnels, en partant de leurs besoins réels.</x:t>
        </x:is>
      </x:c>
      <x:c r="D10" s="1798"/>
      <x:c r="E10" s="1802"/>
      <x:c r="F10" s="1802"/>
      <x:c r="G10" s="1798"/>
      <x:c r="H10" s="1802"/>
      <x:c r="I10" s="1798"/>
      <x:c r="J10" s="1806" t="str">
        <x:f>S10</x:f>
      </x:c>
      <x:c r="K10" s="1777" t="str">
        <x:f>IF(IF(ISNUMBER(E10),AND(E10&gt;=0,E10&lt;=3,MOD(E10,1)=0),FALSE),IF(E10=0,0,IF(IF(ISNUMBER(F10),AND(F10&gt;=1,F10&lt;=4,MOD(F10,1)=0),FALSE),E10*10+F10,"")),"")</x:f>
      </x:c>
      <x:c r="L10" s="1777" t="b">
        <x:f>IF(ISNUMBER(K10),K10=31,FALSE)</x:f>
        <x:v>0</x:v>
      </x:c>
      <x:c r="M10" s="1777" t="b">
        <x:f>IF(ISNUMBER(K10),OR(K10=21,K10=32),FALSE)</x:f>
        <x:v>0</x:v>
      </x:c>
      <x:c r="N10" s="1777" t="b">
        <x:f>IF(ISNUMBER(K10),OR(K10=22,K10=33),FALSE)</x:f>
        <x:v>0</x:v>
      </x:c>
      <x:c r="O10" s="1777" t="b">
        <x:f>IF(ISNUMBER(K10),OR(K10=11,K10=12),FALSE)</x:f>
        <x:v>0</x:v>
      </x:c>
      <x:c r="P10" s="1777" t="b">
        <x:f>IF(ISNUMBER(K10),OR(K10=23,K10=34),FALSE)</x:f>
        <x:v>0</x:v>
      </x:c>
      <x:c r="Q10" s="1777" t="b">
        <x:f>IF(ISNUMBER(K10),OR(K10=13,K10=14,K10=24),FALSE)</x:f>
        <x:v>0</x:v>
      </x:c>
      <x:c r="R10" s="1777" t="b">
        <x:f>IF(ISNUMBER(K10),K10=0,FALSE)</x:f>
        <x:v>0</x:v>
      </x:c>
      <x:c r="S10" s="1777" t="str">
        <x:f>IF(ISNUMBER(T10),INDEX($L$5:$R$5,1,7-T10),"")</x:f>
      </x:c>
      <x:c r="T10" s="1777" t="str">
        <x:f>IF(ISNUMBER(K10),IF(L10,6,IF(M10,5,IF(N10,4,IF(O10,3,IF(P10,2,IF(Q10,1,0)))))),"")</x:f>
      </x:c>
      <x:c r="U10" s="1790" t="str">
        <x:f>IF(AND(ISNUMBER(T10),ISNUMBER(H10)),IF(AND(H10&gt;=1,H10&lt;=4,MOD(H10,1)=0),T10*10+H10,""),"")</x:f>
      </x:c>
      <x:c r="V10" s="1798"/>
      <x:c r="W10" s="1109"/>
      <x:c r="X10" s="1108"/>
    </x:row>
    <x:row r="11" s="952" customFormat="1" ht="77" customHeight="1">
      <x:c r="A11" s="951"/>
      <x:c r="B11" s="1804" t="inlineStr">
        <x:is>
          <x:t xml:space="preserve">2.5</x:t>
        </x:is>
      </x:c>
      <x:c r="C11" s="1796" t="inlineStr">
        <x:is>
          <x:t xml:space="preserve">Vérifier que l'intelligence artificielle utilisée pour orienter, évaluer ou accompagner les étudiants ne discrimine personne : aide à l'orientation, détection de plagiat, correction automatique, agents conversationnels.</x:t>
        </x:is>
      </x:c>
      <x:c r="D11" s="1798"/>
      <x:c r="E11" s="1802"/>
      <x:c r="F11" s="1802"/>
      <x:c r="G11" s="1798"/>
      <x:c r="H11" s="1802"/>
      <x:c r="I11" s="1798"/>
      <x:c r="J11" s="1806" t="n">
        <x:f>S11</x:f>
        <x:v>0</x:v>
      </x:c>
      <x:c r="K11" s="1777" t="str">
        <x:f>IF(IF(ISNUMBER(E11),AND(E11&gt;=0,E11&lt;=3,MOD(E11,1)=0),FALSE),IF(E11=0,0,IF(IF(ISNUMBER(F11),AND(F11&gt;=1,F11&lt;=4,MOD(F11,1)=0),FALSE),E11*10+F11,"")),"")</x:f>
      </x:c>
      <x:c r="L11" s="1777" t="b">
        <x:f>IF(ISNUMBER(K11),K11=31,FALSE)</x:f>
        <x:v>0</x:v>
      </x:c>
      <x:c r="M11" s="1777" t="b">
        <x:f>IF(ISNUMBER(K11),OR(K11=21,K11=32),FALSE)</x:f>
        <x:v>0</x:v>
      </x:c>
      <x:c r="N11" s="1777" t="b">
        <x:f>IF(ISNUMBER(K11),OR(K11=22,K11=33),FALSE)</x:f>
        <x:v>0</x:v>
      </x:c>
      <x:c r="O11" s="1777" t="b">
        <x:f>IF(ISNUMBER(K11),OR(K11=11,K11=12),FALSE)</x:f>
        <x:v>0</x:v>
      </x:c>
      <x:c r="P11" s="1777" t="b">
        <x:f>IF(ISNUMBER(K11),OR(K11=23,K11=34),FALSE)</x:f>
        <x:v>0</x:v>
      </x:c>
      <x:c r="Q11" s="1777" t="b">
        <x:f>IF(ISNUMBER(K11),OR(K11=13,K11=14,K11=24),FALSE)</x:f>
        <x:v>0</x:v>
      </x:c>
      <x:c r="R11" s="1777" t="b">
        <x:f>IF(ISNUMBER(K11),K11=0,FALSE)</x:f>
        <x:v>0</x:v>
      </x:c>
      <x:c r="S11" s="1777" t="str">
        <x:f>IF(ISNUMBER(T11),INDEX($L$5:$R$5,1,7-T11),"")</x:f>
      </x:c>
      <x:c r="T11" s="1777" t="str">
        <x:f>IF(ISNUMBER(K11),IF(L11,6,IF(M11,5,IF(N11,4,IF(O11,3,IF(P11,2,IF(Q11,1,0)))))),"")</x:f>
      </x:c>
      <x:c r="U11" s="1790" t="str">
        <x:f>IF(AND(ISNUMBER(T11),ISNUMBER(H11)),IF(AND(H11&gt;=1,H11&lt;=4,MOD(H11,1)=0),T11*10+H11,""),"")</x:f>
      </x:c>
      <x:c r="V11" s="1798"/>
      <x:c r="W11" s="1109"/>
      <x:c r="X11" s="1108"/>
    </x:row>
    <x:row r="12">
      <x:c r="V12" s="893"/>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6.xml><?xml version="1.0" encoding="utf-8"?>
<x:worksheet xmlns:x="http://schemas.openxmlformats.org/spreadsheetml/2006/main">
  <x:sheetPr>
    <x:tabColor rgb="FF92D05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7.5" style="871" hidden="1" customWidth="1"/>
    <x:col min="24" max="24" width="5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3 : RSE · Utiliser le numérique de façon éthique et responsable</x:v>
      </x:c>
      <x:c r="C2" s="1716"/>
      <x:c r="D2" s="1716" t="inlineStr">
        <x:is>
          <x:t xml:space="preserve"> </x:t>
        </x:is>
      </x:c>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7"/>
      <x:c r="W3" s="1168"/>
    </x:row>
    <x:row r="4" ht="27" customHeight="1">
      <x:c r="A4" s="861"/>
      <x:c r="B4" s="1857" t="str">
        <x:v>Cibles à évaluer</x:v>
      </x:c>
      <x:c r="C4" s="1858"/>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826" t="inlineStr">
        <x:is>
          <x:t xml:space="preserve">Mise en œuvre</x:t>
        </x:is>
      </x:c>
      <x:c r="W4" s="1753"/>
      <x:c r="X4" s="1753"/>
    </x:row>
    <x:row r="5" s="868" customFormat="1" ht="56" customHeight="1">
      <x:c r="A5" s="867"/>
      <x:c r="B5" s="1859"/>
      <x:c r="C5" s="1860"/>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863"/>
      <x:c r="W6" s="1864"/>
    </x:row>
    <x:row r="7" s="952" customFormat="1" ht="70" customHeight="1">
      <x:c r="A7" s="951"/>
      <x:c r="B7" s="1804" t="inlineStr">
        <x:is>
          <x:t xml:space="preserve">3.1</x:t>
        </x:is>
      </x:c>
      <x:c r="C7" s="1796" t="inlineStr">
        <x:is>
          <x:t xml:space="preserve">Utiliser avec mesure les données des étudiants, des personnels et de la recherche, y compris les traces d'apprentissage collectées par le LMS, en respectant les personnes et l'environnement.</x:t>
        </x:is>
      </x:c>
      <x:c r="D7" s="1798"/>
      <x:c r="E7" s="1802"/>
      <x:c r="F7" s="1802"/>
      <x:c r="G7" s="1798"/>
      <x:c r="H7" s="1802"/>
      <x:c r="I7" s="1798"/>
      <x:c r="J7" s="1806" t="str">
        <x:f t="shared" ref="J7:J13"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13" si="1">IF(ISNUMBER(T7),INDEX($L$5:$R$5,1,7-T7),"")</x:f>
      </x:c>
      <x:c r="T7" s="1783" t="str">
        <x:f t="shared" ref="T7:T13" si="2">IF(ISNUMBER(K7),IF(L7,6,IF(M7,5,IF(N7,4,IF(O7,3,IF(P7,2,IF(Q7,1,0)))))),"")</x:f>
      </x:c>
      <x:c r="U7" s="1783" t="str">
        <x:f t="shared" ref="U7:U13" si="3">IF(AND(ISNUMBER(T7),ISNUMBER(H7)),IF(AND(H7&gt;=1,H7&lt;=4,MOD(H7,1)=0),T7*10+H7,""),"")</x:f>
      </x:c>
      <x:c r="V7" s="1798"/>
      <x:c r="W7" s="1130"/>
      <x:c r="X7" s="1114"/>
      <x:c r="Y7" s="997"/>
      <x:c r="Z7" s="997"/>
    </x:row>
    <x:row r="8" s="952" customFormat="1" ht="76" customHeight="1">
      <x:c r="A8" s="951"/>
      <x:c r="B8" s="1804" t="inlineStr">
        <x:is>
          <x:t xml:space="preserve">3.2</x:t>
        </x:is>
      </x:c>
      <x:c r="C8" s="1796" t="inlineStr">
        <x:is>
          <x:t xml:space="preserve">Supprimer des services numériques de l'établissement les interfaces qui trompent ou poussent les utilisateurs (« dark patterns »), et respecter la réglementation.</x:t>
        </x:is>
      </x:c>
      <x:c r="D8" s="1798"/>
      <x:c r="E8" s="1802"/>
      <x:c r="F8" s="1802"/>
      <x:c r="G8" s="1798"/>
      <x:c r="H8" s="1802"/>
      <x:c r="I8" s="1798"/>
      <x:c r="J8" s="1806" t="str">
        <x:f t="shared" si="0">S8</x:f>
      </x:c>
      <x:c r="K8" s="1783" t="str">
        <x:f t="shared" ref="K8:K13" si="4">IF(IF(ISNUMBER(E8),AND(E8&gt;=0,E8&lt;=3,MOD(E8,1)=0),FALSE),IF(E8=0,0,IF(IF(ISNUMBER(F8),AND(F8&gt;=1,F8&lt;=4,MOD(F8,1)=0),FALSE),E8*10+F8,"")),"")</x:f>
      </x:c>
      <x:c r="L8" s="1783" t="b">
        <x:f t="shared" ref="L8:L13" si="5">IF(ISNUMBER(K8),K8=31,FALSE)</x:f>
        <x:v>0</x:v>
      </x:c>
      <x:c r="M8" s="1783" t="b">
        <x:f t="shared" ref="M8:M13" si="6">IF(ISNUMBER(K8),OR(K8=21,K8=32),FALSE)</x:f>
        <x:v>0</x:v>
      </x:c>
      <x:c r="N8" s="1783" t="b">
        <x:f t="shared" ref="N8:N13" si="7">IF(ISNUMBER(K8),OR(K8=22,K8=33),FALSE)</x:f>
        <x:v>0</x:v>
      </x:c>
      <x:c r="O8" s="1783" t="b">
        <x:f t="shared" ref="O8:O13" si="8">IF(ISNUMBER(K8),OR(K8=11,K8=12),FALSE)</x:f>
        <x:v>0</x:v>
      </x:c>
      <x:c r="P8" s="1783" t="b">
        <x:f t="shared" ref="P8:P13" si="9">IF(ISNUMBER(K8),OR(K8=23,K8=34),FALSE)</x:f>
        <x:v>0</x:v>
      </x:c>
      <x:c r="Q8" s="1783" t="b">
        <x:f t="shared" ref="Q8:Q13" si="10">IF(ISNUMBER(K8),OR(K8=13,K8=14,K8=24),FALSE)</x:f>
        <x:v>0</x:v>
      </x:c>
      <x:c r="R8" s="1783" t="b">
        <x:f t="shared" ref="R8:R13" si="11">IF(ISNUMBER(K8),K8=0,FALSE)</x:f>
        <x:v>0</x:v>
      </x:c>
      <x:c r="S8" s="1783" t="str">
        <x:f t="shared" si="1">IF(ISNUMBER(T8),INDEX($L$5:$R$5,1,7-T8),"")</x:f>
      </x:c>
      <x:c r="T8" s="1783" t="str">
        <x:f t="shared" si="2">IF(ISNUMBER(K8),IF(L8,6,IF(M8,5,IF(N8,4,IF(O8,3,IF(P8,2,IF(Q8,1,0)))))),"")</x:f>
      </x:c>
      <x:c r="U8" s="1783" t="str">
        <x:f t="shared" si="3">IF(AND(ISNUMBER(T8),ISNUMBER(H8)),IF(AND(H8&gt;=1,H8&lt;=4,MOD(H8,1)=0),T8*10+H8,""),"")</x:f>
      </x:c>
      <x:c r="V8" s="1798"/>
      <x:c r="W8" s="1109"/>
      <x:c r="X8" s="1108"/>
    </x:row>
    <x:row r="9" s="952" customFormat="1" ht="91" customHeight="1">
      <x:c r="A9" s="951"/>
      <x:c r="B9" s="1804" t="inlineStr">
        <x:is>
          <x:t xml:space="preserve">3.3</x:t>
        </x:is>
      </x:c>
      <x:c r="C9" s="1796" t="inlineStr">
        <x:is>
          <x:t xml:space="preserve">Collecter seulement les données nécessaires dans les applications de scolarité, le LMS et les projets de recherche, et respecter le RGPD avec l'appui du délégué à la protection des données.</x:t>
        </x:is>
      </x:c>
      <x:c r="D9" s="1798"/>
      <x:c r="E9" s="1802"/>
      <x:c r="F9" s="1802"/>
      <x:c r="G9" s="1798"/>
      <x:c r="H9" s="1802"/>
      <x:c r="I9" s="1798"/>
      <x:c r="J9" s="1806" t="str">
        <x:f t="shared" si="0">S9</x:f>
      </x:c>
      <x:c r="K9" s="1777" t="str">
        <x:f t="shared" si="4">IF(IF(ISNUMBER(E9),AND(E9&gt;=0,E9&lt;=3,MOD(E9,1)=0),FALSE),IF(E9=0,0,IF(IF(ISNUMBER(F9),AND(F9&gt;=1,F9&lt;=4,MOD(F9,1)=0),FALSE),E9*10+F9,"")),"")</x:f>
      </x:c>
      <x:c r="L9" s="1777" t="b">
        <x:f t="shared" si="5">IF(ISNUMBER(K9),K9=31,FALSE)</x:f>
        <x:v>0</x:v>
      </x:c>
      <x:c r="M9" s="1777" t="b">
        <x:f t="shared" si="6">IF(ISNUMBER(K9),OR(K9=21,K9=32),FALSE)</x:f>
        <x:v>0</x:v>
      </x:c>
      <x:c r="N9" s="1777" t="b">
        <x:f t="shared" si="7">IF(ISNUMBER(K9),OR(K9=22,K9=33),FALSE)</x:f>
        <x:v>0</x:v>
      </x:c>
      <x:c r="O9" s="1777" t="b">
        <x:f t="shared" si="8">IF(ISNUMBER(K9),OR(K9=11,K9=12),FALSE)</x:f>
        <x:v>0</x:v>
      </x:c>
      <x:c r="P9" s="1777" t="b">
        <x:f t="shared" si="9">IF(ISNUMBER(K9),OR(K9=23,K9=34),FALSE)</x:f>
        <x:v>0</x:v>
      </x:c>
      <x:c r="Q9" s="1777" t="b">
        <x:f t="shared" si="10">IF(ISNUMBER(K9),OR(K9=13,K9=14,K9=24),FALSE)</x:f>
        <x:v>0</x:v>
      </x:c>
      <x:c r="R9" s="1777" t="b">
        <x:f t="shared" si="11">IF(ISNUMBER(K9),K9=0,FALSE)</x:f>
        <x:v>0</x:v>
      </x:c>
      <x:c r="S9" s="1777" t="str">
        <x:f t="shared" si="1">IF(ISNUMBER(T9),INDEX($L$5:$R$5,1,7-T9),"")</x:f>
      </x:c>
      <x:c r="T9" s="1777" t="str">
        <x:f t="shared" si="2">IF(ISNUMBER(K9),IF(L9,6,IF(M9,5,IF(N9,4,IF(O9,3,IF(P9,2,IF(Q9,1,0)))))),"")</x:f>
      </x:c>
      <x:c r="U9" s="1790" t="str">
        <x:f t="shared" si="3">IF(AND(ISNUMBER(T9),ISNUMBER(H9)),IF(AND(H9&gt;=1,H9&lt;=4,MOD(H9,1)=0),T9*10+H9,""),"")</x:f>
      </x:c>
      <x:c r="V9" s="1798"/>
      <x:c r="W9" s="1122"/>
      <x:c r="X9" s="1114"/>
    </x:row>
    <x:row r="10" s="953" customFormat="1" ht="70" customHeight="1">
      <x:c r="A10" s="951"/>
      <x:c r="B10" s="1804" t="inlineStr">
        <x:is>
          <x:t xml:space="preserve">3.4</x:t>
        </x:is>
      </x:c>
      <x:c r="C10" s="1868" t="inlineStr">
        <x:is>
          <x:t xml:space="preserve">Diversifier les profils dans les formations et les métiers du numérique de l'établissement, en particulier la place des femmes.</x:t>
        </x:is>
      </x:c>
      <x:c r="D10" s="1798"/>
      <x:c r="E10" s="1802"/>
      <x:c r="F10" s="1802"/>
      <x:c r="G10" s="1798"/>
      <x:c r="H10" s="1802"/>
      <x:c r="I10" s="1798"/>
      <x:c r="J10" s="1806" t="str">
        <x:f t="shared" si="0">S10</x:f>
      </x:c>
      <x:c r="K10" s="1866" t="str">
        <x:f t="shared" si="4">IF(IF(ISNUMBER(E10),AND(E10&gt;=0,E10&lt;=3,MOD(E10,1)=0),FALSE),IF(E10=0,0,IF(IF(ISNUMBER(F10),AND(F10&gt;=1,F10&lt;=4,MOD(F10,1)=0),FALSE),E10*10+F10,"")),"")</x:f>
      </x:c>
      <x:c r="L10" s="1866" t="b">
        <x:f t="shared" si="5">IF(ISNUMBER(K10),K10=31,FALSE)</x:f>
        <x:v>0</x:v>
      </x:c>
      <x:c r="M10" s="1866" t="b">
        <x:f t="shared" si="6">IF(ISNUMBER(K10),OR(K10=21,K10=32),FALSE)</x:f>
        <x:v>0</x:v>
      </x:c>
      <x:c r="N10" s="1866" t="b">
        <x:f t="shared" si="7">IF(ISNUMBER(K10),OR(K10=22,K10=33),FALSE)</x:f>
        <x:v>0</x:v>
      </x:c>
      <x:c r="O10" s="1866" t="b">
        <x:f t="shared" si="8">IF(ISNUMBER(K10),OR(K10=11,K10=12),FALSE)</x:f>
        <x:v>0</x:v>
      </x:c>
      <x:c r="P10" s="1866" t="b">
        <x:f t="shared" si="9">IF(ISNUMBER(K10),OR(K10=23,K10=34),FALSE)</x:f>
        <x:v>0</x:v>
      </x:c>
      <x:c r="Q10" s="1866" t="b">
        <x:f t="shared" si="10">IF(ISNUMBER(K10),OR(K10=13,K10=14,K10=24),FALSE)</x:f>
        <x:v>0</x:v>
      </x:c>
      <x:c r="R10" s="1866" t="b">
        <x:f t="shared" si="11">IF(ISNUMBER(K10),K10=0,FALSE)</x:f>
        <x:v>0</x:v>
      </x:c>
      <x:c r="S10" s="1866" t="str">
        <x:f t="shared" si="1">IF(ISNUMBER(T10),INDEX($L$5:$R$5,1,7-T10),"")</x:f>
      </x:c>
      <x:c r="T10" s="1866" t="str">
        <x:f t="shared" si="2">IF(ISNUMBER(K10),IF(L10,6,IF(M10,5,IF(N10,4,IF(O10,3,IF(P10,2,IF(Q10,1,0)))))),"")</x:f>
      </x:c>
      <x:c r="U10" s="1866" t="str">
        <x:f t="shared" si="3">IF(AND(ISNUMBER(T10),ISNUMBER(H10)),IF(AND(H10&gt;=1,H10&lt;=4,MOD(H10,1)=0),T10*10+H10,""),"")</x:f>
      </x:c>
      <x:c r="V10" s="1798"/>
      <x:c r="W10" s="1131"/>
      <x:c r="X10" s="1114"/>
      <x:c r="Y10" s="952"/>
      <x:c r="Z10" s="952"/>
      <x:c r="AA10" s="952"/>
      <x:c r="AB10" s="952"/>
      <x:c r="AC10" s="952"/>
      <x:c r="AD10" s="952"/>
      <x:c r="AE10" s="952"/>
      <x:c r="AF10" s="952"/>
      <x:c r="AG10" s="952"/>
      <x:c r="AH10" s="952"/>
      <x:c r="AI10" s="952"/>
      <x:c r="AJ10" s="952"/>
      <x:c r="AK10" s="952"/>
      <x:c r="AL10" s="952"/>
      <x:c r="AM10" s="952"/>
      <x:c r="AN10" s="952"/>
      <x:c r="AO10" s="952"/>
      <x:c r="AP10" s="952"/>
      <x:c r="AQ10" s="952"/>
      <x:c r="AR10" s="952"/>
      <x:c r="AS10" s="952"/>
      <x:c r="AT10" s="952"/>
      <x:c r="AU10" s="952"/>
      <x:c r="AV10" s="952"/>
      <x:c r="AW10" s="952"/>
      <x:c r="AX10" s="952"/>
      <x:c r="AY10" s="952"/>
      <x:c r="AZ10" s="952"/>
      <x:c r="BA10" s="952"/>
      <x:c r="BB10" s="952"/>
      <x:c r="BC10" s="952"/>
      <x:c r="BD10" s="952"/>
      <x:c r="BE10" s="952"/>
      <x:c r="BF10" s="952"/>
      <x:c r="BG10" s="952"/>
      <x:c r="BH10" s="952"/>
      <x:c r="BI10" s="952"/>
      <x:c r="BJ10" s="952"/>
      <x:c r="BK10" s="952"/>
      <x:c r="BL10" s="952"/>
      <x:c r="BM10" s="952"/>
      <x:c r="BN10" s="952"/>
      <x:c r="BO10" s="952"/>
      <x:c r="BP10" s="952"/>
      <x:c r="BQ10" s="952"/>
      <x:c r="BR10" s="952"/>
      <x:c r="BS10" s="952"/>
      <x:c r="BT10" s="952"/>
      <x:c r="BU10" s="952"/>
      <x:c r="BV10" s="952"/>
      <x:c r="BW10" s="952"/>
      <x:c r="BX10" s="952"/>
      <x:c r="BY10" s="952"/>
      <x:c r="BZ10" s="952"/>
      <x:c r="CA10" s="952"/>
      <x:c r="CB10" s="952"/>
      <x:c r="CC10" s="952"/>
      <x:c r="CD10" s="952"/>
      <x:c r="CE10" s="952"/>
      <x:c r="CF10" s="952"/>
      <x:c r="CG10" s="952"/>
      <x:c r="CH10" s="952"/>
      <x:c r="CI10" s="952"/>
      <x:c r="CJ10" s="952"/>
      <x:c r="CK10" s="952"/>
      <x:c r="CL10" s="952"/>
      <x:c r="CM10" s="952"/>
      <x:c r="CN10" s="952"/>
      <x:c r="CO10" s="952"/>
      <x:c r="CP10" s="952"/>
      <x:c r="CQ10" s="952"/>
      <x:c r="CR10" s="952"/>
      <x:c r="CS10" s="952"/>
      <x:c r="CT10" s="952"/>
      <x:c r="CU10" s="952"/>
      <x:c r="CV10" s="952"/>
      <x:c r="CW10" s="952"/>
      <x:c r="CX10" s="952"/>
      <x:c r="CY10" s="952"/>
      <x:c r="CZ10" s="952"/>
      <x:c r="DA10" s="952"/>
      <x:c r="DB10" s="952"/>
      <x:c r="DC10" s="952"/>
      <x:c r="DD10" s="952"/>
      <x:c r="DE10" s="952"/>
      <x:c r="DF10" s="952"/>
      <x:c r="DG10" s="952"/>
      <x:c r="DH10" s="952"/>
      <x:c r="DI10" s="952"/>
      <x:c r="DJ10" s="952"/>
      <x:c r="DK10" s="952"/>
      <x:c r="DL10" s="952"/>
      <x:c r="DM10" s="952"/>
      <x:c r="DN10" s="952"/>
      <x:c r="DO10" s="952"/>
      <x:c r="DP10" s="952"/>
      <x:c r="DQ10" s="952"/>
      <x:c r="DR10" s="952"/>
      <x:c r="DS10" s="952"/>
      <x:c r="DT10" s="952"/>
      <x:c r="DU10" s="952"/>
      <x:c r="DV10" s="952"/>
      <x:c r="DW10" s="952"/>
      <x:c r="DX10" s="952"/>
      <x:c r="DY10" s="952"/>
      <x:c r="DZ10" s="952"/>
      <x:c r="EA10" s="952"/>
      <x:c r="EB10" s="952"/>
      <x:c r="EC10" s="952"/>
      <x:c r="ED10" s="952"/>
      <x:c r="EE10" s="952"/>
      <x:c r="EF10" s="952"/>
      <x:c r="EG10" s="952"/>
      <x:c r="EH10" s="952"/>
      <x:c r="EI10" s="952"/>
      <x:c r="EJ10" s="952"/>
      <x:c r="EK10" s="952"/>
      <x:c r="EL10" s="952"/>
      <x:c r="EM10" s="952"/>
      <x:c r="EN10" s="952"/>
      <x:c r="EO10" s="952"/>
      <x:c r="EP10" s="952"/>
      <x:c r="EQ10" s="952"/>
      <x:c r="ER10" s="952"/>
      <x:c r="ES10" s="952"/>
      <x:c r="ET10" s="952"/>
      <x:c r="EU10" s="952"/>
      <x:c r="EV10" s="952"/>
      <x:c r="EW10" s="952"/>
      <x:c r="EX10" s="952"/>
      <x:c r="EY10" s="952"/>
      <x:c r="EZ10" s="952"/>
      <x:c r="FA10" s="952"/>
      <x:c r="FB10" s="952"/>
      <x:c r="FC10" s="952"/>
      <x:c r="FD10" s="952"/>
      <x:c r="FE10" s="952"/>
      <x:c r="FF10" s="952"/>
      <x:c r="FG10" s="952"/>
      <x:c r="FH10" s="952"/>
      <x:c r="FI10" s="952"/>
      <x:c r="FJ10" s="952"/>
      <x:c r="FK10" s="952"/>
      <x:c r="FL10" s="952"/>
      <x:c r="FM10" s="952"/>
      <x:c r="FN10" s="952"/>
      <x:c r="FO10" s="952"/>
      <x:c r="FP10" s="952"/>
      <x:c r="FQ10" s="952"/>
      <x:c r="FR10" s="952"/>
      <x:c r="FS10" s="952"/>
      <x:c r="FT10" s="952"/>
      <x:c r="FU10" s="952"/>
      <x:c r="FV10" s="952"/>
      <x:c r="FW10" s="952"/>
      <x:c r="FX10" s="952"/>
      <x:c r="FY10" s="952"/>
      <x:c r="FZ10" s="952"/>
      <x:c r="GA10" s="952"/>
      <x:c r="GB10" s="952"/>
      <x:c r="GC10" s="952"/>
      <x:c r="GD10" s="952"/>
      <x:c r="GE10" s="952"/>
      <x:c r="GF10" s="952"/>
      <x:c r="GG10" s="952"/>
      <x:c r="GH10" s="952"/>
      <x:c r="GI10" s="952"/>
      <x:c r="GJ10" s="952"/>
      <x:c r="GK10" s="952"/>
      <x:c r="GL10" s="952"/>
      <x:c r="GM10" s="952"/>
      <x:c r="GN10" s="952"/>
      <x:c r="GO10" s="952"/>
      <x:c r="GP10" s="952"/>
      <x:c r="GQ10" s="952"/>
      <x:c r="GR10" s="952"/>
      <x:c r="GS10" s="952"/>
      <x:c r="GT10" s="952"/>
      <x:c r="GU10" s="952"/>
      <x:c r="GV10" s="952"/>
      <x:c r="GW10" s="952"/>
      <x:c r="GX10" s="952"/>
      <x:c r="GY10" s="952"/>
      <x:c r="GZ10" s="952"/>
      <x:c r="HA10" s="952"/>
      <x:c r="HB10" s="952"/>
      <x:c r="HC10" s="952"/>
      <x:c r="HD10" s="952"/>
      <x:c r="HE10" s="952"/>
      <x:c r="HF10" s="952"/>
      <x:c r="HG10" s="952"/>
      <x:c r="HH10" s="952"/>
      <x:c r="HI10" s="952"/>
      <x:c r="HJ10" s="952"/>
      <x:c r="HK10" s="952"/>
      <x:c r="HL10" s="952"/>
      <x:c r="HM10" s="952"/>
      <x:c r="HN10" s="952"/>
      <x:c r="HO10" s="952"/>
      <x:c r="HP10" s="952"/>
      <x:c r="HQ10" s="952"/>
      <x:c r="HR10" s="952"/>
      <x:c r="HS10" s="952"/>
      <x:c r="HT10" s="952"/>
      <x:c r="HU10" s="952"/>
      <x:c r="HV10" s="952"/>
      <x:c r="HW10" s="952"/>
      <x:c r="HX10" s="952"/>
      <x:c r="HY10" s="952"/>
      <x:c r="HZ10" s="952"/>
      <x:c r="IA10" s="952"/>
      <x:c r="IB10" s="952"/>
      <x:c r="IC10" s="952"/>
      <x:c r="ID10" s="952"/>
      <x:c r="IE10" s="952"/>
      <x:c r="IF10" s="952"/>
      <x:c r="IG10" s="952"/>
      <x:c r="IH10" s="952"/>
      <x:c r="II10" s="952"/>
      <x:c r="IJ10" s="952"/>
      <x:c r="IK10" s="952"/>
      <x:c r="IL10" s="952"/>
      <x:c r="IM10" s="952"/>
      <x:c r="IN10" s="952"/>
      <x:c r="IO10" s="952"/>
      <x:c r="IP10" s="952"/>
      <x:c r="IQ10" s="952"/>
      <x:c r="IR10" s="952"/>
      <x:c r="IS10" s="952"/>
      <x:c r="IT10" s="952"/>
      <x:c r="IU10" s="952"/>
      <x:c r="IV10" s="952"/>
      <x:c r="IW10" s="952"/>
      <x:c r="IX10" s="952"/>
      <x:c r="IY10" s="952"/>
      <x:c r="IZ10" s="952"/>
      <x:c r="JA10" s="952"/>
      <x:c r="JB10" s="952"/>
      <x:c r="JC10" s="952"/>
      <x:c r="JD10" s="952"/>
      <x:c r="JE10" s="952"/>
      <x:c r="JF10" s="952"/>
      <x:c r="JG10" s="952"/>
      <x:c r="JH10" s="952"/>
      <x:c r="JI10" s="952"/>
      <x:c r="JJ10" s="952"/>
      <x:c r="JK10" s="952"/>
      <x:c r="JL10" s="952"/>
      <x:c r="JM10" s="952"/>
      <x:c r="JN10" s="952"/>
      <x:c r="JO10" s="952"/>
      <x:c r="JP10" s="952"/>
      <x:c r="JQ10" s="952"/>
      <x:c r="JR10" s="952"/>
      <x:c r="JS10" s="952"/>
      <x:c r="JT10" s="952"/>
      <x:c r="JU10" s="952"/>
      <x:c r="JV10" s="952"/>
      <x:c r="JW10" s="952"/>
      <x:c r="JX10" s="952"/>
      <x:c r="JY10" s="952"/>
      <x:c r="JZ10" s="952"/>
      <x:c r="KA10" s="952"/>
      <x:c r="KB10" s="952"/>
      <x:c r="KC10" s="952"/>
      <x:c r="KD10" s="952"/>
      <x:c r="KE10" s="952"/>
      <x:c r="KF10" s="952"/>
      <x:c r="KG10" s="952"/>
      <x:c r="KH10" s="952"/>
      <x:c r="KI10" s="952"/>
      <x:c r="KJ10" s="952"/>
      <x:c r="KK10" s="952"/>
      <x:c r="KL10" s="952"/>
      <x:c r="KM10" s="952"/>
      <x:c r="KN10" s="952"/>
      <x:c r="KO10" s="952"/>
      <x:c r="KP10" s="952"/>
      <x:c r="KQ10" s="952"/>
      <x:c r="KR10" s="952"/>
      <x:c r="KS10" s="952"/>
      <x:c r="KT10" s="952"/>
      <x:c r="KU10" s="952"/>
      <x:c r="KV10" s="952"/>
      <x:c r="KW10" s="952"/>
      <x:c r="KX10" s="952"/>
      <x:c r="KY10" s="952"/>
      <x:c r="KZ10" s="952"/>
      <x:c r="LA10" s="952"/>
      <x:c r="LB10" s="952"/>
      <x:c r="LC10" s="952"/>
      <x:c r="LD10" s="952"/>
      <x:c r="LE10" s="952"/>
      <x:c r="LF10" s="952"/>
      <x:c r="LG10" s="952"/>
      <x:c r="LH10" s="952"/>
      <x:c r="LI10" s="952"/>
      <x:c r="LJ10" s="952"/>
      <x:c r="LK10" s="952"/>
      <x:c r="LL10" s="952"/>
      <x:c r="LM10" s="952"/>
      <x:c r="LN10" s="952"/>
      <x:c r="LO10" s="952"/>
      <x:c r="LP10" s="952"/>
      <x:c r="LQ10" s="952"/>
      <x:c r="LR10" s="952"/>
      <x:c r="LS10" s="952"/>
      <x:c r="LT10" s="952"/>
      <x:c r="LU10" s="952"/>
      <x:c r="LV10" s="952"/>
      <x:c r="LW10" s="952"/>
      <x:c r="LX10" s="952"/>
      <x:c r="LY10" s="952"/>
      <x:c r="LZ10" s="952"/>
      <x:c r="MA10" s="952"/>
      <x:c r="MB10" s="952"/>
      <x:c r="MC10" s="952"/>
      <x:c r="MD10" s="952"/>
      <x:c r="ME10" s="952"/>
      <x:c r="MF10" s="952"/>
      <x:c r="MG10" s="952"/>
      <x:c r="MH10" s="952"/>
      <x:c r="MI10" s="952"/>
      <x:c r="MJ10" s="952"/>
      <x:c r="MK10" s="952"/>
      <x:c r="ML10" s="952"/>
      <x:c r="MM10" s="952"/>
      <x:c r="MN10" s="952"/>
      <x:c r="MO10" s="952"/>
      <x:c r="MP10" s="952"/>
      <x:c r="MQ10" s="952"/>
      <x:c r="MR10" s="952"/>
      <x:c r="MS10" s="952"/>
      <x:c r="MT10" s="952"/>
      <x:c r="MU10" s="952"/>
      <x:c r="MV10" s="952"/>
      <x:c r="MW10" s="952"/>
      <x:c r="MX10" s="952"/>
      <x:c r="MY10" s="952"/>
      <x:c r="MZ10" s="952"/>
      <x:c r="NA10" s="952"/>
      <x:c r="NB10" s="952"/>
      <x:c r="NC10" s="952"/>
      <x:c r="ND10" s="952"/>
      <x:c r="NE10" s="952"/>
      <x:c r="NF10" s="952"/>
      <x:c r="NG10" s="952"/>
      <x:c r="NH10" s="952"/>
      <x:c r="NI10" s="952"/>
      <x:c r="NJ10" s="952"/>
      <x:c r="NK10" s="952"/>
      <x:c r="NL10" s="952"/>
      <x:c r="NM10" s="952"/>
      <x:c r="NN10" s="952"/>
      <x:c r="NO10" s="952"/>
      <x:c r="NP10" s="952"/>
      <x:c r="NQ10" s="952"/>
      <x:c r="NR10" s="952"/>
      <x:c r="NS10" s="952"/>
      <x:c r="NT10" s="952"/>
      <x:c r="NU10" s="952"/>
      <x:c r="NV10" s="952"/>
      <x:c r="NW10" s="952"/>
      <x:c r="NX10" s="952"/>
      <x:c r="NY10" s="952"/>
      <x:c r="NZ10" s="952"/>
      <x:c r="OA10" s="952"/>
      <x:c r="OB10" s="952"/>
      <x:c r="OC10" s="952"/>
      <x:c r="OD10" s="952"/>
      <x:c r="OE10" s="952"/>
      <x:c r="OF10" s="952"/>
      <x:c r="OG10" s="952"/>
      <x:c r="OH10" s="952"/>
      <x:c r="OI10" s="952"/>
      <x:c r="OJ10" s="952"/>
      <x:c r="OK10" s="952"/>
      <x:c r="OL10" s="952"/>
      <x:c r="OM10" s="952"/>
      <x:c r="ON10" s="952"/>
      <x:c r="OO10" s="952"/>
      <x:c r="OP10" s="952"/>
      <x:c r="OQ10" s="952"/>
      <x:c r="OR10" s="952"/>
      <x:c r="OS10" s="952"/>
      <x:c r="OT10" s="952"/>
      <x:c r="OU10" s="952"/>
      <x:c r="OV10" s="952"/>
      <x:c r="OW10" s="952"/>
      <x:c r="OX10" s="952"/>
      <x:c r="OY10" s="952"/>
      <x:c r="OZ10" s="952"/>
      <x:c r="PA10" s="952"/>
      <x:c r="PB10" s="952"/>
      <x:c r="PC10" s="952"/>
      <x:c r="PD10" s="952"/>
      <x:c r="PE10" s="952"/>
      <x:c r="PF10" s="952"/>
      <x:c r="PG10" s="952"/>
      <x:c r="PH10" s="952"/>
      <x:c r="PI10" s="952"/>
      <x:c r="PJ10" s="952"/>
      <x:c r="PK10" s="952"/>
      <x:c r="PL10" s="952"/>
      <x:c r="PM10" s="952"/>
      <x:c r="PN10" s="952"/>
      <x:c r="PO10" s="952"/>
      <x:c r="PP10" s="952"/>
      <x:c r="PQ10" s="952"/>
      <x:c r="PR10" s="952"/>
      <x:c r="PS10" s="952"/>
      <x:c r="PT10" s="952"/>
      <x:c r="PU10" s="952"/>
      <x:c r="PV10" s="952"/>
      <x:c r="PW10" s="952"/>
      <x:c r="PX10" s="952"/>
      <x:c r="PY10" s="952"/>
      <x:c r="PZ10" s="952"/>
      <x:c r="QA10" s="952"/>
      <x:c r="QB10" s="952"/>
      <x:c r="QC10" s="952"/>
      <x:c r="QD10" s="952"/>
      <x:c r="QE10" s="952"/>
    </x:row>
    <x:row r="11" s="953" customFormat="1" ht="70" customHeight="1">
      <x:c r="A11" s="951"/>
      <x:c r="B11" s="1804" t="inlineStr">
        <x:is>
          <x:t xml:space="preserve">3.5</x:t>
        </x:is>
      </x:c>
      <x:c r="C11" s="1796" t="inlineStr">
        <x:is>
          <x:t xml:space="preserve">Améliorer les conditions de travail des personnels du numérique, des doctorants et des contractuels, et les exiger des prestataires.</x:t>
        </x:is>
      </x:c>
      <x:c r="D11" s="1798"/>
      <x:c r="E11" s="1802"/>
      <x:c r="F11" s="1802"/>
      <x:c r="G11" s="1798"/>
      <x:c r="H11" s="1802"/>
      <x:c r="I11" s="1798"/>
      <x:c r="J11" s="1806" t="str">
        <x:f t="shared" si="0">S11</x:f>
      </x:c>
      <x:c r="K11" s="1783" t="str">
        <x:f t="shared" si="4">IF(IF(ISNUMBER(E11),AND(E11&gt;=0,E11&lt;=3,MOD(E11,1)=0),FALSE),IF(E11=0,0,IF(IF(ISNUMBER(F11),AND(F11&gt;=1,F11&lt;=4,MOD(F11,1)=0),FALSE),E11*10+F11,"")),"")</x:f>
      </x:c>
      <x:c r="L11" s="1783" t="b">
        <x:f t="shared" si="5">IF(ISNUMBER(K11),K11=31,FALSE)</x:f>
        <x:v>0</x:v>
      </x:c>
      <x:c r="M11" s="1783" t="b">
        <x:f t="shared" si="6">IF(ISNUMBER(K11),OR(K11=21,K11=32),FALSE)</x:f>
        <x:v>0</x:v>
      </x:c>
      <x:c r="N11" s="1783" t="b">
        <x:f t="shared" si="7">IF(ISNUMBER(K11),OR(K11=22,K11=33),FALSE)</x:f>
        <x:v>0</x:v>
      </x:c>
      <x:c r="O11" s="1783" t="b">
        <x:f t="shared" si="8">IF(ISNUMBER(K11),OR(K11=11,K11=12),FALSE)</x:f>
        <x:v>0</x:v>
      </x:c>
      <x:c r="P11" s="1783" t="b">
        <x:f t="shared" si="9">IF(ISNUMBER(K11),OR(K11=23,K11=34),FALSE)</x:f>
        <x:v>0</x:v>
      </x:c>
      <x:c r="Q11" s="1783" t="b">
        <x:f t="shared" si="10">IF(ISNUMBER(K11),OR(K11=13,K11=14,K11=24),FALSE)</x:f>
        <x:v>0</x:v>
      </x:c>
      <x:c r="R11" s="1783" t="b">
        <x:f t="shared" si="11">IF(ISNUMBER(K11),K11=0,FALSE)</x:f>
        <x:v>0</x:v>
      </x:c>
      <x:c r="S11" s="1783" t="str">
        <x:f t="shared" si="1">IF(ISNUMBER(T11),INDEX($L$5:$R$5,1,7-T11),"")</x:f>
      </x:c>
      <x:c r="T11" s="1783" t="str">
        <x:f t="shared" si="2">IF(ISNUMBER(K11),IF(L11,6,IF(M11,5,IF(N11,4,IF(O11,3,IF(P11,2,IF(Q11,1,0)))))),"")</x:f>
      </x:c>
      <x:c r="U11" s="1783" t="str">
        <x:f t="shared" si="3">IF(AND(ISNUMBER(T11),ISNUMBER(H11)),IF(AND(H11&gt;=1,H11&lt;=4,MOD(H11,1)=0),T11*10+H11,""),"")</x:f>
      </x:c>
      <x:c r="V11" s="1798"/>
      <x:c r="W11" s="1112"/>
      <x:c r="X11" s="1108"/>
      <x:c r="Y11" s="952"/>
      <x:c r="Z11" s="952"/>
      <x:c r="AA11" s="952"/>
      <x:c r="AB11" s="952"/>
      <x:c r="AC11" s="952"/>
      <x:c r="AD11" s="952"/>
      <x:c r="AE11" s="952"/>
      <x:c r="AF11" s="952"/>
      <x:c r="AG11" s="952"/>
      <x:c r="AH11" s="952"/>
      <x:c r="AI11" s="952"/>
      <x:c r="AJ11" s="952"/>
      <x:c r="AK11" s="952"/>
      <x:c r="AL11" s="952"/>
      <x:c r="AM11" s="952"/>
      <x:c r="AN11" s="952"/>
      <x:c r="AO11" s="952"/>
      <x:c r="AP11" s="952"/>
      <x:c r="AQ11" s="952"/>
      <x:c r="AR11" s="952"/>
      <x:c r="AS11" s="952"/>
      <x:c r="AT11" s="952"/>
      <x:c r="AU11" s="952"/>
      <x:c r="AV11" s="952"/>
      <x:c r="AW11" s="952"/>
      <x:c r="AX11" s="952"/>
      <x:c r="AY11" s="952"/>
      <x:c r="AZ11" s="952"/>
      <x:c r="BA11" s="952"/>
      <x:c r="BB11" s="952"/>
      <x:c r="BC11" s="952"/>
      <x:c r="BD11" s="952"/>
      <x:c r="BE11" s="952"/>
      <x:c r="BF11" s="952"/>
      <x:c r="BG11" s="952"/>
      <x:c r="BH11" s="952"/>
      <x:c r="BI11" s="952"/>
      <x:c r="BJ11" s="952"/>
      <x:c r="BK11" s="952"/>
      <x:c r="BL11" s="952"/>
      <x:c r="BM11" s="952"/>
      <x:c r="BN11" s="952"/>
      <x:c r="BO11" s="952"/>
      <x:c r="BP11" s="952"/>
      <x:c r="BQ11" s="952"/>
      <x:c r="BR11" s="952"/>
      <x:c r="BS11" s="952"/>
      <x:c r="BT11" s="952"/>
      <x:c r="BU11" s="952"/>
      <x:c r="BV11" s="952"/>
      <x:c r="BW11" s="952"/>
      <x:c r="BX11" s="952"/>
      <x:c r="BY11" s="952"/>
      <x:c r="BZ11" s="952"/>
      <x:c r="CA11" s="952"/>
      <x:c r="CB11" s="952"/>
      <x:c r="CC11" s="952"/>
      <x:c r="CD11" s="952"/>
      <x:c r="CE11" s="952"/>
      <x:c r="CF11" s="952"/>
      <x:c r="CG11" s="952"/>
      <x:c r="CH11" s="952"/>
      <x:c r="CI11" s="952"/>
      <x:c r="CJ11" s="952"/>
      <x:c r="CK11" s="952"/>
      <x:c r="CL11" s="952"/>
      <x:c r="CM11" s="952"/>
      <x:c r="CN11" s="952"/>
      <x:c r="CO11" s="952"/>
      <x:c r="CP11" s="952"/>
      <x:c r="CQ11" s="952"/>
      <x:c r="CR11" s="952"/>
      <x:c r="CS11" s="952"/>
      <x:c r="CT11" s="952"/>
      <x:c r="CU11" s="952"/>
      <x:c r="CV11" s="952"/>
      <x:c r="CW11" s="952"/>
      <x:c r="CX11" s="952"/>
      <x:c r="CY11" s="952"/>
      <x:c r="CZ11" s="952"/>
      <x:c r="DA11" s="952"/>
      <x:c r="DB11" s="952"/>
      <x:c r="DC11" s="952"/>
      <x:c r="DD11" s="952"/>
      <x:c r="DE11" s="952"/>
      <x:c r="DF11" s="952"/>
      <x:c r="DG11" s="952"/>
      <x:c r="DH11" s="952"/>
      <x:c r="DI11" s="952"/>
      <x:c r="DJ11" s="952"/>
      <x:c r="DK11" s="952"/>
      <x:c r="DL11" s="952"/>
      <x:c r="DM11" s="952"/>
      <x:c r="DN11" s="952"/>
      <x:c r="DO11" s="952"/>
      <x:c r="DP11" s="952"/>
      <x:c r="DQ11" s="952"/>
      <x:c r="DR11" s="952"/>
      <x:c r="DS11" s="952"/>
      <x:c r="DT11" s="952"/>
      <x:c r="DU11" s="952"/>
      <x:c r="DV11" s="952"/>
      <x:c r="DW11" s="952"/>
      <x:c r="DX11" s="952"/>
      <x:c r="DY11" s="952"/>
      <x:c r="DZ11" s="952"/>
      <x:c r="EA11" s="952"/>
      <x:c r="EB11" s="952"/>
      <x:c r="EC11" s="952"/>
      <x:c r="ED11" s="952"/>
      <x:c r="EE11" s="952"/>
      <x:c r="EF11" s="952"/>
      <x:c r="EG11" s="952"/>
      <x:c r="EH11" s="952"/>
      <x:c r="EI11" s="952"/>
      <x:c r="EJ11" s="952"/>
      <x:c r="EK11" s="952"/>
      <x:c r="EL11" s="952"/>
      <x:c r="EM11" s="952"/>
      <x:c r="EN11" s="952"/>
      <x:c r="EO11" s="952"/>
      <x:c r="EP11" s="952"/>
      <x:c r="EQ11" s="952"/>
      <x:c r="ER11" s="952"/>
      <x:c r="ES11" s="952"/>
      <x:c r="ET11" s="952"/>
      <x:c r="EU11" s="952"/>
      <x:c r="EV11" s="952"/>
      <x:c r="EW11" s="952"/>
      <x:c r="EX11" s="952"/>
      <x:c r="EY11" s="952"/>
      <x:c r="EZ11" s="952"/>
      <x:c r="FA11" s="952"/>
      <x:c r="FB11" s="952"/>
      <x:c r="FC11" s="952"/>
      <x:c r="FD11" s="952"/>
      <x:c r="FE11" s="952"/>
      <x:c r="FF11" s="952"/>
      <x:c r="FG11" s="952"/>
      <x:c r="FH11" s="952"/>
      <x:c r="FI11" s="952"/>
      <x:c r="FJ11" s="952"/>
      <x:c r="FK11" s="952"/>
      <x:c r="FL11" s="952"/>
      <x:c r="FM11" s="952"/>
      <x:c r="FN11" s="952"/>
      <x:c r="FO11" s="952"/>
      <x:c r="FP11" s="952"/>
      <x:c r="FQ11" s="952"/>
      <x:c r="FR11" s="952"/>
      <x:c r="FS11" s="952"/>
      <x:c r="FT11" s="952"/>
      <x:c r="FU11" s="952"/>
      <x:c r="FV11" s="952"/>
      <x:c r="FW11" s="952"/>
      <x:c r="FX11" s="952"/>
      <x:c r="FY11" s="952"/>
      <x:c r="FZ11" s="952"/>
      <x:c r="GA11" s="952"/>
      <x:c r="GB11" s="952"/>
      <x:c r="GC11" s="952"/>
      <x:c r="GD11" s="952"/>
      <x:c r="GE11" s="952"/>
      <x:c r="GF11" s="952"/>
      <x:c r="GG11" s="952"/>
      <x:c r="GH11" s="952"/>
      <x:c r="GI11" s="952"/>
      <x:c r="GJ11" s="952"/>
      <x:c r="GK11" s="952"/>
      <x:c r="GL11" s="952"/>
      <x:c r="GM11" s="952"/>
      <x:c r="GN11" s="952"/>
      <x:c r="GO11" s="952"/>
      <x:c r="GP11" s="952"/>
      <x:c r="GQ11" s="952"/>
      <x:c r="GR11" s="952"/>
      <x:c r="GS11" s="952"/>
      <x:c r="GT11" s="952"/>
      <x:c r="GU11" s="952"/>
      <x:c r="GV11" s="952"/>
      <x:c r="GW11" s="952"/>
      <x:c r="GX11" s="952"/>
      <x:c r="GY11" s="952"/>
      <x:c r="GZ11" s="952"/>
      <x:c r="HA11" s="952"/>
      <x:c r="HB11" s="952"/>
      <x:c r="HC11" s="952"/>
      <x:c r="HD11" s="952"/>
      <x:c r="HE11" s="952"/>
      <x:c r="HF11" s="952"/>
      <x:c r="HG11" s="952"/>
      <x:c r="HH11" s="952"/>
      <x:c r="HI11" s="952"/>
      <x:c r="HJ11" s="952"/>
      <x:c r="HK11" s="952"/>
      <x:c r="HL11" s="952"/>
      <x:c r="HM11" s="952"/>
      <x:c r="HN11" s="952"/>
      <x:c r="HO11" s="952"/>
      <x:c r="HP11" s="952"/>
      <x:c r="HQ11" s="952"/>
      <x:c r="HR11" s="952"/>
      <x:c r="HS11" s="952"/>
      <x:c r="HT11" s="952"/>
      <x:c r="HU11" s="952"/>
      <x:c r="HV11" s="952"/>
      <x:c r="HW11" s="952"/>
      <x:c r="HX11" s="952"/>
      <x:c r="HY11" s="952"/>
      <x:c r="HZ11" s="952"/>
      <x:c r="IA11" s="952"/>
      <x:c r="IB11" s="952"/>
      <x:c r="IC11" s="952"/>
      <x:c r="ID11" s="952"/>
      <x:c r="IE11" s="952"/>
      <x:c r="IF11" s="952"/>
      <x:c r="IG11" s="952"/>
      <x:c r="IH11" s="952"/>
      <x:c r="II11" s="952"/>
      <x:c r="IJ11" s="952"/>
      <x:c r="IK11" s="952"/>
      <x:c r="IL11" s="952"/>
      <x:c r="IM11" s="952"/>
      <x:c r="IN11" s="952"/>
      <x:c r="IO11" s="952"/>
      <x:c r="IP11" s="952"/>
      <x:c r="IQ11" s="952"/>
      <x:c r="IR11" s="952"/>
      <x:c r="IS11" s="952"/>
      <x:c r="IT11" s="952"/>
      <x:c r="IU11" s="952"/>
      <x:c r="IV11" s="952"/>
      <x:c r="IW11" s="952"/>
      <x:c r="IX11" s="952"/>
      <x:c r="IY11" s="952"/>
      <x:c r="IZ11" s="952"/>
      <x:c r="JA11" s="952"/>
      <x:c r="JB11" s="952"/>
      <x:c r="JC11" s="952"/>
      <x:c r="JD11" s="952"/>
      <x:c r="JE11" s="952"/>
      <x:c r="JF11" s="952"/>
      <x:c r="JG11" s="952"/>
      <x:c r="JH11" s="952"/>
      <x:c r="JI11" s="952"/>
      <x:c r="JJ11" s="952"/>
      <x:c r="JK11" s="952"/>
      <x:c r="JL11" s="952"/>
      <x:c r="JM11" s="952"/>
      <x:c r="JN11" s="952"/>
      <x:c r="JO11" s="952"/>
      <x:c r="JP11" s="952"/>
      <x:c r="JQ11" s="952"/>
      <x:c r="JR11" s="952"/>
      <x:c r="JS11" s="952"/>
      <x:c r="JT11" s="952"/>
      <x:c r="JU11" s="952"/>
      <x:c r="JV11" s="952"/>
      <x:c r="JW11" s="952"/>
      <x:c r="JX11" s="952"/>
      <x:c r="JY11" s="952"/>
      <x:c r="JZ11" s="952"/>
      <x:c r="KA11" s="952"/>
      <x:c r="KB11" s="952"/>
      <x:c r="KC11" s="952"/>
      <x:c r="KD11" s="952"/>
      <x:c r="KE11" s="952"/>
      <x:c r="KF11" s="952"/>
      <x:c r="KG11" s="952"/>
      <x:c r="KH11" s="952"/>
      <x:c r="KI11" s="952"/>
      <x:c r="KJ11" s="952"/>
      <x:c r="KK11" s="952"/>
      <x:c r="KL11" s="952"/>
      <x:c r="KM11" s="952"/>
      <x:c r="KN11" s="952"/>
      <x:c r="KO11" s="952"/>
      <x:c r="KP11" s="952"/>
      <x:c r="KQ11" s="952"/>
      <x:c r="KR11" s="952"/>
      <x:c r="KS11" s="952"/>
      <x:c r="KT11" s="952"/>
      <x:c r="KU11" s="952"/>
      <x:c r="KV11" s="952"/>
      <x:c r="KW11" s="952"/>
      <x:c r="KX11" s="952"/>
      <x:c r="KY11" s="952"/>
      <x:c r="KZ11" s="952"/>
      <x:c r="LA11" s="952"/>
      <x:c r="LB11" s="952"/>
      <x:c r="LC11" s="952"/>
      <x:c r="LD11" s="952"/>
      <x:c r="LE11" s="952"/>
      <x:c r="LF11" s="952"/>
      <x:c r="LG11" s="952"/>
      <x:c r="LH11" s="952"/>
      <x:c r="LI11" s="952"/>
      <x:c r="LJ11" s="952"/>
      <x:c r="LK11" s="952"/>
      <x:c r="LL11" s="952"/>
      <x:c r="LM11" s="952"/>
      <x:c r="LN11" s="952"/>
      <x:c r="LO11" s="952"/>
      <x:c r="LP11" s="952"/>
      <x:c r="LQ11" s="952"/>
      <x:c r="LR11" s="952"/>
      <x:c r="LS11" s="952"/>
      <x:c r="LT11" s="952"/>
      <x:c r="LU11" s="952"/>
      <x:c r="LV11" s="952"/>
      <x:c r="LW11" s="952"/>
      <x:c r="LX11" s="952"/>
      <x:c r="LY11" s="952"/>
      <x:c r="LZ11" s="952"/>
      <x:c r="MA11" s="952"/>
      <x:c r="MB11" s="952"/>
      <x:c r="MC11" s="952"/>
      <x:c r="MD11" s="952"/>
      <x:c r="ME11" s="952"/>
      <x:c r="MF11" s="952"/>
      <x:c r="MG11" s="952"/>
      <x:c r="MH11" s="952"/>
      <x:c r="MI11" s="952"/>
      <x:c r="MJ11" s="952"/>
      <x:c r="MK11" s="952"/>
      <x:c r="ML11" s="952"/>
      <x:c r="MM11" s="952"/>
      <x:c r="MN11" s="952"/>
      <x:c r="MO11" s="952"/>
      <x:c r="MP11" s="952"/>
      <x:c r="MQ11" s="952"/>
      <x:c r="MR11" s="952"/>
      <x:c r="MS11" s="952"/>
      <x:c r="MT11" s="952"/>
      <x:c r="MU11" s="952"/>
      <x:c r="MV11" s="952"/>
      <x:c r="MW11" s="952"/>
      <x:c r="MX11" s="952"/>
      <x:c r="MY11" s="952"/>
      <x:c r="MZ11" s="952"/>
      <x:c r="NA11" s="952"/>
      <x:c r="NB11" s="952"/>
      <x:c r="NC11" s="952"/>
      <x:c r="ND11" s="952"/>
      <x:c r="NE11" s="952"/>
      <x:c r="NF11" s="952"/>
      <x:c r="NG11" s="952"/>
      <x:c r="NH11" s="952"/>
      <x:c r="NI11" s="952"/>
      <x:c r="NJ11" s="952"/>
      <x:c r="NK11" s="952"/>
      <x:c r="NL11" s="952"/>
      <x:c r="NM11" s="952"/>
      <x:c r="NN11" s="952"/>
      <x:c r="NO11" s="952"/>
      <x:c r="NP11" s="952"/>
      <x:c r="NQ11" s="952"/>
      <x:c r="NR11" s="952"/>
      <x:c r="NS11" s="952"/>
      <x:c r="NT11" s="952"/>
      <x:c r="NU11" s="952"/>
      <x:c r="NV11" s="952"/>
      <x:c r="NW11" s="952"/>
      <x:c r="NX11" s="952"/>
      <x:c r="NY11" s="952"/>
      <x:c r="NZ11" s="952"/>
      <x:c r="OA11" s="952"/>
      <x:c r="OB11" s="952"/>
      <x:c r="OC11" s="952"/>
      <x:c r="OD11" s="952"/>
      <x:c r="OE11" s="952"/>
      <x:c r="OF11" s="952"/>
      <x:c r="OG11" s="952"/>
      <x:c r="OH11" s="952"/>
      <x:c r="OI11" s="952"/>
      <x:c r="OJ11" s="952"/>
      <x:c r="OK11" s="952"/>
      <x:c r="OL11" s="952"/>
      <x:c r="OM11" s="952"/>
      <x:c r="ON11" s="952"/>
      <x:c r="OO11" s="952"/>
      <x:c r="OP11" s="952"/>
      <x:c r="OQ11" s="952"/>
      <x:c r="OR11" s="952"/>
      <x:c r="OS11" s="952"/>
      <x:c r="OT11" s="952"/>
      <x:c r="OU11" s="952"/>
      <x:c r="OV11" s="952"/>
      <x:c r="OW11" s="952"/>
      <x:c r="OX11" s="952"/>
      <x:c r="OY11" s="952"/>
      <x:c r="OZ11" s="952"/>
      <x:c r="PA11" s="952"/>
      <x:c r="PB11" s="952"/>
      <x:c r="PC11" s="952"/>
      <x:c r="PD11" s="952"/>
      <x:c r="PE11" s="952"/>
      <x:c r="PF11" s="952"/>
      <x:c r="PG11" s="952"/>
      <x:c r="PH11" s="952"/>
      <x:c r="PI11" s="952"/>
      <x:c r="PJ11" s="952"/>
      <x:c r="PK11" s="952"/>
      <x:c r="PL11" s="952"/>
      <x:c r="PM11" s="952"/>
      <x:c r="PN11" s="952"/>
      <x:c r="PO11" s="952"/>
      <x:c r="PP11" s="952"/>
      <x:c r="PQ11" s="952"/>
      <x:c r="PR11" s="952"/>
      <x:c r="PS11" s="952"/>
      <x:c r="PT11" s="952"/>
      <x:c r="PU11" s="952"/>
      <x:c r="PV11" s="952"/>
      <x:c r="PW11" s="952"/>
      <x:c r="PX11" s="952"/>
      <x:c r="PY11" s="952"/>
      <x:c r="PZ11" s="952"/>
      <x:c r="QA11" s="952"/>
      <x:c r="QB11" s="952"/>
      <x:c r="QC11" s="952"/>
      <x:c r="QD11" s="952"/>
      <x:c r="QE11" s="952"/>
    </x:row>
    <x:row r="12" s="952" customFormat="1" ht="76" customHeight="1">
      <x:c r="A12" s="951"/>
      <x:c r="B12" s="1804" t="inlineStr">
        <x:is>
          <x:t xml:space="preserve">3.6</x:t>
        </x:is>
      </x:c>
      <x:c r="C12" s="1796" t="inlineStr">
        <x:is>
          <x:t xml:space="preserve">Fixer des règles éthiques pour les algorithmes et l'intelligence artificielle, en formation comme en recherche, avec le comité d'éthique de l'établissement.</x:t>
        </x:is>
      </x:c>
      <x:c r="D12" s="1798"/>
      <x:c r="E12" s="1802"/>
      <x:c r="F12" s="1802"/>
      <x:c r="G12" s="1798"/>
      <x:c r="H12" s="1802"/>
      <x:c r="I12" s="1798"/>
      <x:c r="J12" s="1806" t="str">
        <x:f t="shared" si="0">S12</x:f>
      </x:c>
      <x:c r="K12" s="1786" t="str">
        <x:f t="shared" si="4">IF(IF(ISNUMBER(E12),AND(E12&gt;=0,E12&lt;=3,MOD(E12,1)=0),FALSE),IF(E12=0,0,IF(IF(ISNUMBER(F12),AND(F12&gt;=1,F12&lt;=4,MOD(F12,1)=0),FALSE),E12*10+F12,"")),"")</x:f>
      </x:c>
      <x:c r="L12" s="1786" t="b">
        <x:f t="shared" si="5">IF(ISNUMBER(K12),K12=31,FALSE)</x:f>
        <x:v>0</x:v>
      </x:c>
      <x:c r="M12" s="1786" t="b">
        <x:f t="shared" si="6">IF(ISNUMBER(K12),OR(K12=21,K12=32),FALSE)</x:f>
        <x:v>0</x:v>
      </x:c>
      <x:c r="N12" s="1786" t="b">
        <x:f t="shared" si="7">IF(ISNUMBER(K12),OR(K12=22,K12=33),FALSE)</x:f>
        <x:v>0</x:v>
      </x:c>
      <x:c r="O12" s="1786" t="b">
        <x:f t="shared" si="8">IF(ISNUMBER(K12),OR(K12=11,K12=12),FALSE)</x:f>
        <x:v>0</x:v>
      </x:c>
      <x:c r="P12" s="1786" t="b">
        <x:f t="shared" si="9">IF(ISNUMBER(K12),OR(K12=23,K12=34),FALSE)</x:f>
        <x:v>0</x:v>
      </x:c>
      <x:c r="Q12" s="1786" t="b">
        <x:f t="shared" si="10">IF(ISNUMBER(K12),OR(K12=13,K12=14,K12=24),FALSE)</x:f>
        <x:v>0</x:v>
      </x:c>
      <x:c r="R12" s="1786" t="b">
        <x:f t="shared" si="11">IF(ISNUMBER(K12),K12=0,FALSE)</x:f>
        <x:v>0</x:v>
      </x:c>
      <x:c r="S12" s="1786" t="str">
        <x:f t="shared" si="1">IF(ISNUMBER(T12),INDEX($L$5:$R$5,1,7-T12),"")</x:f>
      </x:c>
      <x:c r="T12" s="1786" t="str">
        <x:f t="shared" si="2">IF(ISNUMBER(K12),IF(L12,6,IF(M12,5,IF(N12,4,IF(O12,3,IF(P12,2,IF(Q12,1,0)))))),"")</x:f>
      </x:c>
      <x:c r="U12" s="1790" t="str">
        <x:f t="shared" si="3">IF(AND(ISNUMBER(T12),ISNUMBER(H12)),IF(AND(H12&gt;=1,H12&lt;=4,MOD(H12,1)=0),T12*10+H12,""),"")</x:f>
      </x:c>
      <x:c r="V12" s="1798"/>
      <x:c r="W12" s="1132"/>
      <x:c r="X12" s="1114"/>
    </x:row>
    <x:row r="13" s="952" customFormat="1" ht="76" customHeight="1">
      <x:c r="A13" s="951"/>
      <x:c r="B13" s="1804" t="inlineStr">
        <x:is>
          <x:t xml:space="preserve">3.7</x:t>
        </x:is>
      </x:c>
      <x:c r="C13" s="1796" t="inlineStr">
        <x:is>
          <x:t xml:space="preserve">Intégrer le numérique responsable à la démarche de développement durable et de responsabilité sociétale (DD&amp;RS) de l'établissement, et la faire connaître.</x:t>
        </x:is>
      </x:c>
      <x:c r="D13" s="1798"/>
      <x:c r="E13" s="1802"/>
      <x:c r="F13" s="1802"/>
      <x:c r="G13" s="1798"/>
      <x:c r="H13" s="1802"/>
      <x:c r="I13" s="1798"/>
      <x:c r="J13" s="1806" t="str">
        <x:f t="shared" si="0">S13</x:f>
      </x:c>
      <x:c r="K13" s="1786" t="str">
        <x:f t="shared" si="4">IF(IF(ISNUMBER(E13),AND(E13&gt;=0,E13&lt;=3,MOD(E13,1)=0),FALSE),IF(E13=0,0,IF(IF(ISNUMBER(F13),AND(F13&gt;=1,F13&lt;=4,MOD(F13,1)=0),FALSE),E13*10+F13,"")),"")</x:f>
      </x:c>
      <x:c r="L13" s="1786" t="b">
        <x:f t="shared" si="5">IF(ISNUMBER(K13),K13=31,FALSE)</x:f>
        <x:v>0</x:v>
      </x:c>
      <x:c r="M13" s="1786" t="b">
        <x:f t="shared" si="6">IF(ISNUMBER(K13),OR(K13=21,K13=32),FALSE)</x:f>
        <x:v>0</x:v>
      </x:c>
      <x:c r="N13" s="1786" t="b">
        <x:f t="shared" si="7">IF(ISNUMBER(K13),OR(K13=22,K13=33),FALSE)</x:f>
        <x:v>0</x:v>
      </x:c>
      <x:c r="O13" s="1786" t="b">
        <x:f t="shared" si="8">IF(ISNUMBER(K13),OR(K13=11,K13=12),FALSE)</x:f>
        <x:v>0</x:v>
      </x:c>
      <x:c r="P13" s="1786" t="b">
        <x:f t="shared" si="9">IF(ISNUMBER(K13),OR(K13=23,K13=34),FALSE)</x:f>
        <x:v>0</x:v>
      </x:c>
      <x:c r="Q13" s="1786" t="b">
        <x:f t="shared" si="10">IF(ISNUMBER(K13),OR(K13=13,K13=14,K13=24),FALSE)</x:f>
        <x:v>0</x:v>
      </x:c>
      <x:c r="R13" s="1786" t="b">
        <x:f t="shared" si="11">IF(ISNUMBER(K13),K13=0,FALSE)</x:f>
        <x:v>0</x:v>
      </x:c>
      <x:c r="S13" s="1786" t="str">
        <x:f t="shared" si="1">IF(ISNUMBER(T13),INDEX($L$5:$R$5,1,7-T13),"")</x:f>
      </x:c>
      <x:c r="T13" s="1786" t="str">
        <x:f t="shared" si="2">IF(ISNUMBER(K13),IF(L13,6,IF(M13,5,IF(N13,4,IF(O13,3,IF(P13,2,IF(Q13,1,0)))))),"")</x:f>
      </x:c>
      <x:c r="U13" s="1790" t="str">
        <x:f t="shared" si="3">IF(AND(ISNUMBER(T13),ISNUMBER(H13)),IF(AND(H13&gt;=1,H13&lt;=4,MOD(H13,1)=0),T13*10+H13,""),"")</x:f>
      </x:c>
      <x:c r="V13" s="1798"/>
      <x:c r="W13" s="1111"/>
      <x:c r="X13" s="1108"/>
    </x:row>
    <x:row r="14" s="952" customFormat="1" ht="77" customHeight="1">
      <x:c r="A14" s="951"/>
      <x:c r="B14" s="1804" t="inlineStr">
        <x:is>
          <x:t xml:space="preserve">3.8</x:t>
        </x:is>
      </x:c>
      <x:c r="C14" s="1796" t="inlineStr">
        <x:is>
          <x:t xml:space="preserve">Indiquer quand une intelligence artificielle répond ou participe à une évaluation, expliquer comment elle décide, et garder une décision humaine pour les sujets sensibles : notes, admission, orientation, suspicion de plagiat.</x:t>
        </x:is>
      </x:c>
      <x:c r="D14" s="1798"/>
      <x:c r="E14" s="1802"/>
      <x:c r="F14" s="1802"/>
      <x:c r="G14" s="1798"/>
      <x:c r="H14" s="1802"/>
      <x:c r="I14" s="1798"/>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11"/>
      <x:c r="X14" s="1108"/>
    </x:row>
  </x:sheetData>
  <x:mergeCells>
    <x:mergeCell ref="B6:W6"/>
    <x:mergeCell ref="B4:C5"/>
    <x:mergeCell ref="D4:E4"/>
    <x:mergeCell ref="F4:G4"/>
    <x:mergeCell ref="H4:I4"/>
    <x:mergeCell ref="V4:X4"/>
    <x:mergeCell ref="B2:J3"/>
  </x:mergeCells>
  <x:conditionalFormatting sqref="J7:J14">
    <x:cfRule type="expression" dxfId="1640" priority="5595">
      <x:formula>AND(ISNUMBER($T7),$T7=6)</x:formula>
    </x:cfRule>
    <x:cfRule type="expression" dxfId="1641" priority="5596">
      <x:formula>AND(ISNUMBER($T7),$T7=5)</x:formula>
    </x:cfRule>
    <x:cfRule type="expression" dxfId="1642" priority="5597">
      <x:formula>AND(ISNUMBER($T7),$T7=4)</x:formula>
    </x:cfRule>
    <x:cfRule type="expression" dxfId="1643" priority="5598">
      <x:formula>AND(ISNUMBER($T7),$T7=3)</x:formula>
    </x:cfRule>
    <x:cfRule type="expression" dxfId="1644" priority="5599">
      <x:formula>AND(ISNUMBER($T7),$T7=2)</x:formula>
    </x:cfRule>
    <x:cfRule type="expression" dxfId="1645" priority="5600">
      <x:formula>AND(ISNUMBER($T7),$T7=1)</x:formula>
    </x:cfRule>
    <x:cfRule type="expression" dxfId="1646" priority="5601">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7.xml><?xml version="1.0" encoding="utf-8"?>
<x:worksheet xmlns:x="http://schemas.openxmlformats.org/spreadsheetml/2006/main">
  <x:sheetPr>
    <x:tabColor rgb="FF00B0F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4.33203125" style="871" hidden="1" customWidth="1"/>
    <x:col min="24" max="24" width="48.3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4 : Résilience et stratégie · Utiliser le numérique responsable pour aider l’organisation à faire face aux difficultés et à s’adapter</x:v>
      </x:c>
      <x:c r="C2" s="1716"/>
      <x:c r="D2" s="1716"/>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6"/>
      <x:c r="W3" s="1173"/>
    </x:row>
    <x:row r="4" ht="27" customHeight="1">
      <x:c r="A4" s="861"/>
      <x:c r="B4" s="1884" t="str">
        <x:v>Cibles à évaluer</x:v>
      </x:c>
      <x:c r="C4" s="1885"/>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86"/>
      <x:c r="C5" s="1887"/>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6" customHeight="1">
      <x:c r="A7" s="951"/>
      <x:c r="B7" s="1804" t="inlineStr">
        <x:is>
          <x:t xml:space="preserve">4.1</x:t>
        </x:is>
      </x:c>
      <x:c r="C7" s="1796" t="inlineStr">
        <x:is>
          <x:t xml:space="preserve">Mesurer l'empreinte environnementale du numérique de l'établissement et des projets de recherche avec des méthodes communes, pour se comparer.</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9" si="1">IF(ISNUMBER(T7),INDEX($L$5:$R$5,1,7-T7),"")</x:f>
      </x:c>
      <x:c r="T7" s="1783" t="str">
        <x:f t="shared" ref="T7:T9" si="2">IF(ISNUMBER(K7),IF(L7,6,IF(M7,5,IF(N7,4,IF(O7,3,IF(P7,2,IF(Q7,1,0)))))),"")</x:f>
      </x:c>
      <x:c r="U7" s="1783" t="str">
        <x:f t="shared" ref="U7:U9" si="3">IF(AND(ISNUMBER(T7),ISNUMBER(H7)),IF(AND(H7&gt;=1,H7&lt;=4,MOD(H7,1)=0),T7*10+H7,""),"")</x:f>
      </x:c>
      <x:c r="V7" s="1798"/>
      <x:c r="W7" s="1110"/>
      <x:c r="X7" s="1108"/>
    </x:row>
    <x:row r="8" s="952" customFormat="1" ht="70" customHeight="1">
      <x:c r="A8" s="951"/>
      <x:c r="B8" s="1804" t="inlineStr">
        <x:is>
          <x:t xml:space="preserve">4.2</x:t>
        </x:is>
      </x:c>
      <x:c r="C8" s="1796" t="inlineStr">
        <x:is>
          <x:t xml:space="preserve">Évaluer les services numériques au fil du temps, avec les étudiants et les personnels, et partager les résultats.</x:t>
        </x:is>
      </x:c>
      <x:c r="D8" s="1798"/>
      <x:c r="E8" s="1802"/>
      <x:c r="F8" s="1802"/>
      <x:c r="G8" s="1798"/>
      <x:c r="H8" s="1802"/>
      <x:c r="I8" s="1798"/>
      <x:c r="J8" s="1806" t="str">
        <x:f t="shared" si="0">S8</x:f>
      </x:c>
      <x:c r="K8" s="1777" t="str">
        <x:f t="shared" ref="K8:K9" si="4">IF(IF(ISNUMBER(E8),AND(E8&gt;=0,E8&lt;=3,MOD(E8,1)=0),FALSE),IF(E8=0,0,IF(IF(ISNUMBER(F8),AND(F8&gt;=1,F8&lt;=4,MOD(F8,1)=0),FALSE),E8*10+F8,"")),"")</x:f>
      </x:c>
      <x:c r="L8" s="1777" t="b">
        <x:f t="shared" ref="L8:L9" si="5">IF(ISNUMBER(K8),K8=31,FALSE)</x:f>
        <x:v>0</x:v>
      </x:c>
      <x:c r="M8" s="1777" t="b">
        <x:f t="shared" ref="M8:M9" si="6">IF(ISNUMBER(K8),OR(K8=21,K8=32),FALSE)</x:f>
        <x:v>0</x:v>
      </x:c>
      <x:c r="N8" s="1777" t="b">
        <x:f t="shared" ref="N8:N9" si="7">IF(ISNUMBER(K8),OR(K8=22,K8=33),FALSE)</x:f>
        <x:v>0</x:v>
      </x:c>
      <x:c r="O8" s="1777" t="b">
        <x:f t="shared" ref="O8:O9" si="8">IF(ISNUMBER(K8),OR(K8=11,K8=12),FALSE)</x:f>
        <x:v>0</x:v>
      </x:c>
      <x:c r="P8" s="1777" t="b">
        <x:f t="shared" ref="P8:P9" si="9">IF(ISNUMBER(K8),OR(K8=23,K8=34),FALSE)</x:f>
        <x:v>0</x:v>
      </x:c>
      <x:c r="Q8" s="1777" t="b">
        <x:f t="shared" ref="Q8:Q9" si="10">IF(ISNUMBER(K8),OR(K8=13,K8=14,K8=24),FALSE)</x:f>
        <x:v>0</x:v>
      </x:c>
      <x:c r="R8" s="1777" t="b">
        <x:f t="shared" ref="R8:R9" si="11">IF(ISNUMBER(K8),K8=0,FALSE)</x:f>
        <x:v>0</x:v>
      </x:c>
      <x:c r="S8" s="1777" t="str">
        <x:f t="shared" si="1">IF(ISNUMBER(T8),INDEX($L$5:$R$5,1,7-T8),"")</x:f>
      </x:c>
      <x:c r="T8" s="1777" t="str">
        <x:f t="shared" si="2">IF(ISNUMBER(K8),IF(L8,6,IF(M8,5,IF(N8,4,IF(O8,3,IF(P8,2,IF(Q8,1,0)))))),"")</x:f>
      </x:c>
      <x:c r="U8" s="1790" t="str">
        <x:f t="shared" si="3">IF(AND(ISNUMBER(T8),ISNUMBER(H8)),IF(AND(H8&gt;=1,H8&lt;=4,MOD(H8,1)=0),T8*10+H8,""),"")</x:f>
      </x:c>
      <x:c r="V8" s="1798"/>
      <x:c r="W8" s="1109"/>
      <x:c r="X8" s="1108"/>
    </x:row>
    <x:row r="9" s="952" customFormat="1" ht="70" customHeight="1">
      <x:c r="A9" s="951"/>
      <x:c r="B9" s="1804" t="inlineStr">
        <x:is>
          <x:t xml:space="preserve">4.3</x:t>
        </x:is>
      </x:c>
      <x:c r="C9" s="1796" t="inlineStr">
        <x:is>
          <x:t xml:space="preserve">Expérimenter de nouveaux outils pour la pédagogie et la recherche. Évaluer leurs effets et expliquer les résultats à celles et ceux qui les utilisent.</x:t>
        </x:is>
      </x:c>
      <x:c r="D9" s="1798"/>
      <x:c r="E9" s="1802"/>
      <x:c r="F9" s="1802"/>
      <x:c r="G9" s="1798"/>
      <x:c r="H9" s="1802"/>
      <x:c r="I9" s="1798"/>
      <x:c r="J9" s="1806" t="str">
        <x:f t="shared" si="0">S9</x:f>
      </x:c>
      <x:c r="K9" s="1783" t="str">
        <x:f t="shared" si="4">IF(IF(ISNUMBER(E9),AND(E9&gt;=0,E9&lt;=3,MOD(E9,1)=0),FALSE),IF(E9=0,0,IF(IF(ISNUMBER(F9),AND(F9&gt;=1,F9&lt;=4,MOD(F9,1)=0),FALSE),E9*10+F9,"")),"")</x:f>
      </x:c>
      <x:c r="L9" s="1783" t="b">
        <x:f t="shared" si="5">IF(ISNUMBER(K9),K9=31,FALSE)</x:f>
        <x:v>0</x:v>
      </x:c>
      <x:c r="M9" s="1783" t="b">
        <x:f t="shared" si="6">IF(ISNUMBER(K9),OR(K9=21,K9=32),FALSE)</x:f>
        <x:v>0</x:v>
      </x:c>
      <x:c r="N9" s="1783" t="b">
        <x:f t="shared" si="7">IF(ISNUMBER(K9),OR(K9=22,K9=33),FALSE)</x:f>
        <x:v>0</x:v>
      </x:c>
      <x:c r="O9" s="1783" t="b">
        <x:f t="shared" si="8">IF(ISNUMBER(K9),OR(K9=11,K9=12),FALSE)</x:f>
        <x:v>0</x:v>
      </x:c>
      <x:c r="P9" s="1783" t="b">
        <x:f t="shared" si="9">IF(ISNUMBER(K9),OR(K9=23,K9=34),FALSE)</x:f>
        <x:v>0</x:v>
      </x:c>
      <x:c r="Q9" s="1783" t="b">
        <x:f t="shared" si="10">IF(ISNUMBER(K9),OR(K9=13,K9=14,K9=24),FALSE)</x:f>
        <x:v>0</x:v>
      </x:c>
      <x:c r="R9" s="1783" t="b">
        <x:f t="shared" si="11">IF(ISNUMBER(K9),K9=0,FALSE)</x:f>
        <x:v>0</x:v>
      </x:c>
      <x:c r="S9" s="1783" t="str">
        <x:f t="shared" si="1">IF(ISNUMBER(T9),INDEX($L$5:$R$5,1,7-T9),"")</x:f>
      </x:c>
      <x:c r="T9" s="1783" t="str">
        <x:f t="shared" si="2">IF(ISNUMBER(K9),IF(L9,6,IF(M9,5,IF(N9,4,IF(O9,3,IF(P9,2,IF(Q9,1,0)))))),"")</x:f>
      </x:c>
      <x:c r="U9" s="1783" t="str">
        <x:f t="shared" si="3">IF(AND(ISNUMBER(T9),ISNUMBER(H9)),IF(AND(H9&gt;=1,H9&lt;=4,MOD(H9,1)=0),T9*10+H9,""),"")</x:f>
      </x:c>
      <x:c r="V9" s="1798"/>
      <x:c r="W9" s="1122"/>
      <x:c r="X9" s="1114"/>
    </x:row>
    <x:row r="10" ht="88.5" customHeight="1">
      <x:c r="B10" s="1804" t="inlineStr">
        <x:is>
          <x:t xml:space="preserve">4.4</x:t>
        </x:is>
      </x:c>
      <x:c r="C10" s="1796" t="inlineStr">
        <x:is>
          <x:t xml:space="preserve">Garder la maîtrise des données de recherche et de formation, des outils et des choix techniques : logiciels libres (Moodle, BigBlueButton, Nextcloud), hébergement de confiance, infrastructures mutualisées de l'enseignement supérieur et de la recherche (RENATER, mésocentres).</x:t>
        </x:is>
      </x:c>
      <x:c r="D10" s="1798"/>
      <x:c r="E10" s="1802"/>
      <x:c r="F10" s="1802"/>
      <x:c r="G10" s="1798"/>
      <x:c r="H10" s="1802"/>
      <x:c r="I10" s="1798"/>
      <x:c r="J10" s="1806" t="n">
        <x:f t="shared" ref="J10" si="12">S10</x:f>
        <x:v>0</x:v>
      </x:c>
      <x:c r="K10" s="1783" t="str">
        <x:f t="shared" ref="K10" si="13">IF(IF(ISNUMBER(E10),AND(E10&gt;=0,E10&lt;=3,MOD(E10,1)=0),FALSE),IF(E10=0,0,IF(IF(ISNUMBER(F10),AND(F10&gt;=1,F10&lt;=4,MOD(F10,1)=0),FALSE),E10*10+F10,"")),"")</x:f>
      </x:c>
      <x:c r="L10" s="1783" t="b">
        <x:f t="shared" ref="L10" si="14">IF(ISNUMBER(K10),K10=31,FALSE)</x:f>
        <x:v>0</x:v>
      </x:c>
      <x:c r="M10" s="1783" t="b">
        <x:f t="shared" ref="M10" si="15">IF(ISNUMBER(K10),OR(K10=21,K10=32),FALSE)</x:f>
        <x:v>0</x:v>
      </x:c>
      <x:c r="N10" s="1783" t="b">
        <x:f t="shared" ref="N10" si="16">IF(ISNUMBER(K10),OR(K10=22,K10=33),FALSE)</x:f>
        <x:v>0</x:v>
      </x:c>
      <x:c r="O10" s="1783" t="b">
        <x:f t="shared" ref="O10" si="17">IF(ISNUMBER(K10),OR(K10=11,K10=12),FALSE)</x:f>
        <x:v>0</x:v>
      </x:c>
      <x:c r="P10" s="1783" t="b">
        <x:f t="shared" ref="P10" si="18">IF(ISNUMBER(K10),OR(K10=23,K10=34),FALSE)</x:f>
        <x:v>0</x:v>
      </x:c>
      <x:c r="Q10" s="1783" t="b">
        <x:f t="shared" ref="Q10" si="19">IF(ISNUMBER(K10),OR(K10=13,K10=14,K10=24),FALSE)</x:f>
        <x:v>0</x:v>
      </x:c>
      <x:c r="R10" s="1783" t="b">
        <x:f t="shared" ref="R10" si="20">IF(ISNUMBER(K10),K10=0,FALSE)</x:f>
        <x:v>0</x:v>
      </x:c>
      <x:c r="S10" s="1783" t="str">
        <x:f t="shared" ref="S10" si="21">IF(ISNUMBER(T10),INDEX($L$5:$R$5,1,7-T10),"")</x:f>
      </x:c>
      <x:c r="T10" s="1783" t="str">
        <x:f t="shared" ref="T10" si="22">IF(ISNUMBER(K10),IF(L10,6,IF(M10,5,IF(N10,4,IF(O10,3,IF(P10,2,IF(Q10,1,0)))))),"")</x:f>
      </x:c>
      <x:c r="U10" s="1783" t="str">
        <x:f t="shared" ref="U10" si="23">IF(AND(ISNUMBER(T10),ISNUMBER(H10)),IF(AND(H10&gt;=1,H10&lt;=4,MOD(H10,1)=0),T10*10+H10,""),"")</x:f>
      </x:c>
      <x:c r="V10" s="1798"/>
      <x:c r="W10" s="1122"/>
      <x:c r="X10" s="1114"/>
    </x:row>
  </x:sheetData>
  <x:mergeCells>
    <x:mergeCell ref="B6:W6"/>
    <x:mergeCell ref="B4:C5"/>
    <x:mergeCell ref="D4:E4"/>
    <x:mergeCell ref="F4:G4"/>
    <x:mergeCell ref="H4:I4"/>
    <x:mergeCell ref="V4:X4"/>
    <x:mergeCell ref="B2:J3"/>
  </x:mergeCells>
  <x:conditionalFormatting sqref="J7:J10">
    <x:cfRule type="expression" dxfId="1647" priority="407">
      <x:formula>AND(ISNUMBER($T7),$T7=6)</x:formula>
    </x:cfRule>
    <x:cfRule type="expression" dxfId="1648" priority="408">
      <x:formula>AND(ISNUMBER($T7),$T7=5)</x:formula>
    </x:cfRule>
    <x:cfRule type="expression" dxfId="1649" priority="409">
      <x:formula>AND(ISNUMBER($T7),$T7=4)</x:formula>
    </x:cfRule>
    <x:cfRule type="expression" dxfId="1650" priority="410">
      <x:formula>AND(ISNUMBER($T7),$T7=3)</x:formula>
    </x:cfRule>
    <x:cfRule type="expression" dxfId="1651" priority="411">
      <x:formula>AND(ISNUMBER($T7),$T7=2)</x:formula>
    </x:cfRule>
    <x:cfRule type="expression" dxfId="1652" priority="412">
      <x:formula>AND(ISNUMBER($T7),$T7=1)</x:formula>
    </x:cfRule>
    <x:cfRule type="expression" dxfId="1653" priority="413">
      <x:formula>AND(ISNUMBER($T7),$T7=0)</x:formula>
    </x:cfRule>
  </x:conditionalFormatting>
  <x:dataValidations count="3">
    <x:dataValidation type="list" allowBlank="1" showInputMessage="1" showErrorMessage="1" errorStyle="stop" showDropDown="0" sqref="E7:E10"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0"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0"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8.xml><?xml version="1.0" encoding="utf-8"?>
<x:worksheet xmlns:x="http://schemas.openxmlformats.org/spreadsheetml/2006/main">
  <x:sheetPr>
    <x:tabColor rgb="FF7030A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2.33203125" style="871" hidden="1" customWidth="1"/>
    <x:col min="24" max="24" width="64.8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5 : Management · Donner du sens au travail et préserver les personnes et les ressources nécessaires à nos activités</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912" t="str">
        <x:v>Cibles à évaluer</x:v>
      </x:c>
      <x:c r="C4" s="191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914"/>
      <x:c r="C5" s="1915"/>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0" customHeight="1">
      <x:c r="A7" s="951"/>
      <x:c r="B7" s="1804" t="inlineStr">
        <x:is>
          <x:t xml:space="preserve">5.1</x:t>
        </x:is>
      </x:c>
      <x:c r="C7" s="1796" t="inlineStr">
        <x:is>
          <x:t xml:space="preserve">Concevoir les services numériques en réponse aux besoins sociaux des étudiants et des personnels : précarité, éloignement, handicap.</x:t>
        </x:is>
      </x:c>
      <x:c r="D7" s="1799"/>
      <x:c r="E7" s="1802"/>
      <x:c r="F7" s="1802"/>
      <x:c r="G7" s="1798"/>
      <x:c r="H7" s="1921"/>
      <x:c r="I7" s="1798"/>
      <x:c r="J7" s="1806" t="str">
        <x:f t="shared" ref="J7" si="0">S7</x:f>
      </x:c>
      <x:c r="K7" s="1777" t="str">
        <x:f t="shared" ref="K7" si="1">IF(IF(ISNUMBER(E7),AND(E7&gt;=0,E7&lt;=3,MOD(E7,1)=0),FALSE),IF(E7=0,0,IF(IF(ISNUMBER(F7),AND(F7&gt;=1,F7&lt;=4,MOD(F7,1)=0),FALSE),E7*10+F7,"")),"")</x:f>
      </x:c>
      <x:c r="L7" s="1777" t="b">
        <x:f t="shared" ref="L7" si="2">IF(ISNUMBER(K7),K7=31,FALSE)</x:f>
        <x:v>0</x:v>
      </x:c>
      <x:c r="M7" s="1777" t="b">
        <x:f t="shared" ref="M7" si="3">IF(ISNUMBER(K7),OR(K7=21,K7=32),FALSE)</x:f>
        <x:v>0</x:v>
      </x:c>
      <x:c r="N7" s="1777" t="b">
        <x:f t="shared" ref="N7" si="4">IF(ISNUMBER(K7),OR(K7=22,K7=33),FALSE)</x:f>
        <x:v>0</x:v>
      </x:c>
      <x:c r="O7" s="1777" t="b">
        <x:f t="shared" ref="O7" si="5">IF(ISNUMBER(K7),OR(K7=11,K7=12),FALSE)</x:f>
        <x:v>0</x:v>
      </x:c>
      <x:c r="P7" s="1777" t="b">
        <x:f t="shared" ref="P7" si="6">IF(ISNUMBER(K7),OR(K7=23,K7=34),FALSE)</x:f>
        <x:v>0</x:v>
      </x:c>
      <x:c r="Q7" s="1777" t="b">
        <x:f t="shared" ref="Q7" si="7">IF(ISNUMBER(K7),OR(K7=13,K7=14,K7=24),FALSE)</x:f>
        <x:v>0</x:v>
      </x:c>
      <x:c r="R7" s="1777" t="b">
        <x:f t="shared" ref="R7" si="8">IF(ISNUMBER(K7),K7=0,FALSE)</x:f>
        <x:v>0</x:v>
      </x:c>
      <x:c r="S7" s="1777" t="str">
        <x:f t="shared" ref="S7" si="9">IF(ISNUMBER(T7),INDEX($L$5:$R$5,1,7-T7),"")</x:f>
      </x:c>
      <x:c r="T7" s="1777" t="str">
        <x:f t="shared" ref="T7" si="10">IF(ISNUMBER(K7),IF(L7,6,IF(M7,5,IF(N7,4,IF(O7,3,IF(P7,2,IF(Q7,1,0)))))),"")</x:f>
      </x:c>
      <x:c r="U7" s="1790" t="str">
        <x:f t="shared" ref="U7" si="11">IF(AND(ISNUMBER(T7),ISNUMBER(H7)),IF(AND(H7&gt;=1,H7&lt;=4,MOD(H7,1)=0),T7*10+H7,""),"")</x:f>
      </x:c>
      <x:c r="V7" s="1798"/>
      <x:c r="W7" s="1050"/>
      <x:c r="X7" s="1114"/>
    </x:row>
    <x:row r="8" s="952" customFormat="1" ht="70" customHeight="1">
      <x:c r="A8" s="951"/>
      <x:c r="B8" s="1804" t="inlineStr">
        <x:is>
          <x:t xml:space="preserve">5.2</x:t>
        </x:is>
      </x:c>
      <x:c r="C8" s="1796" t="inlineStr">
        <x:is>
          <x:t xml:space="preserve">Faire connaître et soutenir les initiatives des personnels et des étudiants qui encouragent la coopération entre services et le bien-être au travail et aux études.</x:t>
        </x:is>
      </x:c>
      <x:c r="D8" s="1799"/>
      <x:c r="E8" s="1802"/>
      <x:c r="F8" s="1802"/>
      <x:c r="G8" s="1798"/>
      <x:c r="H8" s="1921"/>
      <x:c r="I8" s="1798"/>
      <x:c r="J8" s="1806" t="str">
        <x:f t="shared" ref="J8:J10" si="12">S8</x:f>
      </x:c>
      <x:c r="K8" s="1777" t="str">
        <x:f t="shared" ref="K8:K10" si="13">IF(IF(ISNUMBER(E8),AND(E8&gt;=0,E8&lt;=3,MOD(E8,1)=0),FALSE),IF(E8=0,0,IF(IF(ISNUMBER(F8),AND(F8&gt;=1,F8&lt;=4,MOD(F8,1)=0),FALSE),E8*10+F8,"")),"")</x:f>
      </x:c>
      <x:c r="L8" s="1777" t="b">
        <x:f t="shared" ref="L8:L10" si="14">IF(ISNUMBER(K8),K8=31,FALSE)</x:f>
        <x:v>0</x:v>
      </x:c>
      <x:c r="M8" s="1777" t="b">
        <x:f t="shared" ref="M8:M10" si="15">IF(ISNUMBER(K8),OR(K8=21,K8=32),FALSE)</x:f>
        <x:v>0</x:v>
      </x:c>
      <x:c r="N8" s="1777" t="b">
        <x:f t="shared" ref="N8:N10" si="16">IF(ISNUMBER(K8),OR(K8=22,K8=33),FALSE)</x:f>
        <x:v>0</x:v>
      </x:c>
      <x:c r="O8" s="1777" t="b">
        <x:f t="shared" ref="O8:O10" si="17">IF(ISNUMBER(K8),OR(K8=11,K8=12),FALSE)</x:f>
        <x:v>0</x:v>
      </x:c>
      <x:c r="P8" s="1777" t="b">
        <x:f t="shared" ref="P8:P10" si="18">IF(ISNUMBER(K8),OR(K8=23,K8=34),FALSE)</x:f>
        <x:v>0</x:v>
      </x:c>
      <x:c r="Q8" s="1777" t="b">
        <x:f t="shared" ref="Q8:Q10" si="19">IF(ISNUMBER(K8),OR(K8=13,K8=14,K8=24),FALSE)</x:f>
        <x:v>0</x:v>
      </x:c>
      <x:c r="R8" s="1777" t="b">
        <x:f t="shared" ref="R8:R10" si="20">IF(ISNUMBER(K8),K8=0,FALSE)</x:f>
        <x:v>0</x:v>
      </x:c>
      <x:c r="S8" s="1777" t="str">
        <x:f t="shared" ref="S8:S10" si="21">IF(ISNUMBER(T8),INDEX($L$5:$R$5,1,7-T8),"")</x:f>
      </x:c>
      <x:c r="T8" s="1777" t="str">
        <x:f t="shared" ref="T8:T10" si="22">IF(ISNUMBER(K8),IF(L8,6,IF(M8,5,IF(N8,4,IF(O8,3,IF(P8,2,IF(Q8,1,0)))))),"")</x:f>
      </x:c>
      <x:c r="U8" s="1790" t="str">
        <x:f t="shared" ref="U8:U10" si="23">IF(AND(ISNUMBER(T8),ISNUMBER(H8)),IF(AND(H8&gt;=1,H8&lt;=4,MOD(H8,1)=0),T8*10+H8,""),"")</x:f>
      </x:c>
      <x:c r="V8" s="1798"/>
      <x:c r="W8" s="1050"/>
      <x:c r="X8" s="1114"/>
    </x:row>
    <x:row r="9" s="952" customFormat="1" ht="76" customHeight="1">
      <x:c r="A9" s="951"/>
      <x:c r="B9" s="1804" t="inlineStr">
        <x:is>
          <x:t xml:space="preserve">5.3</x:t>
        </x:is>
      </x:c>
      <x:c r="C9" s="1796" t="inlineStr">
        <x:is>
          <x:t xml:space="preserve">Associer les étudiants, les personnels, les chercheurs et les partenaires du territoire aux choix numériques, en s'appuyant sur leur expertise.</x:t>
        </x:is>
      </x:c>
      <x:c r="D9" s="1799"/>
      <x:c r="E9" s="1802"/>
      <x:c r="F9" s="1802"/>
      <x:c r="G9" s="1798"/>
      <x:c r="H9" s="1921"/>
      <x:c r="I9" s="1798"/>
      <x:c r="J9" s="1806" t="str">
        <x:f t="shared" si="12">S9</x:f>
      </x:c>
      <x:c r="K9" s="1777" t="str">
        <x:f t="shared" si="13">IF(IF(ISNUMBER(E9),AND(E9&gt;=0,E9&lt;=3,MOD(E9,1)=0),FALSE),IF(E9=0,0,IF(IF(ISNUMBER(F9),AND(F9&gt;=1,F9&lt;=4,MOD(F9,1)=0),FALSE),E9*10+F9,"")),"")</x:f>
      </x:c>
      <x:c r="L9" s="1777" t="b">
        <x:f t="shared" si="14">IF(ISNUMBER(K9),K9=31,FALSE)</x:f>
        <x:v>0</x:v>
      </x:c>
      <x:c r="M9" s="1777" t="b">
        <x:f t="shared" si="15">IF(ISNUMBER(K9),OR(K9=21,K9=32),FALSE)</x:f>
        <x:v>0</x:v>
      </x:c>
      <x:c r="N9" s="1777" t="b">
        <x:f t="shared" si="16">IF(ISNUMBER(K9),OR(K9=22,K9=33),FALSE)</x:f>
        <x:v>0</x:v>
      </x:c>
      <x:c r="O9" s="1777" t="b">
        <x:f t="shared" si="17">IF(ISNUMBER(K9),OR(K9=11,K9=12),FALSE)</x:f>
        <x:v>0</x:v>
      </x:c>
      <x:c r="P9" s="1777" t="b">
        <x:f t="shared" si="18">IF(ISNUMBER(K9),OR(K9=23,K9=34),FALSE)</x:f>
        <x:v>0</x:v>
      </x:c>
      <x:c r="Q9" s="1777" t="b">
        <x:f t="shared" si="19">IF(ISNUMBER(K9),OR(K9=13,K9=14,K9=24),FALSE)</x:f>
        <x:v>0</x:v>
      </x:c>
      <x:c r="R9" s="1777" t="b">
        <x:f t="shared" si="20">IF(ISNUMBER(K9),K9=0,FALSE)</x:f>
        <x:v>0</x:v>
      </x:c>
      <x:c r="S9" s="1777" t="str">
        <x:f t="shared" si="21">IF(ISNUMBER(T9),INDEX($L$5:$R$5,1,7-T9),"")</x:f>
      </x:c>
      <x:c r="T9" s="1777" t="str">
        <x:f t="shared" si="22">IF(ISNUMBER(K9),IF(L9,6,IF(M9,5,IF(N9,4,IF(O9,3,IF(P9,2,IF(Q9,1,0)))))),"")</x:f>
      </x:c>
      <x:c r="U9" s="1790" t="str">
        <x:f t="shared" si="23">IF(AND(ISNUMBER(T9),ISNUMBER(H9)),IF(AND(H9&gt;=1,H9&lt;=4,MOD(H9,1)=0),T9*10+H9,""),"")</x:f>
      </x:c>
      <x:c r="V9" s="1798"/>
      <x:c r="W9" s="1050"/>
      <x:c r="X9" s="1114"/>
    </x:row>
    <x:row r="10" s="952" customFormat="1" ht="70" customHeight="1">
      <x:c r="A10" s="951"/>
      <x:c r="B10" s="1804" t="inlineStr">
        <x:is>
          <x:t xml:space="preserve">5.4</x:t>
        </x:is>
      </x:c>
      <x:c r="C10" s="1796" t="inlineStr">
        <x:is>
          <x:t xml:space="preserve">Former des diplômés capables d'innover pour mieux vivre ensemble et préserver les écosystèmes, en intégrant le numérique responsable dans les formations.</x:t>
        </x:is>
      </x:c>
      <x:c r="D10" s="1799"/>
      <x:c r="E10" s="1802"/>
      <x:c r="F10" s="1802"/>
      <x:c r="G10" s="1798"/>
      <x:c r="H10" s="1921"/>
      <x:c r="I10" s="1798"/>
      <x:c r="J10" s="1806" t="str">
        <x:f t="shared" si="12">S10</x:f>
      </x:c>
      <x:c r="K10" s="1777" t="str">
        <x:f t="shared" si="13">IF(IF(ISNUMBER(E10),AND(E10&gt;=0,E10&lt;=3,MOD(E10,1)=0),FALSE),IF(E10=0,0,IF(IF(ISNUMBER(F10),AND(F10&gt;=1,F10&lt;=4,MOD(F10,1)=0),FALSE),E10*10+F10,"")),"")</x:f>
      </x:c>
      <x:c r="L10" s="1777" t="b">
        <x:f t="shared" si="14">IF(ISNUMBER(K10),K10=31,FALSE)</x:f>
        <x:v>0</x:v>
      </x:c>
      <x:c r="M10" s="1777" t="b">
        <x:f t="shared" si="15">IF(ISNUMBER(K10),OR(K10=21,K10=32),FALSE)</x:f>
        <x:v>0</x:v>
      </x:c>
      <x:c r="N10" s="1777" t="b">
        <x:f t="shared" si="16">IF(ISNUMBER(K10),OR(K10=22,K10=33),FALSE)</x:f>
        <x:v>0</x:v>
      </x:c>
      <x:c r="O10" s="1777" t="b">
        <x:f t="shared" si="17">IF(ISNUMBER(K10),OR(K10=11,K10=12),FALSE)</x:f>
        <x:v>0</x:v>
      </x:c>
      <x:c r="P10" s="1777" t="b">
        <x:f t="shared" si="18">IF(ISNUMBER(K10),OR(K10=23,K10=34),FALSE)</x:f>
        <x:v>0</x:v>
      </x:c>
      <x:c r="Q10" s="1777" t="b">
        <x:f t="shared" si="19">IF(ISNUMBER(K10),OR(K10=13,K10=14,K10=24),FALSE)</x:f>
        <x:v>0</x:v>
      </x:c>
      <x:c r="R10" s="1777" t="b">
        <x:f t="shared" si="20">IF(ISNUMBER(K10),K10=0,FALSE)</x:f>
        <x:v>0</x:v>
      </x:c>
      <x:c r="S10" s="1777" t="str">
        <x:f t="shared" si="21">IF(ISNUMBER(T10),INDEX($L$5:$R$5,1,7-T10),"")</x:f>
      </x:c>
      <x:c r="T10" s="1777" t="str">
        <x:f t="shared" si="22">IF(ISNUMBER(K10),IF(L10,6,IF(M10,5,IF(N10,4,IF(O10,3,IF(P10,2,IF(Q10,1,0)))))),"")</x:f>
      </x:c>
      <x:c r="U10" s="1790" t="str">
        <x:f t="shared" si="23">IF(AND(ISNUMBER(T10),ISNUMBER(H10)),IF(AND(H10&gt;=1,H10&lt;=4,MOD(H10,1)=0),T10*10+H10,""),"")</x:f>
      </x:c>
      <x:c r="V10" s="1798"/>
      <x:c r="W10" s="1050"/>
      <x:c r="X10" s="1114"/>
    </x:row>
    <x:row r="11" s="952" customFormat="1" ht="70" customHeight="1">
      <x:c r="A11" s="951"/>
      <x:c r="B11" s="1804" t="inlineStr">
        <x:is>
          <x:t xml:space="preserve">5.5</x:t>
        </x:is>
      </x:c>
      <x:c r="C11" s="1796" t="inlineStr">
        <x:is>
          <x:t xml:space="preserve">Suivre les résultats de la démarche avec quelques indicateurs, communs avec le plan de transition et le label DD&amp;RS.</x:t>
        </x:is>
      </x:c>
      <x:c r="D11" s="1799"/>
      <x:c r="E11" s="1802"/>
      <x:c r="F11" s="1802"/>
      <x:c r="G11" s="1798"/>
      <x:c r="H11" s="1921"/>
      <x:c r="I11" s="1798"/>
      <x:c r="J11" s="1806" t="str">
        <x:f t="shared" ref="J11:J12" si="24">S11</x:f>
      </x:c>
      <x:c r="K11" s="1777" t="str">
        <x:f t="shared" ref="K11:K12" si="25">IF(IF(ISNUMBER(E11),AND(E11&gt;=0,E11&lt;=3,MOD(E11,1)=0),FALSE),IF(E11=0,0,IF(IF(ISNUMBER(F11),AND(F11&gt;=1,F11&lt;=4,MOD(F11,1)=0),FALSE),E11*10+F11,"")),"")</x:f>
      </x:c>
      <x:c r="L11" s="1777" t="b">
        <x:f t="shared" ref="L11:L12" si="26">IF(ISNUMBER(K11),K11=31,FALSE)</x:f>
        <x:v>0</x:v>
      </x:c>
      <x:c r="M11" s="1777" t="b">
        <x:f t="shared" ref="M11:M12" si="27">IF(ISNUMBER(K11),OR(K11=21,K11=32),FALSE)</x:f>
        <x:v>0</x:v>
      </x:c>
      <x:c r="N11" s="1777" t="b">
        <x:f t="shared" ref="N11:N12" si="28">IF(ISNUMBER(K11),OR(K11=22,K11=33),FALSE)</x:f>
        <x:v>0</x:v>
      </x:c>
      <x:c r="O11" s="1777" t="b">
        <x:f t="shared" ref="O11:O12" si="29">IF(ISNUMBER(K11),OR(K11=11,K11=12),FALSE)</x:f>
        <x:v>0</x:v>
      </x:c>
      <x:c r="P11" s="1777" t="b">
        <x:f t="shared" ref="P11:P12" si="30">IF(ISNUMBER(K11),OR(K11=23,K11=34),FALSE)</x:f>
        <x:v>0</x:v>
      </x:c>
      <x:c r="Q11" s="1777" t="b">
        <x:f t="shared" ref="Q11:Q12" si="31">IF(ISNUMBER(K11),OR(K11=13,K11=14,K11=24),FALSE)</x:f>
        <x:v>0</x:v>
      </x:c>
      <x:c r="R11" s="1777" t="b">
        <x:f t="shared" ref="R11:R12" si="32">IF(ISNUMBER(K11),K11=0,FALSE)</x:f>
        <x:v>0</x:v>
      </x:c>
      <x:c r="S11" s="1777" t="str">
        <x:f t="shared" ref="S11:S12" si="33">IF(ISNUMBER(T11),INDEX($L$5:$R$5,1,7-T11),"")</x:f>
      </x:c>
      <x:c r="T11" s="1777" t="str">
        <x:f t="shared" ref="T11:T12" si="34">IF(ISNUMBER(K11),IF(L11,6,IF(M11,5,IF(N11,4,IF(O11,3,IF(P11,2,IF(Q11,1,0)))))),"")</x:f>
      </x:c>
      <x:c r="U11" s="1790" t="str">
        <x:f t="shared" ref="U11:U12" si="35">IF(AND(ISNUMBER(T11),ISNUMBER(H11)),IF(AND(H11&gt;=1,H11&lt;=4,MOD(H11,1)=0),T11*10+H11,""),"")</x:f>
      </x:c>
      <x:c r="V11" s="1798"/>
      <x:c r="W11" s="1050"/>
      <x:c r="X11" s="1114"/>
    </x:row>
    <x:row r="12" s="953" customFormat="1" ht="70" customHeight="1">
      <x:c r="A12" s="951"/>
      <x:c r="B12" s="1804" t="inlineStr">
        <x:is>
          <x:t xml:space="preserve">5.6</x:t>
        </x:is>
      </x:c>
      <x:c r="C12" s="1796" t="inlineStr">
        <x:is>
          <x:t xml:space="preserve">Proposer des améliorations pour un numérique responsable, y compris des solutions sans outil numérique, comme des cours ou des examens sans écran.</x:t>
        </x:is>
      </x:c>
      <x:c r="D12" s="1799"/>
      <x:c r="E12" s="1802"/>
      <x:c r="F12" s="1802"/>
      <x:c r="G12" s="1798"/>
      <x:c r="H12" s="1921"/>
      <x:c r="I12" s="1798"/>
      <x:c r="J12" s="1806" t="str">
        <x:f t="shared" si="24">S12</x:f>
      </x:c>
      <x:c r="K12" s="1777" t="str">
        <x:f t="shared" si="25">IF(IF(ISNUMBER(E12),AND(E12&gt;=0,E12&lt;=3,MOD(E12,1)=0),FALSE),IF(E12=0,0,IF(IF(ISNUMBER(F12),AND(F12&gt;=1,F12&lt;=4,MOD(F12,1)=0),FALSE),E12*10+F12,"")),"")</x:f>
      </x:c>
      <x:c r="L12" s="1777" t="b">
        <x:f t="shared" si="26">IF(ISNUMBER(K12),K12=31,FALSE)</x:f>
        <x:v>0</x:v>
      </x:c>
      <x:c r="M12" s="1777" t="b">
        <x:f t="shared" si="27">IF(ISNUMBER(K12),OR(K12=21,K12=32),FALSE)</x:f>
        <x:v>0</x:v>
      </x:c>
      <x:c r="N12" s="1777" t="b">
        <x:f t="shared" si="28">IF(ISNUMBER(K12),OR(K12=22,K12=33),FALSE)</x:f>
        <x:v>0</x:v>
      </x:c>
      <x:c r="O12" s="1777" t="b">
        <x:f t="shared" si="29">IF(ISNUMBER(K12),OR(K12=11,K12=12),FALSE)</x:f>
        <x:v>0</x:v>
      </x:c>
      <x:c r="P12" s="1777" t="b">
        <x:f t="shared" si="30">IF(ISNUMBER(K12),OR(K12=23,K12=34),FALSE)</x:f>
        <x:v>0</x:v>
      </x:c>
      <x:c r="Q12" s="1777" t="b">
        <x:f t="shared" si="31">IF(ISNUMBER(K12),OR(K12=13,K12=14,K12=24),FALSE)</x:f>
        <x:v>0</x:v>
      </x:c>
      <x:c r="R12" s="1777" t="b">
        <x:f t="shared" si="32">IF(ISNUMBER(K12),K12=0,FALSE)</x:f>
        <x:v>0</x:v>
      </x:c>
      <x:c r="S12" s="1777" t="str">
        <x:f t="shared" si="33">IF(ISNUMBER(T12),INDEX($L$5:$R$5,1,7-T12),"")</x:f>
      </x:c>
      <x:c r="T12" s="1777" t="str">
        <x:f t="shared" si="34">IF(ISNUMBER(K12),IF(L12,6,IF(M12,5,IF(N12,4,IF(O12,3,IF(P12,2,IF(Q12,1,0)))))),"")</x:f>
      </x:c>
      <x:c r="U12" s="1790" t="str">
        <x:f t="shared" si="35">IF(AND(ISNUMBER(T12),ISNUMBER(H12)),IF(AND(H12&gt;=1,H12&lt;=4,MOD(H12,1)=0),T12*10+H12,""),"")</x:f>
      </x:c>
      <x:c r="V12" s="1798"/>
      <x:c r="W12" s="1067"/>
      <x:c r="X12" s="1115"/>
    </x:row>
    <x:row r="13" s="953" customFormat="1" ht="77" customHeight="1">
      <x:c r="A13" s="951"/>
      <x:c r="B13" s="1804" t="inlineStr">
        <x:is>
          <x:t xml:space="preserve">5.7</x:t>
        </x:is>
      </x:c>
      <x:c r="C13" s="1796" t="inlineStr">
        <x:is>
          <x:t xml:space="preserve">Décider avec les enseignants, les chercheurs, les personnels et les étudiants comment utiliser l'intelligence artificielle. Les former à ses limites et préserver le sens de l'apprentissage et de la recherche.</x:t>
        </x:is>
      </x:c>
      <x:c r="D13" s="1799"/>
      <x:c r="E13" s="1802"/>
      <x:c r="F13" s="1802"/>
      <x:c r="G13" s="1798"/>
      <x:c r="H13" s="1921"/>
      <x:c r="I13" s="1798"/>
      <x:c r="J13" s="1806" t="n">
        <x:f>S13</x:f>
        <x:v>0</x:v>
      </x:c>
      <x:c r="K13" s="1777" t="str">
        <x:f>IF(IF(ISNUMBER(E13),AND(E13&gt;=0,E13&lt;=3,MOD(E13,1)=0),FALSE),IF(E13=0,0,IF(IF(ISNUMBER(F13),AND(F13&gt;=1,F13&lt;=4,MOD(F13,1)=0),FALSE),E13*10+F13,"")),"")</x:f>
      </x:c>
      <x:c r="L13" s="1777" t="b">
        <x:f>IF(ISNUMBER(K13),K13=31,FALSE)</x:f>
        <x:v>0</x:v>
      </x:c>
      <x:c r="M13" s="1777" t="b">
        <x:f>IF(ISNUMBER(K13),OR(K13=21,K13=32),FALSE)</x:f>
        <x:v>0</x:v>
      </x:c>
      <x:c r="N13" s="1777" t="b">
        <x:f>IF(ISNUMBER(K13),OR(K13=22,K13=33),FALSE)</x:f>
        <x:v>0</x:v>
      </x:c>
      <x:c r="O13" s="1777" t="b">
        <x:f>IF(ISNUMBER(K13),OR(K13=11,K13=12),FALSE)</x:f>
        <x:v>0</x:v>
      </x:c>
      <x:c r="P13" s="1777" t="b">
        <x:f>IF(ISNUMBER(K13),OR(K13=23,K13=34),FALSE)</x:f>
        <x:v>0</x:v>
      </x:c>
      <x:c r="Q13" s="1777" t="b">
        <x:f>IF(ISNUMBER(K13),OR(K13=13,K13=14,K13=24),FALSE)</x:f>
        <x:v>0</x:v>
      </x:c>
      <x:c r="R13" s="1777" t="b">
        <x:f>IF(ISNUMBER(K13),K13=0,FALSE)</x:f>
        <x:v>0</x:v>
      </x:c>
      <x:c r="S13" s="1777" t="str">
        <x:f>IF(ISNUMBER(T13),INDEX($L$5:$R$5,1,7-T13),"")</x:f>
      </x:c>
      <x:c r="T13" s="1777" t="str">
        <x:f>IF(ISNUMBER(K13),IF(L13,6,IF(M13,5,IF(N13,4,IF(O13,3,IF(P13,2,IF(Q13,1,0)))))),"")</x:f>
      </x:c>
      <x:c r="U13" s="1790" t="str">
        <x:f>IF(AND(ISNUMBER(T13),ISNUMBER(H13)),IF(AND(H13&gt;=1,H13&lt;=4,MOD(H13,1)=0),T13*10+H13,""),"")</x:f>
      </x:c>
      <x:c r="V13" s="1798"/>
      <x:c r="W13" s="1067"/>
      <x:c r="X13" s="1115"/>
    </x:row>
  </x:sheetData>
  <x:mergeCells>
    <x:mergeCell ref="B6:W6"/>
    <x:mergeCell ref="B4:C5"/>
    <x:mergeCell ref="D4:E4"/>
    <x:mergeCell ref="F4:G4"/>
    <x:mergeCell ref="H4:I4"/>
    <x:mergeCell ref="V4:X4"/>
    <x:mergeCell ref="B2:J3"/>
  </x:mergeCells>
  <x:conditionalFormatting sqref="J7:J13">
    <x:cfRule type="expression" dxfId="1654" priority="314">
      <x:formula>AND(ISNUMBER($T7),$T7=6)</x:formula>
    </x:cfRule>
    <x:cfRule type="expression" dxfId="1655" priority="315">
      <x:formula>AND(ISNUMBER($T7),$T7=5)</x:formula>
    </x:cfRule>
    <x:cfRule type="expression" dxfId="1656" priority="316">
      <x:formula>AND(ISNUMBER($T7),$T7=4)</x:formula>
    </x:cfRule>
    <x:cfRule type="expression" dxfId="1657" priority="317">
      <x:formula>AND(ISNUMBER($T7),$T7=3)</x:formula>
    </x:cfRule>
    <x:cfRule type="expression" dxfId="1658" priority="318">
      <x:formula>AND(ISNUMBER($T7),$T7=2)</x:formula>
    </x:cfRule>
    <x:cfRule type="expression" dxfId="1659" priority="319">
      <x:formula>AND(ISNUMBER($T7),$T7=1)</x:formula>
    </x:cfRule>
    <x:cfRule type="expression" dxfId="1660" priority="320">
      <x:formula>AND(ISNUMBER($T7),$T7=0)</x:formula>
    </x:cfRule>
  </x:conditionalFormatting>
  <x:dataValidations count="3">
    <x:dataValidation type="list" allowBlank="1" showInputMessage="1" showErrorMessage="1" errorStyle="stop" showDropDown="0" sqref="E7:E13"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3"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3"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9" t="s">
        <v>95</v>
      </c>
      <c r="C2" s="359"/>
      <c r="D2" s="359"/>
      <c r="E2" s="359"/>
      <c r="F2" s="359"/>
      <c r="G2" s="1"/>
      <c r="H2" s="1"/>
      <c r="I2" s="1"/>
      <c r="J2" s="1"/>
      <c r="K2" s="1"/>
    </row>
    <row r="3" spans="1:11" ht="22" thickBot="1">
      <c r="A3" s="1"/>
      <c r="B3" s="2"/>
      <c r="C3" s="1"/>
      <c r="D3" s="1"/>
      <c r="E3" s="1"/>
      <c r="F3" s="1"/>
      <c r="G3" s="1"/>
      <c r="H3" s="1"/>
      <c r="I3" s="1"/>
      <c r="J3" s="1"/>
      <c r="K3" s="1"/>
    </row>
    <row r="4" spans="1:11" ht="59.25" customHeight="1">
      <c r="A4" s="360" t="s">
        <v>11</v>
      </c>
      <c r="B4" s="3">
        <v>3</v>
      </c>
      <c r="C4" s="4"/>
      <c r="D4" s="26"/>
      <c r="E4" s="5"/>
      <c r="F4" s="6"/>
      <c r="G4" s="7"/>
      <c r="H4" s="8" t="s">
        <v>23</v>
      </c>
      <c r="I4" s="9" t="s">
        <v>27</v>
      </c>
      <c r="J4" s="1"/>
      <c r="K4" s="1"/>
    </row>
    <row r="5" spans="1:11" ht="59.25" customHeight="1">
      <c r="A5" s="360"/>
      <c r="B5" s="10">
        <v>2</v>
      </c>
      <c r="C5" s="28"/>
      <c r="D5" s="11"/>
      <c r="E5" s="30"/>
      <c r="F5" s="13"/>
      <c r="G5" s="7"/>
      <c r="H5" s="27" t="s">
        <v>24</v>
      </c>
      <c r="I5" s="15" t="s">
        <v>28</v>
      </c>
      <c r="J5" s="1"/>
      <c r="K5" s="1"/>
    </row>
    <row r="6" spans="1:11" ht="59.25" customHeight="1">
      <c r="A6" s="360"/>
      <c r="B6" s="10">
        <v>1</v>
      </c>
      <c r="C6" s="29"/>
      <c r="D6" s="12"/>
      <c r="E6" s="16"/>
      <c r="F6" s="13"/>
      <c r="G6" s="7"/>
      <c r="H6" s="14" t="s">
        <v>25</v>
      </c>
      <c r="I6" s="18" t="s">
        <v>29</v>
      </c>
      <c r="J6" s="1"/>
      <c r="K6" s="1"/>
    </row>
    <row r="7" spans="1:11" ht="59.25" customHeight="1">
      <c r="A7" s="360"/>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61" t="s">
        <v>96</v>
      </c>
      <c r="D9" s="361"/>
      <c r="E9" s="361"/>
      <c r="F9" s="361"/>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M40"/>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 min="39" max="39" width="12" hidden="1" customWidth="1"/>
  </cols>
  <sheetData>
    <row r="1" spans="1:38" s="50" customFormat="1" ht="13" thickBot="1">
      <c r="B1" s="47"/>
      <c r="C1" s="217"/>
      <c r="L1" s="50">
        <v>0</v>
      </c>
      <c r="M1" s="50">
        <v>1</v>
      </c>
      <c r="N1" s="50">
        <v>2</v>
      </c>
      <c r="O1" s="50">
        <v>3</v>
      </c>
      <c r="P1" s="50">
        <v>4</v>
      </c>
      <c r="Q1" s="50">
        <v>5</v>
      </c>
    </row>
    <row r="2" spans="1:38" ht="16">
      <c r="A2" s="50"/>
      <c r="B2" s="367" t="s">
        <v>97</v>
      </c>
      <c r="C2" s="368"/>
      <c r="D2" s="371"/>
      <c r="E2" s="372"/>
      <c r="F2" s="373"/>
      <c r="G2" s="374"/>
      <c r="H2" s="375"/>
      <c r="I2" s="376"/>
      <c r="J2" s="111"/>
      <c r="K2" s="112"/>
      <c r="L2" s="112"/>
      <c r="M2" s="112"/>
      <c r="N2" s="112"/>
      <c r="O2" s="112"/>
      <c r="P2" s="112"/>
      <c r="Q2" s="112"/>
      <c r="R2" s="112"/>
      <c r="S2" s="112"/>
      <c r="T2" s="112"/>
      <c r="U2" s="112"/>
      <c r="V2" s="377" t="s">
        <v>98</v>
      </c>
      <c r="W2" s="378"/>
      <c r="X2" s="379"/>
      <c r="Y2" s="365" t="s">
        <v>99</v>
      </c>
      <c r="Z2" s="366"/>
    </row>
    <row r="3" spans="1:38" s="114" customFormat="1" ht="218" thickBot="1">
      <c r="A3" s="113"/>
      <c r="B3" s="369"/>
      <c r="C3" s="370"/>
      <c r="D3" s="265" t="s">
        <v>100</v>
      </c>
      <c r="E3" s="266" t="str">
        <f>'ONR 1'!E5</f>
        <v>Importance</v>
      </c>
      <c r="F3" s="273" t="str">
        <f>'ONR 1'!F5</f>
        <v>Niveau actuel</v>
      </c>
      <c r="G3" s="120" t="str">
        <f>'ONR 1'!G5</f>
        <v>Ce qui est déjà fait et ce qui justifie la note</v>
      </c>
      <c r="H3" s="121" t="str">
        <f>'ONR 1'!H5</f>
        <v>Compétences nécessaires</v>
      </c>
      <c r="I3" s="122" t="str">
        <f>'ONR 1'!I5</f>
        <v>Points forts et points faibles</v>
      </c>
      <c r="J3" s="123" t="str">
        <f>'ONR 1'!J5</f>
        <v>Niveau de priorité</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tr">
        <v>ONR</v>
      </c>
      <c r="AC3" s="192" t="s">
        <v>106</v>
      </c>
      <c r="AD3" s="192" t="s">
        <v>107</v>
      </c>
      <c r="AE3" s="192" t="str">
        <v>Cibles à évaluer</v>
      </c>
      <c r="AF3" s="193" t="s">
        <v>109</v>
      </c>
      <c r="AG3" s="194" t="s">
        <v>110</v>
      </c>
      <c r="AH3" s="195" t="s">
        <v>111</v>
      </c>
      <c r="AI3" s="196" t="s">
        <v>112</v>
      </c>
      <c r="AJ3" s="197" t="s">
        <v>113</v>
      </c>
      <c r="AK3" s="198" t="s">
        <v>114</v>
      </c>
      <c r="AL3" s="192" t="str">
        <v>Cibles non applicables</v>
      </c>
      <c r="AM3" t="str">
        <v>Piste d’action renseignée</v>
      </c>
    </row>
    <row r="4" spans="1:38" s="116" customFormat="1" ht="23" thickBot="1">
      <c r="A4" s="115"/>
      <c r="B4" s="382" t="str">
        <f>'ONR 1'!B2</f>
        <v>ONR 1 : Sobriété · Utiliser les outils numériques pour consommer moins de ressources et réduire leurs effets sur l’environnement</v>
      </c>
      <c r="C4" s="383"/>
      <c r="D4" s="383"/>
      <c r="E4" s="383"/>
      <c r="F4" s="383"/>
      <c r="G4" s="383"/>
      <c r="H4" s="383"/>
      <c r="I4" s="383"/>
      <c r="J4" s="383"/>
      <c r="K4" s="383"/>
      <c r="L4" s="383"/>
      <c r="M4" s="383"/>
      <c r="N4" s="383"/>
      <c r="O4" s="383"/>
      <c r="P4" s="383"/>
      <c r="Q4" s="383"/>
      <c r="R4" s="383"/>
      <c r="S4" s="383"/>
      <c r="T4" s="383"/>
      <c r="U4" s="383"/>
      <c r="V4" s="383"/>
      <c r="W4" s="383"/>
      <c r="X4" s="383"/>
      <c r="Y4" s="383"/>
      <c r="Z4" s="384"/>
      <c r="AB4" s="116" t="str">
        <f>B4</f>
        <v>ONR 1 : Sobriété · Utiliser les outils numériques pour consommer moins de ressources et réduire leurs effets sur l’environnement</v>
      </c>
      <c r="AC4" s="116" t="n">
        <f>COUNTA('ONR 1'!B7:B14)</f>
        <v>8</v>
      </c>
      <c r="AD4" s="116" t="n">
        <f>COUNT(T5:T12)</f>
        <v>0</v>
      </c>
      <c r="AE4" s="117" t="n">
        <f>SUM(AE5:AE12)</f>
        <v>8</v>
      </c>
      <c r="AF4" s="117" t="n">
        <f>SUM(AF5:AF12)</f>
        <v>0</v>
      </c>
      <c r="AG4" s="117" t="n">
        <f>SUM(AG5:AG12)</f>
        <v>0</v>
      </c>
      <c r="AH4" s="117" t="n">
        <f>SUM(AH5:AH12)</f>
        <v>0</v>
      </c>
      <c r="AI4" s="117" t="n">
        <f>SUM(AI5:AI12)</f>
        <v>0</v>
      </c>
      <c r="AJ4" s="117" t="n">
        <f>SUM(AJ5:AJ12)</f>
        <v>0</v>
      </c>
      <c r="AK4" s="117" t="n">
        <f>SUM(AK5:AK12)</f>
        <v>0</v>
      </c>
      <c r="AL4" s="117" t="n">
        <f>SUM(AL5:AL12)</f>
        <v>0</v>
      </c>
    </row>
    <row r="5" spans="1:38" s="205" customFormat="1" ht="38">
      <c r="A5" s="199"/>
      <c r="B5" s="218" t="str">
        <f>IF(ISBLANK('ONR 1'!B7),"",'ONR 1'!B7)</f>
        <v>1.1</v>
      </c>
      <c r="C5" s="218" t="str">
        <f>IF(ISBLANK('ONR 1'!C7),"",'ONR 1'!C7)</f>
        <v>Prendre en compte toute la vie des équipements et des logiciels de l'établissement, de l'achat à la fin de vie : postes, salles informatiques, équipements de laboratoire et de calcul.</v>
      </c>
      <c r="D5" s="223" t="str">
        <f>IF(ISBLANK('ONR 1'!D7),"",'ONR 1'!D7)</f>
      </c>
      <c r="E5" s="267" t="str">
        <f>IF(ISBLANK('ONR 1'!E7),"",'ONR 1'!E7)</f>
      </c>
      <c r="F5" s="274" t="str">
        <f>IF(ISBLANK('ONR 1'!F7),"",'ONR 1'!F7)</f>
      </c>
      <c r="G5" s="200" t="str">
        <f>IF(ISBLANK('ONR 1'!G7),"",'ONR 1'!G7)</f>
      </c>
      <c r="H5" s="201" t="str">
        <f>IF(ISBLANK('ONR 1'!H7),"",'ONR 1'!H7)</f>
      </c>
      <c r="I5" s="225" t="str">
        <f>IF(ISBLANK('ONR 1'!I7),"",'ONR 1'!I7)</f>
      </c>
      <c r="J5" s="226" t="str">
        <f>IF(ISBLANK('ONR 1'!J7),"",'ONR 1'!J7)</f>
      </c>
      <c r="K5" s="227" t="str">
        <f>IF(ISBLANK('ONR 1'!K7),"",'ONR 1'!K7)</f>
      </c>
      <c r="L5" s="227" t="b">
        <f>IF(ISBLANK('ONR 1'!L7),"",'ONR 1'!L7)</f>
        <v>0</v>
      </c>
      <c r="M5" s="227" t="b">
        <f>IF(ISBLANK('ONR 1'!M7),"",'ONR 1'!M7)</f>
        <v>0</v>
      </c>
      <c r="N5" s="227" t="b">
        <f>IF(ISBLANK('ONR 1'!N7),"",'ONR 1'!N7)</f>
        <v>0</v>
      </c>
      <c r="O5" s="227" t="b">
        <f>IF(ISBLANK('ONR 1'!O7),"",'ONR 1'!O7)</f>
        <v>0</v>
      </c>
      <c r="P5" s="227" t="b">
        <f>IF(ISBLANK('ONR 1'!P7),"",'ONR 1'!P7)</f>
        <v>0</v>
      </c>
      <c r="Q5" s="227" t="b">
        <f>IF(ISBLANK('ONR 1'!Q7),"",'ONR 1'!Q7)</f>
        <v>0</v>
      </c>
      <c r="R5" s="227" t="b">
        <f>IF(ISBLANK('ONR 1'!R7),"",'ONR 1'!R7)</f>
        <v>0</v>
      </c>
      <c r="S5" s="228" t="str">
        <f>IF(ISBLANK('ONR 1'!S7),"",'ONR 1'!S7)</f>
      </c>
      <c r="T5" s="226" t="str">
        <f>IF(ISBLANK('ONR 1'!T7),"",'ONR 1'!T7)</f>
      </c>
      <c r="U5" s="227" t="str">
        <f>IF(ISBLANK('ONR 1'!U7),"",'ONR 1'!U7)</f>
      </c>
      <c r="V5" s="229" t="str">
        <f>IF(ISBLANK('ONR 1'!G7),"",'ONR 1'!G7)</f>
      </c>
      <c r="W5" s="203" t="str">
        <f>IF(ISBLANK('ONR 1'!V7),"",'ONR 1'!V7)</f>
      </c>
      <c r="X5" s="204" t="str">
        <f>IF(ISBLANK('ONR 1'!W7),"",'ONR 1'!W7)</f>
      </c>
      <c r="Y5" s="230" t="str">
        <f>IF(ISBLANK('ONR 1'!I7),"",'ONR 1'!I7)</f>
      </c>
      <c r="Z5" s="230" t="str">
        <f>IF(ISBLANK('ONR 1'!D7),"",'ONR 1'!D7)</f>
      </c>
      <c r="AE5" s="206" t="n">
        <f>IF(ISNUMBER(T5),0,1)</f>
      </c>
      <c r="AF5" s="206" t="n">
        <f>IF(L5=TRUE,1,0)</f>
      </c>
      <c r="AG5" s="206" t="n">
        <f>IF(M5=TRUE,1,0)</f>
      </c>
      <c r="AH5" s="206" t="n">
        <f>IF(N5=TRUE,1,0)</f>
      </c>
      <c r="AI5" s="206" t="n">
        <f>IF(O5=TRUE,1,0)</f>
      </c>
      <c r="AJ5" s="206" t="n">
        <f>IF(P5=TRUE,1,0)</f>
      </c>
      <c r="AK5" s="206" t="n">
        <f>IF(Q5=TRUE,1,0)</f>
      </c>
      <c r="AL5" s="206" t="n">
        <f>IF(R5=TRUE,1,0)</f>
      </c>
      <c r="AM5" t="n">
        <f>IF(LEN(TRIM(W5))&gt;0,1,0)</f>
        <v>0</v>
      </c>
    </row>
    <row r="6" spans="1:38" s="205" customFormat="1" ht="57">
      <c r="A6" s="199"/>
      <c r="B6" s="219" t="str">
        <f>IF(ISBLANK('ONR 1'!B8),"",'ONR 1'!B8)</f>
        <v>1.2</v>
      </c>
      <c r="C6" s="219" t="str">
        <f>IF(ISBLANK('ONR 1'!C8),"",'ONR 1'!C8)</f>
        <v>Utiliser plus longtemps les équipements des personnels, des salles et des laboratoires, même après leur amortissement, en organisant leur réparation et leur réaffectation.</v>
      </c>
      <c r="D6" s="231" t="str">
        <f>IF(ISBLANK('ONR 1'!D8),"",'ONR 1'!D8)</f>
      </c>
      <c r="E6" s="268" t="str">
        <f>IF(ISBLANK('ONR 1'!E8),"",'ONR 1'!E8)</f>
      </c>
      <c r="F6" s="275" t="str">
        <f>IF(ISBLANK('ONR 1'!F8),"",'ONR 1'!F8)</f>
      </c>
      <c r="G6" s="207" t="str">
        <f>IF(ISBLANK('ONR 1'!G8),"",'ONR 1'!G8)</f>
      </c>
      <c r="H6" s="201" t="str">
        <f>IF(ISBLANK('ONR 1'!H8),"",'ONR 1'!H8)</f>
      </c>
      <c r="I6" s="225" t="str">
        <f>IF(ISBLANK('ONR 1'!I8),"",'ONR 1'!I8)</f>
      </c>
      <c r="J6" s="232" t="str">
        <f>IF(ISBLANK('ONR 1'!J8),"",'ONR 1'!J8)</f>
      </c>
      <c r="K6" s="233" t="str">
        <f>IF(ISBLANK('ONR 1'!K8),"",'ONR 1'!K8)</f>
      </c>
      <c r="L6" s="233" t="b">
        <f>IF(ISBLANK('ONR 1'!L8),"",'ONR 1'!L8)</f>
      </c>
      <c r="M6" s="233" t="b">
        <f>IF(ISBLANK('ONR 1'!M8),"",'ONR 1'!M8)</f>
      </c>
      <c r="N6" s="233" t="b">
        <f>IF(ISBLANK('ONR 1'!N8),"",'ONR 1'!N8)</f>
      </c>
      <c r="O6" s="233" t="b">
        <f>IF(ISBLANK('ONR 1'!O8),"",'ONR 1'!O8)</f>
      </c>
      <c r="P6" s="233" t="b">
        <f>IF(ISBLANK('ONR 1'!P8),"",'ONR 1'!P8)</f>
      </c>
      <c r="Q6" s="233" t="b">
        <f>IF(ISBLANK('ONR 1'!Q8),"",'ONR 1'!Q8)</f>
      </c>
      <c r="R6" s="233" t="b">
        <f>IF(ISBLANK('ONR 1'!R8),"",'ONR 1'!R8)</f>
      </c>
      <c r="S6" s="234" t="str">
        <f>IF(ISBLANK('ONR 1'!S8),"",'ONR 1'!S8)</f>
      </c>
      <c r="T6" s="232" t="str">
        <f>IF(ISBLANK('ONR 1'!T8),"",'ONR 1'!T8)</f>
      </c>
      <c r="U6" s="233" t="str">
        <f>IF(ISBLANK('ONR 1'!U8),"",'ONR 1'!U8)</f>
      </c>
      <c r="V6" s="235" t="str">
        <f>IF(ISBLANK('ONR 1'!G8),"",'ONR 1'!G8)</f>
      </c>
      <c r="W6" s="235" t="str">
        <f>IF(ISBLANK('ONR 1'!V8),"",'ONR 1'!V8)</f>
      </c>
      <c r="X6" s="204" t="str">
        <f>IF(ISBLANK('ONR 1'!W8),"",'ONR 1'!W8)</f>
      </c>
      <c r="Y6" s="236" t="str">
        <f>IF(ISBLANK('ONR 1'!I8),"",'ONR 1'!I8)</f>
      </c>
      <c r="Z6" s="236" t="str">
        <f>IF(ISBLANK('ONR 1'!D8),"",'ONR 1'!D8)</f>
      </c>
      <c r="AE6" s="206" t="n">
        <f>IF(ISNUMBER(T6),0,1)</f>
      </c>
      <c r="AF6" s="206" t="n">
        <f>IF(L6=TRUE,1,0)</f>
      </c>
      <c r="AG6" s="206" t="n">
        <f>IF(M6=TRUE,1,0)</f>
      </c>
      <c r="AH6" s="206" t="n">
        <f>IF(N6=TRUE,1,0)</f>
      </c>
      <c r="AI6" s="206" t="n">
        <f>IF(O6=TRUE,1,0)</f>
      </c>
      <c r="AJ6" s="206" t="n">
        <f>IF(P6=TRUE,1,0)</f>
      </c>
      <c r="AK6" s="206" t="n">
        <f>IF(Q6=TRUE,1,0)</f>
      </c>
      <c r="AL6" s="206" t="n">
        <f>IF(R6=TRUE,1,0)</f>
      </c>
      <c r="AM6" t="n">
        <f>IF(LEN(TRIM(W6))&gt;0,1,0)</f>
        <v>0</v>
      </c>
    </row>
    <row r="7" spans="1:38" s="205" customFormat="1" ht="57">
      <c r="A7" s="199"/>
      <c r="B7" s="219" t="str">
        <f>IF(ISBLANK('ONR 1'!B9),"",'ONR 1'!B9)</f>
        <v>1.3</v>
      </c>
      <c r="C7" s="219" t="str">
        <f>IF(ISBLANK('ONR 1'!C9),"",'ONR 1'!C9)</f>
        <v>Concevoir des services numériques qui limitent leurs effets sur l'environnement, en suivant le RGESN : plateforme pédagogique (LMS comme Moodle), environnement numérique de travail (ENT), applications de scolarité, logiciels de recherche. Choisir des technologies qui contribuent aux ODD.</v>
      </c>
      <c r="D7" s="231" t="str">
        <f>IF(ISBLANK('ONR 1'!D9),"",'ONR 1'!D9)</f>
      </c>
      <c r="E7" s="268" t="str">
        <f>IF(ISBLANK('ONR 1'!E9),"",'ONR 1'!E9)</f>
      </c>
      <c r="F7" s="275" t="str">
        <f>IF(ISBLANK('ONR 1'!F9),"",'ONR 1'!F9)</f>
      </c>
      <c r="G7" s="207" t="str">
        <f>IF(ISBLANK('ONR 1'!G9),"",'ONR 1'!G9)</f>
      </c>
      <c r="H7" s="201" t="str">
        <f>IF(ISBLANK('ONR 1'!H9),"",'ONR 1'!H9)</f>
      </c>
      <c r="I7" s="225" t="str">
        <f>IF(ISBLANK('ONR 1'!I9),"",'ONR 1'!I9)</f>
      </c>
      <c r="J7" s="232" t="str">
        <f>IF(ISBLANK('ONR 1'!J9),"",'ONR 1'!J9)</f>
      </c>
      <c r="K7" s="233" t="str">
        <f>IF(ISBLANK('ONR 1'!K9),"",'ONR 1'!K9)</f>
      </c>
      <c r="L7" s="233" t="b">
        <f>IF(ISBLANK('ONR 1'!L9),"",'ONR 1'!L9)</f>
      </c>
      <c r="M7" s="233" t="b">
        <f>IF(ISBLANK('ONR 1'!M9),"",'ONR 1'!M9)</f>
      </c>
      <c r="N7" s="233" t="b">
        <f>IF(ISBLANK('ONR 1'!N9),"",'ONR 1'!N9)</f>
      </c>
      <c r="O7" s="233" t="b">
        <f>IF(ISBLANK('ONR 1'!O9),"",'ONR 1'!O9)</f>
      </c>
      <c r="P7" s="233" t="b">
        <f>IF(ISBLANK('ONR 1'!P9),"",'ONR 1'!P9)</f>
      </c>
      <c r="Q7" s="233" t="b">
        <f>IF(ISBLANK('ONR 1'!Q9),"",'ONR 1'!Q9)</f>
      </c>
      <c r="R7" s="233" t="b">
        <f>IF(ISBLANK('ONR 1'!R9),"",'ONR 1'!R9)</f>
      </c>
      <c r="S7" s="234" t="str">
        <f>IF(ISBLANK('ONR 1'!S9),"",'ONR 1'!S9)</f>
      </c>
      <c r="T7" s="232" t="str">
        <f>IF(ISBLANK('ONR 1'!T9),"",'ONR 1'!T9)</f>
      </c>
      <c r="U7" s="233" t="str">
        <f>IF(ISBLANK('ONR 1'!U9),"",'ONR 1'!U9)</f>
      </c>
      <c r="V7" s="235" t="str">
        <f>IF(ISBLANK('ONR 1'!G9),"",'ONR 1'!G9)</f>
      </c>
      <c r="W7" s="142" t="str">
        <f>IF(ISBLANK('ONR 1'!V9),"",'ONR 1'!V9)</f>
      </c>
      <c r="X7" s="204" t="str">
        <f>IF(ISBLANK('ONR 1'!W9),"",'ONR 1'!W9)</f>
      </c>
      <c r="Y7" s="236" t="str">
        <f>IF(ISBLANK('ONR 1'!I9),"",'ONR 1'!I9)</f>
      </c>
      <c r="Z7" s="236" t="str">
        <f>IF(ISBLANK('ONR 1'!D9),"",'ONR 1'!D9)</f>
      </c>
      <c r="AE7" s="206" t="n">
        <f>IF(ISNUMBER(T7),0,1)</f>
      </c>
      <c r="AF7" s="206" t="n">
        <f>IF(L7=TRUE,1,0)</f>
      </c>
      <c r="AG7" s="206" t="n">
        <f>IF(M7=TRUE,1,0)</f>
      </c>
      <c r="AH7" s="206" t="n">
        <f>IF(N7=TRUE,1,0)</f>
      </c>
      <c r="AI7" s="206" t="n">
        <f>IF(O7=TRUE,1,0)</f>
      </c>
      <c r="AJ7" s="206" t="n">
        <f>IF(P7=TRUE,1,0)</f>
      </c>
      <c r="AK7" s="206" t="n">
        <f>IF(Q7=TRUE,1,0)</f>
      </c>
      <c r="AL7" s="206" t="n">
        <f>IF(R7=TRUE,1,0)</f>
      </c>
      <c r="AM7" t="n">
        <f>IF(LEN(TRIM(W7))&gt;0,1,0)</f>
        <v>0</v>
      </c>
    </row>
    <row r="8" spans="1:38" s="205" customFormat="1" ht="38">
      <c r="A8" s="199"/>
      <c r="B8" s="219" t="str">
        <f>IF(ISBLANK('ONR 1'!B10),"",'ONR 1'!B10)</f>
        <v>1.4</v>
      </c>
      <c r="C8" s="219" t="str">
        <f>IF(ISBLANK('ONR 1'!C10),"",'ONR 1'!C10)</f>
        <v>Adopter, dans les cours, les examens, l'administration et les laboratoires, des pratiques qui consomment moins de matériel, d'énergie, de papier et de stockage.</v>
      </c>
      <c r="D8" s="237" t="str">
        <f>IF(ISBLANK('ONR 1'!D10),"",'ONR 1'!D10)</f>
      </c>
      <c r="E8" s="269" t="str">
        <f>IF(ISBLANK('ONR 1'!E10),"",'ONR 1'!E10)</f>
      </c>
      <c r="F8" s="276" t="str">
        <f>IF(ISBLANK('ONR 1'!F10),"",'ONR 1'!F10)</f>
      </c>
      <c r="G8" s="208" t="str">
        <f>IF(ISBLANK('ONR 1'!G10),"",'ONR 1'!G10)</f>
      </c>
      <c r="H8" s="209" t="str">
        <f>IF(ISBLANK('ONR 1'!H10),"",'ONR 1'!H10)</f>
      </c>
      <c r="I8" s="225" t="str">
        <f>IF(ISBLANK('ONR 1'!I10),"",'ONR 1'!I10)</f>
      </c>
      <c r="J8" s="232" t="str">
        <f>IF(ISBLANK('ONR 1'!J10),"",'ONR 1'!J10)</f>
      </c>
      <c r="K8" s="233" t="str">
        <f>IF(ISBLANK('ONR 1'!K10),"",'ONR 1'!K10)</f>
      </c>
      <c r="L8" s="233" t="b">
        <f>IF(ISBLANK('ONR 1'!L10),"",'ONR 1'!L10)</f>
      </c>
      <c r="M8" s="233" t="b">
        <f>IF(ISBLANK('ONR 1'!M10),"",'ONR 1'!M10)</f>
      </c>
      <c r="N8" s="233" t="b">
        <f>IF(ISBLANK('ONR 1'!N10),"",'ONR 1'!N10)</f>
      </c>
      <c r="O8" s="233" t="b">
        <f>IF(ISBLANK('ONR 1'!O10),"",'ONR 1'!O10)</f>
      </c>
      <c r="P8" s="233" t="b">
        <f>IF(ISBLANK('ONR 1'!P10),"",'ONR 1'!P10)</f>
      </c>
      <c r="Q8" s="233" t="b">
        <f>IF(ISBLANK('ONR 1'!Q10),"",'ONR 1'!Q10)</f>
      </c>
      <c r="R8" s="233" t="b">
        <f>IF(ISBLANK('ONR 1'!R10),"",'ONR 1'!R10)</f>
      </c>
      <c r="S8" s="234" t="str">
        <f>IF(ISBLANK('ONR 1'!S10),"",'ONR 1'!S10)</f>
      </c>
      <c r="T8" s="232" t="str">
        <f>IF(ISBLANK('ONR 1'!T10),"",'ONR 1'!T10)</f>
      </c>
      <c r="U8" s="233" t="str">
        <f>IF(ISBLANK('ONR 1'!U10),"",'ONR 1'!U10)</f>
      </c>
      <c r="V8" s="239" t="str">
        <f>IF(ISBLANK('ONR 1'!G10),"",'ONR 1'!G10)</f>
      </c>
      <c r="W8" s="210" t="str">
        <f>IF(ISBLANK('ONR 1'!V10),"",'ONR 1'!V10)</f>
      </c>
      <c r="X8" s="204" t="str">
        <f>IF(ISBLANK('ONR 1'!W10),"",'ONR 1'!W10)</f>
      </c>
      <c r="Y8" s="236" t="str">
        <f>IF(ISBLANK('ONR 1'!I10),"",'ONR 1'!I10)</f>
      </c>
      <c r="Z8" s="236" t="str">
        <f>IF(ISBLANK('ONR 1'!D10),"",'ONR 1'!D10)</f>
      </c>
      <c r="AE8" s="206" t="n">
        <f>IF(ISNUMBER(T8),0,1)</f>
      </c>
      <c r="AF8" s="206" t="n">
        <f>IF(L8=TRUE,1,0)</f>
      </c>
      <c r="AG8" s="206" t="n">
        <f>IF(M8=TRUE,1,0)</f>
      </c>
      <c r="AH8" s="206" t="n">
        <f>IF(N8=TRUE,1,0)</f>
      </c>
      <c r="AI8" s="206" t="n">
        <f>IF(O8=TRUE,1,0)</f>
      </c>
      <c r="AJ8" s="206" t="n">
        <f>IF(P8=TRUE,1,0)</f>
      </c>
      <c r="AK8" s="206" t="n">
        <f>IF(Q8=TRUE,1,0)</f>
      </c>
      <c r="AL8" s="206" t="n">
        <f>IF(R8=TRUE,1,0)</f>
      </c>
      <c r="AM8" t="n">
        <f>IF(LEN(TRIM(W8))&gt;0,1,0)</f>
        <v>0</v>
      </c>
    </row>
    <row r="9" spans="1:38" s="205" customFormat="1" ht="57">
      <c r="A9" s="199"/>
      <c r="B9" s="219" t="str">
        <f>IF(ISBLANK('ONR 1'!B11),"",'ONR 1'!B11)</f>
        <v>1.5</v>
      </c>
      <c r="C9" s="219" t="str">
        <f>IF(ISBLANK('ONR 1'!C11),"",'ONR 1'!C11)</f>
        <v>Confier les équipements en fin d'usage à des filières de réemploi et de l'économie sociale et solidaire, par exemple pour équiper des étudiants.</v>
      </c>
      <c r="D9" s="240" t="str">
        <f>IF(ISBLANK('ONR 1'!D11),"",'ONR 1'!D11)</f>
      </c>
      <c r="E9" s="270" t="str">
        <f>IF(ISBLANK('ONR 1'!E11),"",'ONR 1'!E11)</f>
      </c>
      <c r="F9" s="277" t="str">
        <f>IF(ISBLANK('ONR 1'!F11),"",'ONR 1'!F11)</f>
      </c>
      <c r="G9" s="211" t="str">
        <f>IF(ISBLANK('ONR 1'!G11),"",'ONR 1'!G11)</f>
      </c>
      <c r="H9" s="212" t="str">
        <f>IF(ISBLANK('ONR 1'!H11),"",'ONR 1'!H11)</f>
      </c>
      <c r="I9" s="225" t="str">
        <f>IF(ISBLANK('ONR 1'!I11),"",'ONR 1'!I11)</f>
      </c>
      <c r="J9" s="232" t="str">
        <f>IF(ISBLANK('ONR 1'!J11),"",'ONR 1'!J11)</f>
      </c>
      <c r="K9" s="233" t="str">
        <f>IF(ISBLANK('ONR 1'!K11),"",'ONR 1'!K11)</f>
      </c>
      <c r="L9" s="233" t="b">
        <f>IF(ISBLANK('ONR 1'!L11),"",'ONR 1'!L11)</f>
      </c>
      <c r="M9" s="233" t="b">
        <f>IF(ISBLANK('ONR 1'!M11),"",'ONR 1'!M11)</f>
      </c>
      <c r="N9" s="233" t="b">
        <f>IF(ISBLANK('ONR 1'!N11),"",'ONR 1'!N11)</f>
      </c>
      <c r="O9" s="233" t="b">
        <f>IF(ISBLANK('ONR 1'!O11),"",'ONR 1'!O11)</f>
      </c>
      <c r="P9" s="233" t="b">
        <f>IF(ISBLANK('ONR 1'!P11),"",'ONR 1'!P11)</f>
      </c>
      <c r="Q9" s="233" t="b">
        <f>IF(ISBLANK('ONR 1'!Q11),"",'ONR 1'!Q11)</f>
      </c>
      <c r="R9" s="233" t="b">
        <f>IF(ISBLANK('ONR 1'!R11),"",'ONR 1'!R11)</f>
      </c>
      <c r="S9" s="234" t="str">
        <f>IF(ISBLANK('ONR 1'!S11),"",'ONR 1'!S11)</f>
      </c>
      <c r="T9" s="232" t="str">
        <f>IF(ISBLANK('ONR 1'!T11),"",'ONR 1'!T11)</f>
      </c>
      <c r="U9" s="233" t="str">
        <f>IF(ISBLANK('ONR 1'!U11),"",'ONR 1'!U11)</f>
      </c>
      <c r="V9" s="241" t="str">
        <f>IF(ISBLANK('ONR 1'!G11),"",'ONR 1'!G11)</f>
      </c>
      <c r="W9" s="241" t="str">
        <f>IF(ISBLANK('ONR 1'!V11),"",'ONR 1'!V11)</f>
      </c>
      <c r="X9" s="204" t="str">
        <f>IF(ISBLANK('ONR 1'!W11),"",'ONR 1'!W11)</f>
      </c>
      <c r="Y9" s="236" t="str">
        <f>IF(ISBLANK('ONR 1'!I11),"",'ONR 1'!I11)</f>
      </c>
      <c r="Z9" s="236" t="str">
        <f>IF(ISBLANK('ONR 1'!D11),"",'ONR 1'!D11)</f>
      </c>
      <c r="AE9" s="206" t="n">
        <f>IF(ISNUMBER(T9),0,1)</f>
      </c>
      <c r="AF9" s="206" t="n">
        <f>IF(L9=TRUE,1,0)</f>
      </c>
      <c r="AG9" s="206" t="n">
        <f>IF(M9=TRUE,1,0)</f>
      </c>
      <c r="AH9" s="206" t="n">
        <f>IF(N9=TRUE,1,0)</f>
      </c>
      <c r="AI9" s="206" t="n">
        <f>IF(O9=TRUE,1,0)</f>
      </c>
      <c r="AJ9" s="206" t="n">
        <f>IF(P9=TRUE,1,0)</f>
      </c>
      <c r="AK9" s="206" t="n">
        <f>IF(Q9=TRUE,1,0)</f>
      </c>
      <c r="AL9" s="206" t="n">
        <f>IF(R9=TRUE,1,0)</f>
      </c>
      <c r="AM9" t="n">
        <f>IF(LEN(TRIM(W9))&gt;0,1,0)</f>
        <v>0</v>
      </c>
    </row>
    <row r="10" spans="1:38" s="205" customFormat="1" ht="38">
      <c r="A10" s="199"/>
      <c r="B10" s="219" t="str">
        <f>IF(ISBLANK('ONR 1'!B12),"",'ONR 1'!B12)</f>
        <v>1.6</v>
      </c>
      <c r="C10" s="219" t="str">
        <f>IF(ISBLANK('ONR 1'!C12),"",'ONR 1'!C12)</f>
        <v>Alimenter les campus, les centres de données et les moyens de calcul avec des énergies renouvelables, et valoriser leur chaleur fatale.</v>
      </c>
      <c r="D10" s="240" t="str">
        <f>IF(ISBLANK('ONR 1'!D12),"",'ONR 1'!D12)</f>
      </c>
      <c r="E10" s="270" t="str">
        <f>IF(ISBLANK('ONR 1'!E12),"",'ONR 1'!E12)</f>
      </c>
      <c r="F10" s="277" t="str">
        <f>IF(ISBLANK('ONR 1'!F12),"",'ONR 1'!F12)</f>
      </c>
      <c r="G10" s="211" t="str">
        <f>IF(ISBLANK('ONR 1'!G12),"",'ONR 1'!G12)</f>
      </c>
      <c r="H10" s="212" t="str">
        <f>IF(ISBLANK('ONR 1'!H12),"",'ONR 1'!H12)</f>
      </c>
      <c r="I10" s="225" t="str">
        <f>IF(ISBLANK('ONR 1'!I12),"",'ONR 1'!I12)</f>
      </c>
      <c r="J10" s="232" t="str">
        <f>IF(ISBLANK('ONR 1'!J12),"",'ONR 1'!J12)</f>
      </c>
      <c r="K10" s="233" t="str">
        <f>IF(ISBLANK('ONR 1'!K12),"",'ONR 1'!K12)</f>
      </c>
      <c r="L10" s="233" t="b">
        <f>IF(ISBLANK('ONR 1'!L12),"",'ONR 1'!L12)</f>
      </c>
      <c r="M10" s="233" t="b">
        <f>IF(ISBLANK('ONR 1'!M12),"",'ONR 1'!M12)</f>
      </c>
      <c r="N10" s="233" t="b">
        <f>IF(ISBLANK('ONR 1'!N12),"",'ONR 1'!N12)</f>
      </c>
      <c r="O10" s="233" t="b">
        <f>IF(ISBLANK('ONR 1'!O12),"",'ONR 1'!O12)</f>
      </c>
      <c r="P10" s="233" t="b">
        <f>IF(ISBLANK('ONR 1'!P12),"",'ONR 1'!P12)</f>
      </c>
      <c r="Q10" s="233" t="b">
        <f>IF(ISBLANK('ONR 1'!Q12),"",'ONR 1'!Q12)</f>
      </c>
      <c r="R10" s="233" t="b">
        <f>IF(ISBLANK('ONR 1'!R12),"",'ONR 1'!R12)</f>
      </c>
      <c r="S10" s="234" t="str">
        <f>IF(ISBLANK('ONR 1'!S12),"",'ONR 1'!S12)</f>
      </c>
      <c r="T10" s="232" t="str">
        <f>IF(ISBLANK('ONR 1'!T12),"",'ONR 1'!T12)</f>
      </c>
      <c r="U10" s="233" t="str">
        <f>IF(ISBLANK('ONR 1'!U12),"",'ONR 1'!U12)</f>
      </c>
      <c r="V10" s="241" t="str">
        <f>IF(ISBLANK('ONR 1'!G12),"",'ONR 1'!G12)</f>
      </c>
      <c r="W10" s="241" t="str">
        <f>IF(ISBLANK('ONR 1'!V12),"",'ONR 1'!V12)</f>
      </c>
      <c r="X10" s="204" t="str">
        <f>IF(ISBLANK('ONR 1'!W12),"",'ONR 1'!W12)</f>
      </c>
      <c r="Y10" s="236" t="str">
        <f>IF(ISBLANK('ONR 1'!I12),"",'ONR 1'!I12)</f>
      </c>
      <c r="Z10" s="236" t="str">
        <f>IF(ISBLANK('ONR 1'!D12),"",'ONR 1'!D12)</f>
      </c>
      <c r="AE10" s="206" t="n">
        <f>IF(ISNUMBER(T10),0,1)</f>
      </c>
      <c r="AF10" s="206" t="n">
        <f>IF(L10=TRUE,1,0)</f>
      </c>
      <c r="AG10" s="206" t="n">
        <f>IF(M10=TRUE,1,0)</f>
      </c>
      <c r="AH10" s="206" t="n">
        <f>IF(N10=TRUE,1,0)</f>
      </c>
      <c r="AI10" s="206" t="n">
        <f>IF(O10=TRUE,1,0)</f>
      </c>
      <c r="AJ10" s="206" t="n">
        <f>IF(P10=TRUE,1,0)</f>
      </c>
      <c r="AK10" s="206" t="n">
        <f>IF(Q10=TRUE,1,0)</f>
      </c>
      <c r="AL10" s="206" t="n">
        <f>IF(R10=TRUE,1,0)</f>
      </c>
      <c r="AM10" t="n">
        <f>IF(LEN(TRIM(W10))&gt;0,1,0)</f>
        <v>0</v>
      </c>
    </row>
    <row r="11" spans="1:38" s="205" customFormat="1" ht="39" thickBot="1">
      <c r="A11" s="199"/>
      <c r="B11" s="219" t="str">
        <f>IF(ISBLANK('ONR 1'!B13),"",'ONR 1'!B13)</f>
        <v>1.7</v>
      </c>
      <c r="C11" s="219" t="str">
        <f>IF(ISBLANK('ONR 1'!C13),"",'ONR 1'!C13)</f>
        <v>Réserver l'intelligence artificielle aux besoins de formation, de recherche et de gestion qui la justifient, et choisir des solutions sobres.</v>
      </c>
      <c r="D11" s="240" t="str">
        <f>IF(ISBLANK('ONR 1'!D13),"",'ONR 1'!D13)</f>
      </c>
      <c r="E11" s="270" t="str">
        <f>IF(ISBLANK('ONR 1'!E13),"",'ONR 1'!E13)</f>
      </c>
      <c r="F11" s="277" t="str">
        <f>IF(ISBLANK('ONR 1'!F13),"",'ONR 1'!F13)</f>
      </c>
      <c r="G11" s="211" t="str">
        <f>IF(ISBLANK('ONR 1'!G13),"",'ONR 1'!G13)</f>
      </c>
      <c r="H11" s="212" t="str">
        <f>IF(ISBLANK('ONR 1'!H13),"",'ONR 1'!H13)</f>
      </c>
      <c r="I11" s="225" t="str">
        <f>IF(ISBLANK('ONR 1'!I13),"",'ONR 1'!I13)</f>
      </c>
      <c r="J11" s="232" t="str">
        <f>IF(ISBLANK('ONR 1'!J13),"",'ONR 1'!J13)</f>
      </c>
      <c r="K11" s="233" t="str">
        <f>IF(ISBLANK('ONR 1'!K13),"",'ONR 1'!K13)</f>
      </c>
      <c r="L11" s="233" t="b">
        <f>IF(ISBLANK('ONR 1'!L13),"",'ONR 1'!L13)</f>
      </c>
      <c r="M11" s="233" t="b">
        <f>IF(ISBLANK('ONR 1'!M13),"",'ONR 1'!M13)</f>
      </c>
      <c r="N11" s="233" t="b">
        <f>IF(ISBLANK('ONR 1'!N13),"",'ONR 1'!N13)</f>
      </c>
      <c r="O11" s="233" t="b">
        <f>IF(ISBLANK('ONR 1'!O13),"",'ONR 1'!O13)</f>
      </c>
      <c r="P11" s="233" t="b">
        <f>IF(ISBLANK('ONR 1'!P13),"",'ONR 1'!P13)</f>
      </c>
      <c r="Q11" s="233" t="b">
        <f>IF(ISBLANK('ONR 1'!Q13),"",'ONR 1'!Q13)</f>
      </c>
      <c r="R11" s="233" t="b">
        <f>IF(ISBLANK('ONR 1'!R13),"",'ONR 1'!R13)</f>
      </c>
      <c r="S11" s="234" t="str">
        <f>IF(ISBLANK('ONR 1'!S13),"",'ONR 1'!S13)</f>
      </c>
      <c r="T11" s="232" t="str">
        <f>IF(ISBLANK('ONR 1'!T13),"",'ONR 1'!T13)</f>
      </c>
      <c r="U11" s="233" t="str">
        <f>IF(ISBLANK('ONR 1'!U13),"",'ONR 1'!U13)</f>
      </c>
      <c r="V11" s="241" t="str">
        <f>IF(ISBLANK('ONR 1'!G13),"",'ONR 1'!G13)</f>
      </c>
      <c r="W11" s="241" t="str">
        <f>IF(ISBLANK('ONR 1'!V13),"",'ONR 1'!V13)</f>
      </c>
      <c r="X11" s="204" t="str">
        <f>IF(ISBLANK('ONR 1'!W13),"",'ONR 1'!W13)</f>
      </c>
      <c r="Y11" s="236" t="str">
        <f>IF(ISBLANK('ONR 1'!I13),"",'ONR 1'!I13)</f>
      </c>
      <c r="Z11" s="236" t="str">
        <f>IF(ISBLANK('ONR 1'!D13),"",'ONR 1'!D13)</f>
      </c>
      <c r="AE11" s="206" t="n">
        <f>IF(ISNUMBER(T11),0,1)</f>
      </c>
      <c r="AF11" s="206" t="n">
        <f>IF(L11=TRUE,1,0)</f>
      </c>
      <c r="AG11" s="206" t="n">
        <f>IF(M11=TRUE,1,0)</f>
      </c>
      <c r="AH11" s="206" t="n">
        <f>IF(N11=TRUE,1,0)</f>
      </c>
      <c r="AI11" s="206" t="n">
        <f>IF(O11=TRUE,1,0)</f>
      </c>
      <c r="AJ11" s="206" t="n">
        <f>IF(P11=TRUE,1,0)</f>
      </c>
      <c r="AK11" s="206" t="n">
        <f>IF(Q11=TRUE,1,0)</f>
      </c>
      <c r="AL11" s="206" t="n">
        <f>IF(R11=TRUE,1,0)</f>
      </c>
      <c r="AM11" t="n">
        <f>IF(LEN(TRIM(W11))&gt;0,1,0)</f>
        <v>0</v>
      </c>
    </row>
    <row r="12" spans="1:38" s="205" customFormat="1" ht="39" thickBot="1">
      <c r="A12" s="199"/>
      <c r="B12" s="219" t="str">
        <f>IF(ISBLANK('ONR 1'!B14),"",'ONR 1'!B14)</f>
        <v>1.8</v>
      </c>
      <c r="C12" s="219" t="str">
        <f>IF(ISBLANK('ONR 1'!C14),"",'ONR 1'!C14)</f>
        <v>Mesurer et réduire ce que consomme l'intelligence artificielle dans l'établissement, notamment l'entraînement de modèles par les équipes de recherche.</v>
      </c>
      <c r="D12" s="240" t="str">
        <f>IF(ISBLANK('ONR 1'!D14),"",'ONR 1'!D14)</f>
      </c>
      <c r="E12" s="270" t="str">
        <f>IF(ISBLANK('ONR 1'!E14),"",'ONR 1'!E14)</f>
      </c>
      <c r="F12" s="277" t="str">
        <f>IF(ISBLANK('ONR 1'!F14),"",'ONR 1'!F14)</f>
      </c>
      <c r="G12" s="211" t="str">
        <f>IF(ISBLANK('ONR 1'!G14),"",'ONR 1'!G14)</f>
      </c>
      <c r="H12" s="212" t="str">
        <f>IF(ISBLANK('ONR 1'!H14),"",'ONR 1'!H14)</f>
      </c>
      <c r="I12" s="225" t="str">
        <f>IF(ISBLANK('ONR 1'!I14),"",'ONR 1'!I14)</f>
      </c>
      <c r="J12" s="232" t="n">
        <f>IF(ISBLANK('ONR 1'!J14),"",'ONR 1'!J14)</f>
        <v>0</v>
      </c>
      <c r="K12" s="233" t="str">
        <f>IF(ISBLANK('ONR 1'!K14),"",'ONR 1'!K14)</f>
      </c>
      <c r="L12" s="233" t="b">
        <f>IF(ISBLANK('ONR 1'!L14),"",'ONR 1'!L14)</f>
        <v>0</v>
      </c>
      <c r="M12" s="233" t="b">
        <f>IF(ISBLANK('ONR 1'!M14),"",'ONR 1'!M14)</f>
        <v>0</v>
      </c>
      <c r="N12" s="233" t="b">
        <f>IF(ISBLANK('ONR 1'!N14),"",'ONR 1'!N14)</f>
        <v>0</v>
      </c>
      <c r="O12" s="233" t="b">
        <f>IF(ISBLANK('ONR 1'!O14),"",'ONR 1'!O14)</f>
        <v>0</v>
      </c>
      <c r="P12" s="233" t="b">
        <f>IF(ISBLANK('ONR 1'!P14),"",'ONR 1'!P14)</f>
        <v>0</v>
      </c>
      <c r="Q12" s="233" t="b">
        <f>IF(ISBLANK('ONR 1'!Q14),"",'ONR 1'!Q14)</f>
        <v>0</v>
      </c>
      <c r="R12" s="233" t="b">
        <f>IF(ISBLANK('ONR 1'!R14),"",'ONR 1'!R14)</f>
        <v>0</v>
      </c>
      <c r="S12" s="234" t="str">
        <f>IF(ISBLANK('ONR 1'!S14),"",'ONR 1'!S14)</f>
      </c>
      <c r="T12" s="232" t="str">
        <f>IF(ISBLANK('ONR 1'!T14),"",'ONR 1'!T14)</f>
      </c>
      <c r="U12" s="233" t="str">
        <f>IF(ISBLANK('ONR 1'!U14),"",'ONR 1'!U14)</f>
      </c>
      <c r="V12" s="241" t="str">
        <f>IF(ISBLANK('ONR 1'!G14),"",'ONR 1'!G14)</f>
      </c>
      <c r="W12" s="241" t="str">
        <f>IF(ISBLANK('ONR 1'!V14),"",'ONR 1'!V14)</f>
      </c>
      <c r="X12" s="204" t="str">
        <f>IF(ISBLANK('ONR 1'!W14),"",'ONR 1'!W14)</f>
      </c>
      <c r="Y12" s="236" t="str">
        <f>IF(ISBLANK('ONR 1'!I14),"",'ONR 1'!I14)</f>
      </c>
      <c r="Z12" s="236" t="str">
        <f>IF(ISBLANK('ONR 1'!D14),"",'ONR 1'!D14)</f>
      </c>
      <c r="AE12" s="206" t="n">
        <f>IF(ISNUMBER(T12),0,1)</f>
        <v>1</v>
      </c>
      <c r="AF12" s="206" t="n">
        <f>IF(L12=TRUE,1,0)</f>
        <v>0</v>
      </c>
      <c r="AG12" s="206" t="n">
        <f>IF(M12=TRUE,1,0)</f>
        <v>0</v>
      </c>
      <c r="AH12" s="206" t="n">
        <f>IF(N12=TRUE,1,0)</f>
        <v>0</v>
      </c>
      <c r="AI12" s="206" t="n">
        <f>IF(O12=TRUE,1,0)</f>
        <v>0</v>
      </c>
      <c r="AJ12" s="206" t="n">
        <f>IF(P12=TRUE,1,0)</f>
        <v>0</v>
      </c>
      <c r="AK12" s="206" t="n">
        <f>IF(Q12=TRUE,1,0)</f>
        <v>0</v>
      </c>
      <c r="AL12" s="206" t="n">
        <f>IF(R12=TRUE,1,0)</f>
        <v>0</v>
      </c>
      <c r="AM12" t="n">
        <f>IF(LEN(TRIM(W12))&gt;0,1,0)</f>
        <v>0</v>
      </c>
    </row>
    <row r="13" spans="1:38" s="116" customFormat="1" ht="23" thickBot="1">
      <c r="A13" s="115"/>
      <c r="B13" s="362" t="str">
        <f>'ONR 2'!B2</f>
        <v>ONR 2 : Inclusion · Développer des services numériques durables que toutes et tous peuvent utiliser</v>
      </c>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80"/>
      <c r="AB13" s="116" t="str">
        <f>B13</f>
        <v>ONR 2 : Inclusion · Développer des services numériques durables que toutes et tous peuvent utiliser</v>
      </c>
      <c r="AC13" s="116" t="n">
        <f>COUNTA('ONR 2'!B7:B11)</f>
        <v>5</v>
      </c>
      <c r="AD13" s="116" t="n">
        <f>COUNT(T14:T18)</f>
        <v>0</v>
      </c>
      <c r="AE13" s="117" t="n">
        <f>SUM(AE14:AE18)</f>
        <v>5</v>
      </c>
      <c r="AF13" s="117" t="n">
        <f>SUM(AF14:AF18)</f>
        <v>0</v>
      </c>
      <c r="AG13" s="117" t="n">
        <f>SUM(AG14:AG18)</f>
        <v>0</v>
      </c>
      <c r="AH13" s="117" t="n">
        <f>SUM(AH14:AH18)</f>
        <v>0</v>
      </c>
      <c r="AI13" s="117" t="n">
        <f>SUM(AI14:AI18)</f>
        <v>0</v>
      </c>
      <c r="AJ13" s="117" t="n">
        <f>SUM(AJ14:AJ18)</f>
        <v>0</v>
      </c>
      <c r="AK13" s="117" t="n">
        <f>SUM(AK14:AK18)</f>
        <v>0</v>
      </c>
      <c r="AL13" s="117" t="n">
        <f>SUM(AL14:AL18)</f>
        <v>0</v>
      </c>
    </row>
    <row r="14" spans="1:38" s="205" customFormat="1" ht="38">
      <c r="A14" s="199"/>
      <c r="B14" s="218" t="str">
        <f>IF(ISBLANK('ONR 2'!B7),"",'ONR 2'!B7)</f>
        <v>2.1</v>
      </c>
      <c r="C14" s="221" t="str">
        <f>IF(ISBLANK('ONR 2'!C7),"",'ONR 2'!C7)</f>
        <v>Intégrer dans les achats numériques de l'établissement, y compris ceux des laboratoires, des clauses sociales et environnementales et des critères de durabilité.</v>
      </c>
      <c r="D14" s="223" t="str">
        <f>IF(ISBLANK('ONR 2'!D7),"",'ONR 2'!D7)</f>
      </c>
      <c r="E14" s="267" t="str">
        <f>IF(ISBLANK('ONR 2'!E7),"",'ONR 2'!E7)</f>
      </c>
      <c r="F14" s="274" t="str">
        <f>IF(ISBLANK('ONR 2'!F7),"",'ONR 2'!F7)</f>
      </c>
      <c r="G14" s="200" t="str">
        <f>IF(ISBLANK('ONR 2'!G7),"",'ONR 2'!G7)</f>
      </c>
      <c r="H14" s="202" t="str">
        <f>IF(ISBLANK('ONR 2'!H7),"",'ONR 2'!H7)</f>
      </c>
      <c r="I14" s="225" t="str">
        <f>IF(ISBLANK('ONR 2'!I7),"",'ONR 2'!I7)</f>
      </c>
      <c r="J14" s="218" t="str">
        <f>IF(ISBLANK('ONR 2'!J7),"",'ONR 2'!J7)</f>
      </c>
      <c r="K14" s="227" t="str">
        <f>IF(ISBLANK('ONR 2'!K7),"",'ONR 2'!K7)</f>
      </c>
      <c r="L14" s="227" t="b">
        <f>IF(ISBLANK('ONR 2'!L7),"",'ONR 2'!L7)</f>
        <v>0</v>
      </c>
      <c r="M14" s="227" t="b">
        <f>IF(ISBLANK('ONR 2'!M7),"",'ONR 2'!M7)</f>
        <v>0</v>
      </c>
      <c r="N14" s="227" t="b">
        <f>IF(ISBLANK('ONR 2'!N7),"",'ONR 2'!N7)</f>
        <v>0</v>
      </c>
      <c r="O14" s="227" t="b">
        <f>IF(ISBLANK('ONR 2'!O7),"",'ONR 2'!O7)</f>
        <v>0</v>
      </c>
      <c r="P14" s="227" t="b">
        <f>IF(ISBLANK('ONR 2'!P7),"",'ONR 2'!P7)</f>
        <v>0</v>
      </c>
      <c r="Q14" s="227" t="b">
        <f>IF(ISBLANK('ONR 2'!Q7),"",'ONR 2'!Q7)</f>
        <v>0</v>
      </c>
      <c r="R14" s="227" t="b">
        <f>IF(ISBLANK('ONR 2'!R7),"",'ONR 2'!R7)</f>
        <v>0</v>
      </c>
      <c r="S14" s="228" t="str">
        <f>IF(ISBLANK('ONR 2'!S7),"",'ONR 2'!S7)</f>
      </c>
      <c r="T14" s="226" t="str">
        <f>IF(ISBLANK('ONR 2'!T7),"",'ONR 2'!T7)</f>
      </c>
      <c r="U14" s="242" t="str">
        <f>IF(ISBLANK('ONR 2'!U7),"",'ONR 2'!U7)</f>
      </c>
      <c r="V14" s="229" t="str">
        <f>IF(ISBLANK('ONR 2'!G7),"",'ONR 2'!G7)</f>
      </c>
      <c r="W14" s="229" t="str">
        <f>IF(ISBLANK('ONR 2'!V7),"",'ONR 2'!V7)</f>
      </c>
      <c r="X14" s="204" t="str">
        <f>IF(ISBLANK('ONR 2'!W7),"",'ONR 2'!W7)</f>
      </c>
      <c r="Y14" s="230" t="str">
        <f>IF(ISBLANK('ONR 2'!I7),"",'ONR 2'!I7)</f>
      </c>
      <c r="Z14" s="230" t="str">
        <f>IF(ISBLANK('ONR 2'!D7),"",'ONR 2'!D7)</f>
      </c>
      <c r="AE14" s="206" t="n">
        <f>IF(ISNUMBER(T14),0,1)</f>
        <v>1</v>
      </c>
      <c r="AF14" s="206" t="n">
        <f>IF(L14=TRUE,1,0)</f>
      </c>
      <c r="AG14" s="206" t="n">
        <f>IF(M14=TRUE,1,0)</f>
      </c>
      <c r="AH14" s="206" t="n">
        <f>IF(N14=TRUE,1,0)</f>
      </c>
      <c r="AI14" s="206" t="n">
        <f>IF(O14=TRUE,1,0)</f>
      </c>
      <c r="AJ14" s="206" t="n">
        <f>IF(P14=TRUE,1,0)</f>
      </c>
      <c r="AK14" s="206" t="n">
        <f>IF(Q14=TRUE,1,0)</f>
      </c>
      <c r="AL14" s="206" t="n">
        <f>IF(R14=TRUE,1,0)</f>
      </c>
      <c r="AM14" t="n">
        <f>IF(LEN(TRIM(W14))&gt;0,1,0)</f>
        <v>0</v>
      </c>
    </row>
    <row r="15" spans="1:38" s="205" customFormat="1" ht="57">
      <c r="A15" s="199"/>
      <c r="B15" s="218" t="str">
        <f>IF(ISBLANK('ONR 2'!B8),"",'ONR 2'!B8)</f>
        <v>2.2</v>
      </c>
      <c r="C15" s="221" t="str">
        <f>IF(ISBLANK('ONR 2'!C8),"",'ONR 2'!C8)</f>
        <v>Rendre accessibles à toutes et tous les sites, l'ENT, le LMS et les ressources pédagogiques : vidéos de cours sous-titrées, documents et supports accessibles. Mesurer leur conformité au RGAA.</v>
      </c>
      <c r="D15" s="223" t="str">
        <f>IF(ISBLANK('ONR 2'!D8),"",'ONR 2'!D8)</f>
      </c>
      <c r="E15" s="267" t="str">
        <f>IF(ISBLANK('ONR 2'!E8),"",'ONR 2'!E8)</f>
      </c>
      <c r="F15" s="274" t="str">
        <f>IF(ISBLANK('ONR 2'!F8),"",'ONR 2'!F8)</f>
      </c>
      <c r="G15" s="200" t="str">
        <f>IF(ISBLANK('ONR 2'!G8),"",'ONR 2'!G8)</f>
      </c>
      <c r="H15" s="202" t="str">
        <f>IF(ISBLANK('ONR 2'!H8),"",'ONR 2'!H8)</f>
      </c>
      <c r="I15" s="225" t="str">
        <f>IF(ISBLANK('ONR 2'!I8),"",'ONR 2'!I8)</f>
      </c>
      <c r="J15" s="218" t="str">
        <f>IF(ISBLANK('ONR 2'!J8),"",'ONR 2'!J8)</f>
      </c>
      <c r="K15" s="227" t="str">
        <f>IF(ISBLANK('ONR 2'!K8),"",'ONR 2'!K8)</f>
      </c>
      <c r="L15" s="227" t="b">
        <f>IF(ISBLANK('ONR 2'!L8),"",'ONR 2'!L8)</f>
      </c>
      <c r="M15" s="227" t="b">
        <f>IF(ISBLANK('ONR 2'!M8),"",'ONR 2'!M8)</f>
      </c>
      <c r="N15" s="227" t="b">
        <f>IF(ISBLANK('ONR 2'!N8),"",'ONR 2'!N8)</f>
      </c>
      <c r="O15" s="227" t="b">
        <f>IF(ISBLANK('ONR 2'!O8),"",'ONR 2'!O8)</f>
      </c>
      <c r="P15" s="227" t="b">
        <f>IF(ISBLANK('ONR 2'!P8),"",'ONR 2'!P8)</f>
      </c>
      <c r="Q15" s="227" t="b">
        <f>IF(ISBLANK('ONR 2'!Q8),"",'ONR 2'!Q8)</f>
      </c>
      <c r="R15" s="227" t="b">
        <f>IF(ISBLANK('ONR 2'!R8),"",'ONR 2'!R8)</f>
      </c>
      <c r="S15" s="228" t="str">
        <f>IF(ISBLANK('ONR 2'!S8),"",'ONR 2'!S8)</f>
      </c>
      <c r="T15" s="226" t="str">
        <f>IF(ISBLANK('ONR 2'!T8),"",'ONR 2'!T8)</f>
      </c>
      <c r="U15" s="242" t="str">
        <f>IF(ISBLANK('ONR 2'!U8),"",'ONR 2'!U8)</f>
      </c>
      <c r="V15" s="229" t="str">
        <f>IF(ISBLANK('ONR 2'!G8),"",'ONR 2'!G8)</f>
      </c>
      <c r="W15" s="229" t="str">
        <f>IF(ISBLANK('ONR 2'!V8),"",'ONR 2'!V8)</f>
      </c>
      <c r="X15" s="204" t="str">
        <f>IF(ISBLANK('ONR 2'!W8),"",'ONR 2'!W8)</f>
      </c>
      <c r="Y15" s="230" t="str">
        <f>IF(ISBLANK('ONR 2'!I8),"",'ONR 2'!I8)</f>
      </c>
      <c r="Z15" s="230" t="str">
        <f>IF(ISBLANK('ONR 2'!D8),"",'ONR 2'!D8)</f>
      </c>
      <c r="AE15" s="206" t="n">
        <f>IF(ISNUMBER(T15),0,1)</f>
        <v>1</v>
      </c>
      <c r="AF15" s="206" t="n">
        <f>IF(L15=TRUE,1,0)</f>
      </c>
      <c r="AG15" s="206" t="n">
        <f>IF(M15=TRUE,1,0)</f>
      </c>
      <c r="AH15" s="206" t="n">
        <f>IF(N15=TRUE,1,0)</f>
      </c>
      <c r="AI15" s="206" t="n">
        <f>IF(O15=TRUE,1,0)</f>
      </c>
      <c r="AJ15" s="206" t="n">
        <f>IF(P15=TRUE,1,0)</f>
      </c>
      <c r="AK15" s="206" t="n">
        <f>IF(Q15=TRUE,1,0)</f>
      </c>
      <c r="AL15" s="206" t="n">
        <f>IF(R15=TRUE,1,0)</f>
      </c>
      <c r="AM15" t="n">
        <f>IF(LEN(TRIM(W15))&gt;0,1,0)</f>
        <v>0</v>
      </c>
    </row>
    <row r="16" spans="1:38" s="205" customFormat="1" ht="57">
      <c r="A16" s="199"/>
      <c r="B16" s="218" t="str">
        <f>IF(ISBLANK('ONR 2'!B9),"",'ONR 2'!B9)</f>
        <v>2.3</v>
      </c>
      <c r="C16" s="221" t="str">
        <f>IF(ISBLANK('ONR 2'!C9),"",'ONR 2'!C9)</f>
        <v>Proposer aux étudiants et aux personnels des outils utiles, faciles à utiliser et réellement utilisés, plutôt qu'une multitude de plateformes : un ENT, un LMS, une messagerie, une visioconférence, un outil d'emploi du temps.</v>
      </c>
      <c r="D16" s="223" t="str">
        <f>IF(ISBLANK('ONR 2'!D9),"",'ONR 2'!D9)</f>
      </c>
      <c r="E16" s="267" t="str">
        <f>IF(ISBLANK('ONR 2'!E9),"",'ONR 2'!E9)</f>
      </c>
      <c r="F16" s="274" t="str">
        <f>IF(ISBLANK('ONR 2'!F9),"",'ONR 2'!F9)</f>
      </c>
      <c r="G16" s="200" t="str">
        <f>IF(ISBLANK('ONR 2'!G9),"",'ONR 2'!G9)</f>
      </c>
      <c r="H16" s="202" t="str">
        <f>IF(ISBLANK('ONR 2'!H9),"",'ONR 2'!H9)</f>
      </c>
      <c r="I16" s="225" t="str">
        <f>IF(ISBLANK('ONR 2'!I9),"",'ONR 2'!I9)</f>
      </c>
      <c r="J16" s="218" t="str">
        <f>IF(ISBLANK('ONR 2'!J9),"",'ONR 2'!J9)</f>
      </c>
      <c r="K16" t="str" s="227">
        <f>IF(ISBLANK('ONR 2'!K9),"",'ONR 2'!K9)</f>
      </c>
      <c r="L16" t="b" s="227">
        <f>IF(ISBLANK('ONR 2'!L9),"",'ONR 2'!L9)</f>
        <v>0</v>
      </c>
      <c r="M16" t="b" s="227">
        <f>IF(ISBLANK('ONR 2'!M9),"",'ONR 2'!M9)</f>
        <v>0</v>
      </c>
      <c r="N16" t="b" s="227">
        <f>IF(ISBLANK('ONR 2'!N9),"",'ONR 2'!N9)</f>
        <v>0</v>
      </c>
      <c r="O16" t="b" s="227">
        <f>IF(ISBLANK('ONR 2'!O9),"",'ONR 2'!O9)</f>
        <v>0</v>
      </c>
      <c r="P16" t="b" s="227">
        <f>IF(ISBLANK('ONR 2'!P9),"",'ONR 2'!P9)</f>
        <v>0</v>
      </c>
      <c r="Q16" t="b" s="227">
        <f>IF(ISBLANK('ONR 2'!Q9),"",'ONR 2'!Q9)</f>
        <v>0</v>
      </c>
      <c r="R16" t="b" s="227">
        <f>IF(ISBLANK('ONR 2'!R9),"",'ONR 2'!R9)</f>
        <v>0</v>
      </c>
      <c r="S16" t="str" s="228">
        <f>IF(ISBLANK('ONR 2'!S9),"",'ONR 2'!S9)</f>
      </c>
      <c r="T16" t="str" s="226">
        <f>IF(ISBLANK('ONR 2'!T9),"",'ONR 2'!T9)</f>
      </c>
      <c r="U16" t="str" s="242">
        <f>IF(ISBLANK('ONR 2'!U9),"",'ONR 2'!U9)</f>
      </c>
      <c r="V16" t="str" s="229">
        <f>IF(ISBLANK('ONR 2'!G9),"",'ONR 2'!G9)</f>
      </c>
      <c r="W16" s="229" t="str">
        <f>IF(ISBLANK('ONR 2'!V9),"",'ONR 2'!V9)</f>
      </c>
      <c r="X16" s="204" t="str">
        <f>IF(ISBLANK('ONR 2'!W9),"",'ONR 2'!W9)</f>
      </c>
      <c r="Y16" s="230" t="str">
        <f>IF(ISBLANK('ONR 2'!I9),"",'ONR 2'!I9)</f>
      </c>
      <c r="Z16" s="230" t="str">
        <f>IF(ISBLANK('ONR 2'!D9),"",'ONR 2'!D9)</f>
      </c>
      <c r="AE16" s="206" t="n">
        <f>IF(ISNUMBER(T16),0,1)</f>
        <v>1</v>
      </c>
      <c r="AF16" s="206" t="n">
        <f>IF(L16=TRUE,1,0)</f>
      </c>
      <c r="AG16" s="206" t="n">
        <f>IF(M16=TRUE,1,0)</f>
      </c>
      <c r="AH16" s="206" t="n">
        <f>IF(N16=TRUE,1,0)</f>
      </c>
      <c r="AI16" s="206" t="n">
        <f>IF(O16=TRUE,1,0)</f>
      </c>
      <c r="AJ16" s="206" t="n">
        <f>IF(P16=TRUE,1,0)</f>
      </c>
      <c r="AK16" s="206" t="n">
        <f>IF(Q16=TRUE,1,0)</f>
      </c>
      <c r="AL16" s="206" t="n">
        <f>IF(R16=TRUE,1,0)</f>
      </c>
      <c r="AM16" t="n">
        <f>IF(LEN(TRIM(W16))&gt;0,1,0)</f>
        <v>0</v>
      </c>
    </row>
    <row r="17" spans="1:38" s="205" customFormat="1" ht="57">
      <c r="A17" s="199"/>
      <c r="B17" s="218" t="str">
        <f>IF(ISBLANK('ONR 2'!B10),"",'ONR 2'!B10)</f>
        <v>2.4</v>
      </c>
      <c r="C17" s="221" t="str">
        <f>IF(ISBLANK('ONR 2'!C10),"",'ONR 2'!C10)</f>
        <v>Concevoir les services numériques avec les étudiants, les enseignants, les chercheurs et les personnels, en partant de leurs besoins réels.</v>
      </c>
      <c r="D17" s="223" t="str">
        <f>IF(ISBLANK('ONR 2'!D10),"",'ONR 2'!D10)</f>
      </c>
      <c r="E17" s="267" t="str">
        <f>IF(ISBLANK('ONR 2'!E10),"",'ONR 2'!E10)</f>
      </c>
      <c r="F17" s="274" t="str">
        <f>IF(ISBLANK('ONR 2'!F10),"",'ONR 2'!F10)</f>
      </c>
      <c r="G17" s="200" t="str">
        <f>IF(ISBLANK('ONR 2'!G10),"",'ONR 2'!G10)</f>
      </c>
      <c r="H17" s="202" t="str">
        <f>IF(ISBLANK('ONR 2'!H10),"",'ONR 2'!H10)</f>
      </c>
      <c r="I17" s="225" t="str">
        <f>IF(ISBLANK('ONR 2'!I10),"",'ONR 2'!I10)</f>
      </c>
      <c r="J17" s="218" t="str">
        <f>IF(ISBLANK('ONR 2'!J10),"",'ONR 2'!J10)</f>
      </c>
      <c r="K17" s="227" t="str">
        <f>IF(ISBLANK('ONR 2'!K10),"",'ONR 2'!K10)</f>
      </c>
      <c r="L17" s="227" t="b">
        <f>IF(ISBLANK('ONR 2'!L10),"",'ONR 2'!L10)</f>
      </c>
      <c r="M17" s="227" t="b">
        <f>IF(ISBLANK('ONR 2'!M10),"",'ONR 2'!M10)</f>
      </c>
      <c r="N17" s="227" t="b">
        <f>IF(ISBLANK('ONR 2'!N10),"",'ONR 2'!N10)</f>
      </c>
      <c r="O17" s="227" t="b">
        <f>IF(ISBLANK('ONR 2'!O10),"",'ONR 2'!O10)</f>
      </c>
      <c r="P17" s="227" t="b">
        <f>IF(ISBLANK('ONR 2'!P10),"",'ONR 2'!P10)</f>
      </c>
      <c r="Q17" s="227" t="b">
        <f>IF(ISBLANK('ONR 2'!Q10),"",'ONR 2'!Q10)</f>
      </c>
      <c r="R17" s="227" t="b">
        <f>IF(ISBLANK('ONR 2'!R10),"",'ONR 2'!R10)</f>
      </c>
      <c r="S17" s="228" t="str">
        <f>IF(ISBLANK('ONR 2'!S10),"",'ONR 2'!S10)</f>
      </c>
      <c r="T17" s="226" t="str">
        <f>IF(ISBLANK('ONR 2'!T10),"",'ONR 2'!T10)</f>
      </c>
      <c r="U17" s="242" t="str">
        <f>IF(ISBLANK('ONR 2'!U10),"",'ONR 2'!U10)</f>
      </c>
      <c r="V17" s="229" t="str">
        <f>IF(ISBLANK('ONR 2'!G10),"",'ONR 2'!G10)</f>
      </c>
      <c r="W17" s="229" t="str">
        <f>IF(ISBLANK('ONR 2'!V10),"",'ONR 2'!V10)</f>
      </c>
      <c r="X17" s="204" t="str">
        <f>IF(ISBLANK('ONR 2'!W10),"",'ONR 2'!W10)</f>
      </c>
      <c r="Y17" s="230" t="str">
        <f>IF(ISBLANK('ONR 2'!I10),"",'ONR 2'!I10)</f>
      </c>
      <c r="Z17" s="230" t="str">
        <f>IF(ISBLANK('ONR 2'!D10),"",'ONR 2'!D10)</f>
      </c>
      <c r="AE17" s="206" t="n">
        <f>IF(ISNUMBER(T17),0,1)</f>
        <v>1</v>
      </c>
      <c r="AF17" s="206" t="n">
        <f>IF(L17=TRUE,1,0)</f>
      </c>
      <c r="AG17" s="206" t="n">
        <f>IF(M17=TRUE,1,0)</f>
      </c>
      <c r="AH17" s="206" t="n">
        <f>IF(N17=TRUE,1,0)</f>
      </c>
      <c r="AI17" s="206" t="n">
        <f>IF(O17=TRUE,1,0)</f>
      </c>
      <c r="AJ17" s="206" t="n">
        <f>IF(P17=TRUE,1,0)</f>
      </c>
      <c r="AK17" s="206" t="n">
        <f>IF(Q17=TRUE,1,0)</f>
      </c>
      <c r="AL17" s="206" t="n">
        <f>IF(R17=TRUE,1,0)</f>
      </c>
      <c r="AM17" t="n">
        <f>IF(LEN(TRIM(W17))&gt;0,1,0)</f>
        <v>0</v>
      </c>
    </row>
    <row r="18" spans="1:38" s="205" customFormat="1" ht="57">
      <c r="A18" s="199"/>
      <c r="B18" s="218" t="str">
        <f>IF(ISBLANK('ONR 2'!B11),"",'ONR 2'!B11)</f>
        <v>2.5</v>
      </c>
      <c r="C18" s="221" t="str">
        <f>IF(ISBLANK('ONR 2'!C11),"",'ONR 2'!C11)</f>
        <v>Vérifier que l'intelligence artificielle utilisée pour orienter, évaluer ou accompagner les étudiants ne discrimine personne : aide à l'orientation, détection de plagiat, correction automatique, agents conversationnels.</v>
      </c>
      <c r="D18" s="223" t="str">
        <f>IF(ISBLANK('ONR 2'!D11),"",'ONR 2'!D11)</f>
      </c>
      <c r="E18" s="267" t="str">
        <f>IF(ISBLANK('ONR 2'!E11),"",'ONR 2'!E11)</f>
      </c>
      <c r="F18" s="274" t="str">
        <f>IF(ISBLANK('ONR 2'!F11),"",'ONR 2'!F11)</f>
      </c>
      <c r="G18" s="200" t="str">
        <f>IF(ISBLANK('ONR 2'!G11),"",'ONR 2'!G11)</f>
      </c>
      <c r="H18" s="202" t="str">
        <f>IF(ISBLANK('ONR 2'!H11),"",'ONR 2'!H11)</f>
      </c>
      <c r="I18" s="225" t="str">
        <f>IF(ISBLANK('ONR 2'!I11),"",'ONR 2'!I11)</f>
      </c>
      <c r="J18" s="218" t="n">
        <f>IF(ISBLANK('ONR 2'!J11),"",'ONR 2'!J11)</f>
        <v>0</v>
      </c>
      <c r="K18" s="227" t="str">
        <f>IF(ISBLANK('ONR 2'!K11),"",'ONR 2'!K11)</f>
      </c>
      <c r="L18" s="227" t="b">
        <f>IF(ISBLANK('ONR 2'!L11),"",'ONR 2'!L11)</f>
        <v>0</v>
      </c>
      <c r="M18" s="227" t="b">
        <f>IF(ISBLANK('ONR 2'!M11),"",'ONR 2'!M11)</f>
        <v>0</v>
      </c>
      <c r="N18" s="227" t="b">
        <f>IF(ISBLANK('ONR 2'!N11),"",'ONR 2'!N11)</f>
        <v>0</v>
      </c>
      <c r="O18" s="227" t="b">
        <f>IF(ISBLANK('ONR 2'!O11),"",'ONR 2'!O11)</f>
        <v>0</v>
      </c>
      <c r="P18" s="227" t="b">
        <f>IF(ISBLANK('ONR 2'!P11),"",'ONR 2'!P11)</f>
        <v>0</v>
      </c>
      <c r="Q18" s="227" t="b">
        <f>IF(ISBLANK('ONR 2'!Q11),"",'ONR 2'!Q11)</f>
        <v>0</v>
      </c>
      <c r="R18" s="227" t="b">
        <f>IF(ISBLANK('ONR 2'!R11),"",'ONR 2'!R11)</f>
        <v>0</v>
      </c>
      <c r="S18" s="228" t="str">
        <f>IF(ISBLANK('ONR 2'!S11),"",'ONR 2'!S11)</f>
      </c>
      <c r="T18" s="226" t="str">
        <f>IF(ISBLANK('ONR 2'!T11),"",'ONR 2'!T11)</f>
      </c>
      <c r="U18" s="242" t="str">
        <f>IF(ISBLANK('ONR 2'!U11),"",'ONR 2'!U11)</f>
      </c>
      <c r="V18" s="229" t="str">
        <f>IF(ISBLANK('ONR 2'!G11),"",'ONR 2'!G11)</f>
      </c>
      <c r="W18" s="229" t="str">
        <f>IF(ISBLANK('ONR 2'!V11),"",'ONR 2'!V11)</f>
      </c>
      <c r="X18" s="204" t="str">
        <f>IF(ISBLANK('ONR 2'!W11),"",'ONR 2'!W11)</f>
      </c>
      <c r="Y18" s="230" t="str">
        <f>IF(ISBLANK('ONR 2'!I11),"",'ONR 2'!I11)</f>
      </c>
      <c r="Z18" s="230" t="str">
        <f>IF(ISBLANK('ONR 2'!D11),"",'ONR 2'!D11)</f>
      </c>
      <c r="AE18" s="206" t="n">
        <f>IF(ISNUMBER(T18),0,1)</f>
        <v>1</v>
      </c>
      <c r="AF18" s="206" t="n">
        <f>IF(L18=TRUE,1,0)</f>
        <v>0</v>
      </c>
      <c r="AG18" s="206" t="n">
        <f>IF(M18=TRUE,1,0)</f>
        <v>0</v>
      </c>
      <c r="AH18" s="206" t="n">
        <f>IF(N18=TRUE,1,0)</f>
        <v>0</v>
      </c>
      <c r="AI18" s="206" t="n">
        <f>IF(O18=TRUE,1,0)</f>
        <v>0</v>
      </c>
      <c r="AJ18" s="206" t="n">
        <f>IF(P18=TRUE,1,0)</f>
        <v>0</v>
      </c>
      <c r="AK18" s="206" t="n">
        <f>IF(Q18=TRUE,1,0)</f>
        <v>0</v>
      </c>
      <c r="AL18" s="206" t="n">
        <f>IF(R18=TRUE,1,0)</f>
        <v>0</v>
      </c>
      <c r="AM18" t="n">
        <f>IF(LEN(TRIM(W18))&gt;0,1,0)</f>
        <v>0</v>
      </c>
    </row>
    <row r="19" spans="1:38" s="116" customFormat="1" ht="22">
      <c r="A19" s="115"/>
      <c r="B19" s="381" t="str">
        <f>'ONR 3'!B2</f>
        <v>ONR 3 : RSE · Utiliser le numérique de façon éthique et responsable</v>
      </c>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B19" s="116" t="str">
        <f>B19</f>
        <v>ONR 3 : RSE · Utiliser le numérique de façon éthique et responsable</v>
      </c>
      <c r="AC19" s="116" t="n">
        <f>COUNTA('ONR 3'!B7:B14)</f>
        <v>8</v>
      </c>
      <c r="AD19" s="116" t="n">
        <f>COUNT(T20:T27)</f>
        <v>0</v>
      </c>
      <c r="AE19" s="117" t="n">
        <f>SUM(AE20:AE27)</f>
        <v>8</v>
      </c>
      <c r="AF19" s="117" t="n">
        <f>SUM(AF20:AF27)</f>
        <v>0</v>
      </c>
      <c r="AG19" s="117" t="n">
        <f>SUM(AG20:AG27)</f>
        <v>0</v>
      </c>
      <c r="AH19" s="117" t="n">
        <f>SUM(AH20:AH27)</f>
        <v>0</v>
      </c>
      <c r="AI19" s="117" t="n">
        <f>SUM(AI20:AI27)</f>
        <v>0</v>
      </c>
      <c r="AJ19" s="117" t="n">
        <f>SUM(AJ20:AJ27)</f>
        <v>0</v>
      </c>
      <c r="AK19" s="117" t="n">
        <f>SUM(AK20:AK27)</f>
        <v>0</v>
      </c>
      <c r="AL19" s="117" t="n">
        <f>SUM(AL20:AL27)</f>
        <v>0</v>
      </c>
    </row>
    <row r="20" spans="1:38" s="205" customFormat="1" ht="57">
      <c r="A20" s="199"/>
      <c r="B20" s="219" t="str">
        <f>IF(ISBLANK('ONR 3'!B7),"",'ONR 3'!B7)</f>
        <v>3.1</v>
      </c>
      <c r="C20" s="219" t="str">
        <f>IF(ISBLANK('ONR 3'!C7),"",'ONR 3'!C7)</f>
        <v>Utiliser avec mesure les données des étudiants, des personnels et de la recherche, y compris les traces d'apprentissage collectées par le LMS, en respectant les personnes et l'environnement.</v>
      </c>
      <c r="D20" s="244" t="str">
        <f>IF(ISBLANK('ONR 3'!D7),"",'ONR 3'!D7)</f>
      </c>
      <c r="E20" s="271" t="str">
        <f>IF(ISBLANK('ONR 3'!E7),"",'ONR 3'!E7)</f>
      </c>
      <c r="F20" s="278" t="str">
        <f>IF(ISBLANK('ONR 3'!F7),"",'ONR 3'!F7)</f>
      </c>
      <c r="G20" s="213" t="str">
        <f>IF(ISBLANK('ONR 3'!G7),"",'ONR 3'!G7)</f>
      </c>
      <c r="H20" s="214" t="str">
        <f>IF(ISBLANK('ONR 3'!H7),"",'ONR 3'!H7)</f>
      </c>
      <c r="I20" s="245" t="str">
        <f>IF(ISBLANK('ONR 3'!I7),"",'ONR 3'!I7)</f>
      </c>
      <c r="J20" s="246" t="str">
        <f>IF(ISBLANK('ONR 3'!J7),"",'ONR 3'!J7)</f>
      </c>
      <c r="K20" s="247" t="str">
        <f>IF(ISBLANK('ONR 3'!K7),"",'ONR 3'!K7)</f>
      </c>
      <c r="L20" s="247" t="b">
        <f>IF(ISBLANK('ONR 3'!L7),"",'ONR 3'!L7)</f>
      </c>
      <c r="M20" s="247" t="b">
        <f>IF(ISBLANK('ONR 3'!M7),"",'ONR 3'!M7)</f>
      </c>
      <c r="N20" s="247" t="b">
        <f>IF(ISBLANK('ONR 3'!N7),"",'ONR 3'!N7)</f>
      </c>
      <c r="O20" s="247" t="b">
        <f>IF(ISBLANK('ONR 3'!O7),"",'ONR 3'!O7)</f>
      </c>
      <c r="P20" s="247" t="b">
        <f>IF(ISBLANK('ONR 3'!P7),"",'ONR 3'!P7)</f>
      </c>
      <c r="Q20" s="247" t="b">
        <f>IF(ISBLANK('ONR 3'!Q7),"",'ONR 3'!Q7)</f>
      </c>
      <c r="R20" s="247" t="b">
        <f>IF(ISBLANK('ONR 3'!R7),"",'ONR 3'!R7)</f>
      </c>
      <c r="S20" s="248" t="str">
        <f>IF(ISBLANK('ONR 3'!S7),"",'ONR 3'!S7)</f>
      </c>
      <c r="T20" s="249" t="str">
        <f>IF(ISBLANK('ONR 3'!T7),"",'ONR 3'!T7)</f>
      </c>
      <c r="U20" s="250" t="str">
        <f>IF(ISBLANK('ONR 3'!U7),"",'ONR 3'!U7)</f>
      </c>
      <c r="V20" s="235" t="str">
        <f>IF(ISBLANK('ONR 3'!G7),"",'ONR 3'!G7)</f>
      </c>
      <c r="W20" s="235" t="str">
        <f>IF(ISBLANK('ONR 3'!V7),"",'ONR 3'!V7)</f>
      </c>
      <c r="X20" s="183" t="str">
        <f>IF(ISBLANK('ONR 3'!W7),"",'ONR 3'!W7)</f>
      </c>
      <c r="Y20" s="236" t="str">
        <f>IF(ISBLANK('ONR 3'!I7),"",'ONR 3'!I7)</f>
      </c>
      <c r="Z20" s="236" t="str">
        <f>IF(ISBLANK('ONR 3'!D7),"",'ONR 3'!D7)</f>
      </c>
      <c r="AE20" s="206" t="n">
        <f>IF(ISNUMBER(T20),0,1)</f>
      </c>
      <c r="AF20" s="206" t="n">
        <f>IF(L20=TRUE,1,0)</f>
      </c>
      <c r="AG20" s="206" t="n">
        <f>IF(M20=TRUE,1,0)</f>
      </c>
      <c r="AH20" s="206" t="n">
        <f>IF(N20=TRUE,1,0)</f>
      </c>
      <c r="AI20" s="206" t="n">
        <f>IF(O20=TRUE,1,0)</f>
      </c>
      <c r="AJ20" s="206" t="n">
        <f>IF(P20=TRUE,1,0)</f>
      </c>
      <c r="AK20" s="206" t="n">
        <f>IF(Q20=TRUE,1,0)</f>
      </c>
      <c r="AL20" s="206" t="n">
        <f>IF(R20=TRUE,1,0)</f>
      </c>
      <c r="AM20" t="n">
        <f>IF(LEN(TRIM(W20))&gt;0,1,0)</f>
        <v>0</v>
      </c>
    </row>
    <row r="21" spans="1:38" s="205" customFormat="1" ht="57">
      <c r="A21" s="199"/>
      <c r="B21" s="219" t="str">
        <f>IF(ISBLANK('ONR 3'!B8),"",'ONR 3'!B8)</f>
        <v>3.2</v>
      </c>
      <c r="C21" s="219" t="str">
        <f>IF(ISBLANK('ONR 3'!C8),"",'ONR 3'!C8)</f>
        <v>Supprimer des services numériques de l'établissement les interfaces qui trompent ou poussent les utilisateurs (« dark patterns »), et respecter la réglementation.</v>
      </c>
      <c r="D21" s="244" t="str">
        <f>IF(ISBLANK('ONR 3'!D8),"",'ONR 3'!D8)</f>
      </c>
      <c r="E21" s="271" t="str">
        <f>IF(ISBLANK('ONR 3'!E8),"",'ONR 3'!E8)</f>
      </c>
      <c r="F21" s="278" t="str">
        <f>IF(ISBLANK('ONR 3'!F8),"",'ONR 3'!F8)</f>
      </c>
      <c r="G21" s="213" t="str">
        <f>IF(ISBLANK('ONR 3'!G8),"",'ONR 3'!G8)</f>
      </c>
      <c r="H21" s="214" t="str">
        <f>IF(ISBLANK('ONR 3'!H8),"",'ONR 3'!H8)</f>
      </c>
      <c r="I21" s="245" t="str">
        <f>IF(ISBLANK('ONR 3'!I8),"",'ONR 3'!I8)</f>
      </c>
      <c r="J21" s="246" t="str">
        <f>IF(ISBLANK('ONR 3'!J8),"",'ONR 3'!J8)</f>
      </c>
      <c r="K21" t="str" s="247">
        <f>IF(ISBLANK('ONR 3'!K8),"",'ONR 3'!K8)</f>
      </c>
      <c r="L21" t="b" s="247">
        <f>IF(ISBLANK('ONR 3'!L8),"",'ONR 3'!L8)</f>
        <v>0</v>
      </c>
      <c r="M21" t="b" s="247">
        <f>IF(ISBLANK('ONR 3'!M8),"",'ONR 3'!M8)</f>
        <v>0</v>
      </c>
      <c r="N21" t="b" s="247">
        <f>IF(ISBLANK('ONR 3'!N8),"",'ONR 3'!N8)</f>
        <v>0</v>
      </c>
      <c r="O21" t="b" s="247">
        <f>IF(ISBLANK('ONR 3'!O8),"",'ONR 3'!O8)</f>
        <v>0</v>
      </c>
      <c r="P21" t="b" s="247">
        <f>IF(ISBLANK('ONR 3'!P8),"",'ONR 3'!P8)</f>
        <v>0</v>
      </c>
      <c r="Q21" t="b" s="247">
        <f>IF(ISBLANK('ONR 3'!Q8),"",'ONR 3'!Q8)</f>
        <v>0</v>
      </c>
      <c r="R21" t="b" s="247">
        <f>IF(ISBLANK('ONR 3'!R8),"",'ONR 3'!R8)</f>
        <v>0</v>
      </c>
      <c r="S21" t="str" s="248">
        <f>IF(ISBLANK('ONR 3'!S8),"",'ONR 3'!S8)</f>
      </c>
      <c r="T21" t="str" s="249">
        <f>IF(ISBLANK('ONR 3'!T8),"",'ONR 3'!T8)</f>
      </c>
      <c r="U21" t="str" s="250">
        <f>IF(ISBLANK('ONR 3'!U8),"",'ONR 3'!U8)</f>
      </c>
      <c r="V21" t="str" s="235">
        <f>IF(ISBLANK('ONR 3'!G8),"",'ONR 3'!G8)</f>
      </c>
      <c r="W21" t="str" s="235">
        <f>IF(ISBLANK('ONR 3'!V8),"",'ONR 3'!V8)</f>
      </c>
      <c r="X21" s="183" t="str">
        <f>IF(ISBLANK('ONR 3'!W8),"",'ONR 3'!W8)</f>
      </c>
      <c r="Y21" s="236" t="str">
        <f>IF(ISBLANK('ONR 3'!I8),"",'ONR 3'!I8)</f>
      </c>
      <c r="Z21" s="251" t="str">
        <f>IF(ISBLANK('ONR 3'!D8),"",'ONR 3'!D8)</f>
      </c>
      <c r="AE21" s="206" t="n">
        <f>IF(ISNUMBER(T21),0,1)</f>
      </c>
      <c r="AF21" s="206" t="n">
        <f>IF(L21=TRUE,1,0)</f>
      </c>
      <c r="AG21" s="206" t="n">
        <f>IF(M21=TRUE,1,0)</f>
      </c>
      <c r="AH21" s="206" t="n">
        <f>IF(N21=TRUE,1,0)</f>
      </c>
      <c r="AI21" s="206" t="n">
        <f>IF(O21=TRUE,1,0)</f>
      </c>
      <c r="AJ21" s="206" t="n">
        <f>IF(P21=TRUE,1,0)</f>
      </c>
      <c r="AK21" s="206" t="n">
        <f>IF(Q21=TRUE,1,0)</f>
      </c>
      <c r="AL21" s="206" t="n">
        <f>IF(R21=TRUE,1,0)</f>
      </c>
      <c r="AM21" t="n">
        <f>IF(LEN(TRIM(W21))&gt;0,1,0)</f>
        <v>0</v>
      </c>
    </row>
    <row r="22" spans="1:38" s="205" customFormat="1" ht="76">
      <c r="A22" s="199"/>
      <c r="B22" s="219" t="str">
        <f>IF(ISBLANK('ONR 3'!B9),"",'ONR 3'!B9)</f>
        <v>3.3</v>
      </c>
      <c r="C22" s="219" t="str">
        <f>IF(ISBLANK('ONR 3'!C9),"",'ONR 3'!C9)</f>
        <v>Collecter seulement les données nécessaires dans les applications de scolarité, le LMS et les projets de recherche, et respecter le RGPD avec l'appui du délégué à la protection des données.</v>
      </c>
      <c r="D22" s="244" t="str">
        <f>IF(ISBLANK('ONR 3'!D9),"",'ONR 3'!D9)</f>
      </c>
      <c r="E22" s="271" t="str">
        <f>IF(ISBLANK('ONR 3'!E9),"",'ONR 3'!E9)</f>
      </c>
      <c r="F22" s="278" t="str">
        <f>IF(ISBLANK('ONR 3'!F9),"",'ONR 3'!F9)</f>
      </c>
      <c r="G22" s="213" t="str">
        <f>IF(ISBLANK('ONR 3'!G9),"",'ONR 3'!G9)</f>
      </c>
      <c r="H22" s="214" t="str">
        <f>IF(ISBLANK('ONR 3'!H9),"",'ONR 3'!H9)</f>
      </c>
      <c r="I22" s="245" t="str">
        <f>IF(ISBLANK('ONR 3'!I9),"",'ONR 3'!I9)</f>
      </c>
      <c r="J22" s="246" t="str">
        <f>IF(ISBLANK('ONR 3'!J9),"",'ONR 3'!J9)</f>
      </c>
      <c r="K22" t="str" s="247">
        <f>IF(ISBLANK('ONR 3'!K9),"",'ONR 3'!K9)</f>
      </c>
      <c r="L22" t="b" s="247">
        <f>IF(ISBLANK('ONR 3'!L9),"",'ONR 3'!L9)</f>
        <v>0</v>
      </c>
      <c r="M22" t="b" s="247">
        <f>IF(ISBLANK('ONR 3'!M9),"",'ONR 3'!M9)</f>
        <v>0</v>
      </c>
      <c r="N22" t="b" s="247">
        <f>IF(ISBLANK('ONR 3'!N9),"",'ONR 3'!N9)</f>
        <v>0</v>
      </c>
      <c r="O22" t="b" s="247">
        <f>IF(ISBLANK('ONR 3'!O9),"",'ONR 3'!O9)</f>
        <v>0</v>
      </c>
      <c r="P22" t="b" s="247">
        <f>IF(ISBLANK('ONR 3'!P9),"",'ONR 3'!P9)</f>
        <v>0</v>
      </c>
      <c r="Q22" t="b" s="247">
        <f>IF(ISBLANK('ONR 3'!Q9),"",'ONR 3'!Q9)</f>
        <v>0</v>
      </c>
      <c r="R22" t="b" s="247">
        <f>IF(ISBLANK('ONR 3'!R9),"",'ONR 3'!R9)</f>
        <v>0</v>
      </c>
      <c r="S22" t="str" s="248">
        <f>IF(ISBLANK('ONR 3'!S9),"",'ONR 3'!S9)</f>
      </c>
      <c r="T22" t="str" s="249">
        <f>IF(ISBLANK('ONR 3'!T9),"",'ONR 3'!T9)</f>
      </c>
      <c r="U22" t="str" s="250">
        <f>IF(ISBLANK('ONR 3'!U9),"",'ONR 3'!U9)</f>
      </c>
      <c r="V22" t="str" s="235">
        <f>IF(ISBLANK('ONR 3'!G9),"",'ONR 3'!G9)</f>
      </c>
      <c r="W22" t="str" s="235">
        <f>IF(ISBLANK('ONR 3'!V9),"",'ONR 3'!V9)</f>
      </c>
      <c r="X22" s="183" t="str">
        <f>IF(ISBLANK('ONR 3'!W9),"",'ONR 3'!W9)</f>
      </c>
      <c r="Y22" s="236" t="str">
        <f>IF(ISBLANK('ONR 3'!I9),"",'ONR 3'!I9)</f>
      </c>
      <c r="Z22" s="251" t="str">
        <f>IF(ISBLANK('ONR 3'!D9),"",'ONR 3'!D9)</f>
      </c>
      <c r="AE22" s="206" t="n">
        <f>IF(ISNUMBER(T22),0,1)</f>
      </c>
      <c r="AF22" s="206" t="n">
        <f>IF(L22=TRUE,1,0)</f>
      </c>
      <c r="AG22" s="206" t="n">
        <f>IF(M22=TRUE,1,0)</f>
      </c>
      <c r="AH22" s="206" t="n">
        <f>IF(N22=TRUE,1,0)</f>
      </c>
      <c r="AI22" s="206" t="n">
        <f>IF(O22=TRUE,1,0)</f>
      </c>
      <c r="AJ22" s="206" t="n">
        <f>IF(P22=TRUE,1,0)</f>
      </c>
      <c r="AK22" s="206" t="n">
        <f>IF(Q22=TRUE,1,0)</f>
      </c>
      <c r="AL22" s="206" t="n">
        <f>IF(R22=TRUE,1,0)</f>
      </c>
      <c r="AM22" t="n">
        <f>IF(LEN(TRIM(W22))&gt;0,1,0)</f>
        <v>0</v>
      </c>
    </row>
    <row r="23" spans="1:38" s="205" customFormat="1" ht="19">
      <c r="A23" s="199"/>
      <c r="B23" s="238" t="str">
        <f>IF(ISBLANK('ONR 3'!B10),"",'ONR 3'!B10)</f>
        <v>3.4</v>
      </c>
      <c r="C23" s="219" t="str">
        <f>IF(ISBLANK('ONR 3'!C10),"",'ONR 3'!C10)</f>
        <v>Diversifier les profils dans les formations et les métiers du numérique de l'établissement, en particulier la place des femmes.</v>
      </c>
      <c r="D23" s="244" t="str">
        <f>IF(ISBLANK('ONR 3'!D10),"",'ONR 3'!D10)</f>
      </c>
      <c r="E23" s="271" t="str">
        <f>IF(ISBLANK('ONR 3'!E10),"",'ONR 3'!E10)</f>
      </c>
      <c r="F23" s="278" t="str">
        <f>IF(ISBLANK('ONR 3'!F10),"",'ONR 3'!F10)</f>
      </c>
      <c r="G23" s="213" t="str">
        <f>IF(ISBLANK('ONR 3'!G10),"",'ONR 3'!G10)</f>
      </c>
      <c r="H23" s="214" t="str">
        <f>IF(ISBLANK('ONR 3'!H10),"",'ONR 3'!H10)</f>
      </c>
      <c r="I23" s="245" t="str">
        <f>IF(ISBLANK('ONR 3'!I10),"",'ONR 3'!I10)</f>
      </c>
      <c r="J23" s="246" t="str">
        <f>IF(ISBLANK('ONR 3'!J10),"",'ONR 3'!J10)</f>
      </c>
      <c r="K23" s="247" t="str">
        <f>IF(ISBLANK('ONR 3'!K10),"",'ONR 3'!K10)</f>
      </c>
      <c r="L23" s="247" t="b">
        <f>IF(ISBLANK('ONR 3'!L10),"",'ONR 3'!L10)</f>
      </c>
      <c r="M23" s="247" t="b">
        <f>IF(ISBLANK('ONR 3'!M10),"",'ONR 3'!M10)</f>
      </c>
      <c r="N23" s="247" t="b">
        <f>IF(ISBLANK('ONR 3'!N10),"",'ONR 3'!N10)</f>
      </c>
      <c r="O23" s="247" t="b">
        <f>IF(ISBLANK('ONR 3'!O10),"",'ONR 3'!O10)</f>
      </c>
      <c r="P23" s="247" t="b">
        <f>IF(ISBLANK('ONR 3'!P10),"",'ONR 3'!P10)</f>
      </c>
      <c r="Q23" s="247" t="b">
        <f>IF(ISBLANK('ONR 3'!Q10),"",'ONR 3'!Q10)</f>
      </c>
      <c r="R23" s="247" t="b">
        <f>IF(ISBLANK('ONR 3'!R10),"",'ONR 3'!R10)</f>
      </c>
      <c r="S23" s="248" t="str">
        <f>IF(ISBLANK('ONR 3'!S10),"",'ONR 3'!S10)</f>
      </c>
      <c r="T23" s="249" t="str">
        <f>IF(ISBLANK('ONR 3'!T10),"",'ONR 3'!T10)</f>
      </c>
      <c r="U23" s="250" t="str">
        <f>IF(ISBLANK('ONR 3'!U10),"",'ONR 3'!U10)</f>
      </c>
      <c r="V23" s="235" t="str">
        <f>IF(ISBLANK('ONR 3'!G10),"",'ONR 3'!G10)</f>
      </c>
      <c r="W23" s="235" t="str">
        <f>IF(ISBLANK('ONR 3'!V10),"",'ONR 3'!V10)</f>
      </c>
      <c r="X23" s="183" t="str">
        <f>IF(ISBLANK('ONR 3'!W10),"",'ONR 3'!W10)</f>
      </c>
      <c r="Y23" s="253" t="str">
        <f>IF(ISBLANK('ONR 3'!I10),"",'ONR 3'!I10)</f>
      </c>
      <c r="Z23" s="251" t="str">
        <f>IF(ISBLANK('ONR 3'!D10),"",'ONR 3'!D10)</f>
      </c>
      <c r="AE23" s="206" t="n">
        <f>IF(ISNUMBER(T23),0,1)</f>
      </c>
      <c r="AF23" s="206" t="n">
        <f>IF(L23=TRUE,1,0)</f>
      </c>
      <c r="AG23" s="206" t="n">
        <f>IF(M23=TRUE,1,0)</f>
      </c>
      <c r="AH23" s="206" t="n">
        <f>IF(N23=TRUE,1,0)</f>
      </c>
      <c r="AI23" s="206" t="n">
        <f>IF(O23=TRUE,1,0)</f>
      </c>
      <c r="AJ23" s="206" t="n">
        <f>IF(P23=TRUE,1,0)</f>
      </c>
      <c r="AK23" s="206" t="n">
        <f>IF(Q23=TRUE,1,0)</f>
      </c>
      <c r="AL23" s="206" t="n">
        <f>IF(R23=TRUE,1,0)</f>
      </c>
      <c r="AM23" t="n">
        <f>IF(LEN(TRIM(W23))&gt;0,1,0)</f>
        <v>0</v>
      </c>
    </row>
    <row r="24" spans="1:38" s="205" customFormat="1" ht="19">
      <c r="A24" s="199"/>
      <c r="B24" s="238" t="str">
        <f>IF(ISBLANK('ONR 3'!B11),"",'ONR 3'!B11)</f>
        <v>3.5</v>
      </c>
      <c r="C24" s="219" t="str">
        <f>IF(ISBLANK('ONR 3'!C11),"",'ONR 3'!C11)</f>
        <v>Améliorer les conditions de travail des personnels du numérique, des doctorants et des contractuels, et les exiger des prestataires.</v>
      </c>
      <c r="D24" s="244" t="str">
        <f>IF(ISBLANK('ONR 3'!D11),"",'ONR 3'!D11)</f>
      </c>
      <c r="E24" s="271" t="str">
        <f>IF(ISBLANK('ONR 3'!E11),"",'ONR 3'!E11)</f>
      </c>
      <c r="F24" s="278" t="str">
        <f>IF(ISBLANK('ONR 3'!F11),"",'ONR 3'!F11)</f>
      </c>
      <c r="G24" s="213" t="str">
        <f>IF(ISBLANK('ONR 3'!G11),"",'ONR 3'!G11)</f>
      </c>
      <c r="H24" s="214" t="str">
        <f>IF(ISBLANK('ONR 3'!H11),"",'ONR 3'!H11)</f>
      </c>
      <c r="I24" s="245" t="str">
        <f>IF(ISBLANK('ONR 3'!I11),"",'ONR 3'!I11)</f>
      </c>
      <c r="J24" s="246" t="str">
        <f>IF(ISBLANK('ONR 3'!J11),"",'ONR 3'!J11)</f>
      </c>
      <c r="K24" s="247" t="str">
        <f>IF(ISBLANK('ONR 3'!K11),"",'ONR 3'!K11)</f>
      </c>
      <c r="L24" s="247" t="b">
        <f>IF(ISBLANK('ONR 3'!L11),"",'ONR 3'!L11)</f>
      </c>
      <c r="M24" s="247" t="b">
        <f>IF(ISBLANK('ONR 3'!M11),"",'ONR 3'!M11)</f>
      </c>
      <c r="N24" s="247" t="b">
        <f>IF(ISBLANK('ONR 3'!N11),"",'ONR 3'!N11)</f>
      </c>
      <c r="O24" s="247" t="b">
        <f>IF(ISBLANK('ONR 3'!O11),"",'ONR 3'!O11)</f>
      </c>
      <c r="P24" s="247" t="b">
        <f>IF(ISBLANK('ONR 3'!P11),"",'ONR 3'!P11)</f>
      </c>
      <c r="Q24" s="247" t="b">
        <f>IF(ISBLANK('ONR 3'!Q11),"",'ONR 3'!Q11)</f>
      </c>
      <c r="R24" s="247" t="b">
        <f>IF(ISBLANK('ONR 3'!R11),"",'ONR 3'!R11)</f>
      </c>
      <c r="S24" s="248" t="str">
        <f>IF(ISBLANK('ONR 3'!S11),"",'ONR 3'!S11)</f>
      </c>
      <c r="T24" s="249" t="str">
        <f>IF(ISBLANK('ONR 3'!T11),"",'ONR 3'!T11)</f>
      </c>
      <c r="U24" s="250" t="str">
        <f>IF(ISBLANK('ONR 3'!U11),"",'ONR 3'!U11)</f>
      </c>
      <c r="V24" s="235" t="str">
        <f>IF(ISBLANK('ONR 3'!G11),"",'ONR 3'!G11)</f>
      </c>
      <c r="W24" s="235" t="str">
        <f>IF(ISBLANK('ONR 3'!V11),"",'ONR 3'!V11)</f>
      </c>
      <c r="X24" s="183" t="str">
        <f>IF(ISBLANK('ONR 3'!W11),"",'ONR 3'!W11)</f>
      </c>
      <c r="Y24" s="253" t="str">
        <f>IF(ISBLANK('ONR 3'!I11),"",'ONR 3'!I11)</f>
      </c>
      <c r="Z24" s="251" t="str">
        <f>IF(ISBLANK('ONR 3'!D11),"",'ONR 3'!D11)</f>
      </c>
      <c r="AE24" s="206" t="n">
        <f>IF(ISNUMBER(T24),0,1)</f>
      </c>
      <c r="AF24" s="206" t="n">
        <f>IF(L24=TRUE,1,0)</f>
      </c>
      <c r="AG24" s="206" t="n">
        <f>IF(M24=TRUE,1,0)</f>
      </c>
      <c r="AH24" s="206" t="n">
        <f>IF(N24=TRUE,1,0)</f>
      </c>
      <c r="AI24" s="206" t="n">
        <f>IF(O24=TRUE,1,0)</f>
      </c>
      <c r="AJ24" s="206" t="n">
        <f>IF(P24=TRUE,1,0)</f>
      </c>
      <c r="AK24" s="206" t="n">
        <f>IF(Q24=TRUE,1,0)</f>
      </c>
      <c r="AL24" s="206" t="n">
        <f>IF(R24=TRUE,1,0)</f>
      </c>
      <c r="AM24" t="n">
        <f>IF(LEN(TRIM(W24))&gt;0,1,0)</f>
        <v>0</v>
      </c>
    </row>
    <row r="25" spans="1:38" s="205" customFormat="1" ht="57">
      <c r="A25" s="199"/>
      <c r="B25" s="219" t="str">
        <f>IF(ISBLANK('ONR 3'!B12),"",'ONR 3'!B12)</f>
        <v>3.6</v>
      </c>
      <c r="C25" s="219" t="str">
        <f>IF(ISBLANK('ONR 3'!C12),"",'ONR 3'!C12)</f>
        <v>Fixer des règles éthiques pour les algorithmes et l'intelligence artificielle, en formation comme en recherche, avec le comité d'éthique de l'établissement.</v>
      </c>
      <c r="D25" s="244" t="str">
        <f>IF(ISBLANK('ONR 3'!D12),"",'ONR 3'!D12)</f>
      </c>
      <c r="E25" s="271" t="str">
        <f>IF(ISBLANK('ONR 3'!E12),"",'ONR 3'!E12)</f>
      </c>
      <c r="F25" s="278" t="str">
        <f>IF(ISBLANK('ONR 3'!F12),"",'ONR 3'!F12)</f>
      </c>
      <c r="G25" s="213" t="str">
        <f>IF(ISBLANK('ONR 3'!G12),"",'ONR 3'!G12)</f>
      </c>
      <c r="H25" s="214" t="str">
        <f>IF(ISBLANK('ONR 3'!H12),"",'ONR 3'!H12)</f>
      </c>
      <c r="I25" s="245" t="str">
        <f>IF(ISBLANK('ONR 3'!I12),"",'ONR 3'!I12)</f>
      </c>
      <c r="J25" s="246" t="str">
        <f>IF(ISBLANK('ONR 3'!J12),"",'ONR 3'!J12)</f>
      </c>
      <c r="K25" s="247" t="str">
        <f>IF(ISBLANK('ONR 3'!K12),"",'ONR 3'!K12)</f>
      </c>
      <c r="L25" s="247" t="b">
        <f>IF(ISBLANK('ONR 3'!L12),"",'ONR 3'!L12)</f>
      </c>
      <c r="M25" s="247" t="b">
        <f>IF(ISBLANK('ONR 3'!M12),"",'ONR 3'!M12)</f>
      </c>
      <c r="N25" s="247" t="b">
        <f>IF(ISBLANK('ONR 3'!N12),"",'ONR 3'!N12)</f>
      </c>
      <c r="O25" s="247" t="b">
        <f>IF(ISBLANK('ONR 3'!O12),"",'ONR 3'!O12)</f>
      </c>
      <c r="P25" s="247" t="b">
        <f>IF(ISBLANK('ONR 3'!P12),"",'ONR 3'!P12)</f>
      </c>
      <c r="Q25" s="247" t="b">
        <f>IF(ISBLANK('ONR 3'!Q12),"",'ONR 3'!Q12)</f>
      </c>
      <c r="R25" s="247" t="b">
        <f>IF(ISBLANK('ONR 3'!R12),"",'ONR 3'!R12)</f>
      </c>
      <c r="S25" s="248" t="str">
        <f>IF(ISBLANK('ONR 3'!S12),"",'ONR 3'!S12)</f>
      </c>
      <c r="T25" s="249" t="str">
        <f>IF(ISBLANK('ONR 3'!T12),"",'ONR 3'!T12)</f>
      </c>
      <c r="U25" s="250" t="str">
        <f>IF(ISBLANK('ONR 3'!U12),"",'ONR 3'!U12)</f>
      </c>
      <c r="V25" s="252" t="str">
        <f>IF(ISBLANK('ONR 3'!G12),"",'ONR 3'!G12)</f>
      </c>
      <c r="W25" s="252" t="str">
        <f>IF(ISBLANK('ONR 3'!V12),"",'ONR 3'!V12)</f>
      </c>
      <c r="X25" s="183" t="str">
        <f>IF(ISBLANK('ONR 3'!W12),"",'ONR 3'!W12)</f>
      </c>
      <c r="Y25" s="254" t="str">
        <f>IF(ISBLANK('ONR 3'!I12),"",'ONR 3'!I12)</f>
      </c>
      <c r="Z25" s="251" t="str">
        <f>IF(ISBLANK('ONR 3'!D12),"",'ONR 3'!D12)</f>
      </c>
      <c r="AE25" s="206" t="n">
        <f>IF(ISNUMBER(T25),0,1)</f>
      </c>
      <c r="AF25" s="206" t="n">
        <f>IF(L25=TRUE,1,0)</f>
      </c>
      <c r="AG25" s="206" t="n">
        <f>IF(M25=TRUE,1,0)</f>
      </c>
      <c r="AH25" s="206" t="n">
        <f>IF(N25=TRUE,1,0)</f>
      </c>
      <c r="AI25" s="206" t="n">
        <f>IF(O25=TRUE,1,0)</f>
      </c>
      <c r="AJ25" s="206" t="n">
        <f>IF(P25=TRUE,1,0)</f>
      </c>
      <c r="AK25" s="206" t="n">
        <f>IF(Q25=TRUE,1,0)</f>
      </c>
      <c r="AL25" s="206" t="n">
        <f>IF(R25=TRUE,1,0)</f>
      </c>
      <c r="AM25" t="n">
        <f>IF(LEN(TRIM(W25))&gt;0,1,0)</f>
        <v>0</v>
      </c>
    </row>
    <row r="26" spans="1:38" s="205" customFormat="1" ht="20" thickBot="1">
      <c r="A26" s="199"/>
      <c r="B26" s="220" t="str">
        <f>IF(ISBLANK('ONR 3'!B13),"",'ONR 3'!B13)</f>
        <v>3.7</v>
      </c>
      <c r="C26" s="220" t="str">
        <f>IF(ISBLANK('ONR 3'!C13),"",'ONR 3'!C13)</f>
        <v>Intégrer le numérique responsable à la démarche de développement durable et de responsabilité sociétale (DD&amp;RS) de l'établissement, et la faire connaître.</v>
      </c>
      <c r="D26" s="244" t="str">
        <f>IF(ISBLANK('ONR 3'!D13),"",'ONR 3'!D13)</f>
      </c>
      <c r="E26" s="271" t="str">
        <f>IF(ISBLANK('ONR 3'!E13),"",'ONR 3'!E13)</f>
      </c>
      <c r="F26" s="278" t="str">
        <f>IF(ISBLANK('ONR 3'!F13),"",'ONR 3'!F13)</f>
      </c>
      <c r="G26" s="213" t="str">
        <f>IF(ISBLANK('ONR 3'!G13),"",'ONR 3'!G13)</f>
      </c>
      <c r="H26" s="214" t="str">
        <f>IF(ISBLANK('ONR 3'!H13),"",'ONR 3'!H13)</f>
      </c>
      <c r="I26" s="245" t="str">
        <f>IF(ISBLANK('ONR 3'!I13),"",'ONR 3'!I13)</f>
      </c>
      <c r="J26" s="246" t="str">
        <f>IF(ISBLANK('ONR 3'!J13),"",'ONR 3'!J13)</f>
      </c>
      <c r="K26" s="247" t="str">
        <f>IF(ISBLANK('ONR 3'!K13),"",'ONR 3'!K13)</f>
      </c>
      <c r="L26" s="247" t="b">
        <f>IF(ISBLANK('ONR 3'!L13),"",'ONR 3'!L13)</f>
      </c>
      <c r="M26" s="247" t="b">
        <f>IF(ISBLANK('ONR 3'!M13),"",'ONR 3'!M13)</f>
      </c>
      <c r="N26" s="247" t="b">
        <f>IF(ISBLANK('ONR 3'!N13),"",'ONR 3'!N13)</f>
      </c>
      <c r="O26" s="247" t="b">
        <f>IF(ISBLANK('ONR 3'!O13),"",'ONR 3'!O13)</f>
      </c>
      <c r="P26" s="247" t="b">
        <f>IF(ISBLANK('ONR 3'!P13),"",'ONR 3'!P13)</f>
      </c>
      <c r="Q26" s="247" t="b">
        <f>IF(ISBLANK('ONR 3'!Q13),"",'ONR 3'!Q13)</f>
      </c>
      <c r="R26" s="247" t="b">
        <f>IF(ISBLANK('ONR 3'!R13),"",'ONR 3'!R13)</f>
      </c>
      <c r="S26" s="248" t="str">
        <f>IF(ISBLANK('ONR 3'!S13),"",'ONR 3'!S13)</f>
      </c>
      <c r="T26" s="249" t="str">
        <f>IF(ISBLANK('ONR 3'!T13),"",'ONR 3'!T13)</f>
      </c>
      <c r="U26" s="250" t="str">
        <f>IF(ISBLANK('ONR 3'!U13),"",'ONR 3'!U13)</f>
      </c>
      <c r="V26" s="255" t="str">
        <f>IF(ISBLANK('ONR 3'!G13),"",'ONR 3'!G13)</f>
      </c>
      <c r="W26" s="145" t="str">
        <f>IF(ISBLANK('ONR 3'!V13),"",'ONR 3'!V13)</f>
      </c>
      <c r="X26" s="183" t="str">
        <f>IF(ISBLANK('ONR 3'!W13),"",'ONR 3'!W13)</f>
      </c>
      <c r="Y26" s="251" t="str">
        <f>IF(ISBLANK('ONR 3'!I13),"",'ONR 3'!I13)</f>
      </c>
      <c r="Z26" s="251" t="str">
        <f>IF(ISBLANK('ONR 3'!D13),"",'ONR 3'!D13)</f>
      </c>
      <c r="AE26" s="206" t="n">
        <f>IF(ISNUMBER(T26),0,1)</f>
      </c>
      <c r="AF26" s="206" t="n">
        <f>IF(L26=TRUE,1,0)</f>
      </c>
      <c r="AG26" s="206" t="n">
        <f>IF(M26=TRUE,1,0)</f>
      </c>
      <c r="AH26" s="206" t="n">
        <f>IF(N26=TRUE,1,0)</f>
      </c>
      <c r="AI26" s="206" t="n">
        <f>IF(O26=TRUE,1,0)</f>
      </c>
      <c r="AJ26" s="206" t="n">
        <f>IF(P26=TRUE,1,0)</f>
      </c>
      <c r="AK26" s="206" t="n">
        <f>IF(Q26=TRUE,1,0)</f>
      </c>
      <c r="AL26" s="206" t="n">
        <f>IF(R26=TRUE,1,0)</f>
      </c>
      <c r="AM26" t="n">
        <f>IF(LEN(TRIM(W26))&gt;0,1,0)</f>
        <v>0</v>
      </c>
    </row>
    <row r="27" spans="1:38" s="205" customFormat="1" ht="20" thickBot="1">
      <c r="A27" s="199"/>
      <c r="B27" s="220" t="str">
        <f>IF(ISBLANK('ONR 3'!B14),"",'ONR 3'!B14)</f>
        <v>3.8</v>
      </c>
      <c r="C27" s="220" t="str">
        <f>IF(ISBLANK('ONR 3'!C14),"",'ONR 3'!C14)</f>
        <v>Indiquer quand une intelligence artificielle répond ou participe à une évaluation, expliquer comment elle décide, et garder une décision humaine pour les sujets sensibles : notes, admission, orientation, suspicion de plagiat.</v>
      </c>
      <c r="D27" s="244" t="str">
        <f>IF(ISBLANK('ONR 3'!D14),"",'ONR 3'!D14)</f>
      </c>
      <c r="E27" s="271" t="str">
        <f>IF(ISBLANK('ONR 3'!E14),"",'ONR 3'!E14)</f>
      </c>
      <c r="F27" s="278" t="str">
        <f>IF(ISBLANK('ONR 3'!F14),"",'ONR 3'!F14)</f>
      </c>
      <c r="G27" s="213" t="str">
        <f>IF(ISBLANK('ONR 3'!G14),"",'ONR 3'!G14)</f>
      </c>
      <c r="H27" s="214" t="str">
        <f>IF(ISBLANK('ONR 3'!H14),"",'ONR 3'!H14)</f>
      </c>
      <c r="I27" s="245" t="str">
        <f>IF(ISBLANK('ONR 3'!I14),"",'ONR 3'!I14)</f>
      </c>
      <c r="J27" s="246" t="n">
        <f>IF(ISBLANK('ONR 3'!J14),"",'ONR 3'!J14)</f>
        <v>0</v>
      </c>
      <c r="K27" s="247" t="str">
        <f>IF(ISBLANK('ONR 3'!K14),"",'ONR 3'!K14)</f>
      </c>
      <c r="L27" s="247" t="b">
        <f>IF(ISBLANK('ONR 3'!L14),"",'ONR 3'!L14)</f>
        <v>0</v>
      </c>
      <c r="M27" s="247" t="b">
        <f>IF(ISBLANK('ONR 3'!M14),"",'ONR 3'!M14)</f>
        <v>0</v>
      </c>
      <c r="N27" s="247" t="b">
        <f>IF(ISBLANK('ONR 3'!N14),"",'ONR 3'!N14)</f>
        <v>0</v>
      </c>
      <c r="O27" s="247" t="b">
        <f>IF(ISBLANK('ONR 3'!O14),"",'ONR 3'!O14)</f>
        <v>0</v>
      </c>
      <c r="P27" s="247" t="b">
        <f>IF(ISBLANK('ONR 3'!P14),"",'ONR 3'!P14)</f>
        <v>0</v>
      </c>
      <c r="Q27" s="247" t="b">
        <f>IF(ISBLANK('ONR 3'!Q14),"",'ONR 3'!Q14)</f>
        <v>0</v>
      </c>
      <c r="R27" s="247" t="b">
        <f>IF(ISBLANK('ONR 3'!R14),"",'ONR 3'!R14)</f>
        <v>0</v>
      </c>
      <c r="S27" s="248" t="str">
        <f>IF(ISBLANK('ONR 3'!S14),"",'ONR 3'!S14)</f>
      </c>
      <c r="T27" s="249" t="str">
        <f>IF(ISBLANK('ONR 3'!T14),"",'ONR 3'!T14)</f>
      </c>
      <c r="U27" s="250" t="str">
        <f>IF(ISBLANK('ONR 3'!U14),"",'ONR 3'!U14)</f>
      </c>
      <c r="V27" s="255" t="str">
        <f>IF(ISBLANK('ONR 3'!G14),"",'ONR 3'!G14)</f>
      </c>
      <c r="W27" s="215" t="str">
        <f>IF(ISBLANK('ONR 3'!V14),"",'ONR 3'!V14)</f>
      </c>
      <c r="X27" s="183" t="str">
        <f>IF(ISBLANK('ONR 3'!W14),"",'ONR 3'!W14)</f>
      </c>
      <c r="Y27" s="251" t="str">
        <f>IF(ISBLANK('ONR 3'!I14),"",'ONR 3'!I14)</f>
      </c>
      <c r="Z27" s="251" t="str">
        <f>IF(ISBLANK('ONR 3'!D14),"",'ONR 3'!D14)</f>
      </c>
      <c r="AE27" s="206" t="n">
        <f>IF(ISNUMBER(T27),0,1)</f>
        <v>1</v>
      </c>
      <c r="AF27" s="206" t="n">
        <f>IF(L27=TRUE,1,0)</f>
        <v>0</v>
      </c>
      <c r="AG27" s="206" t="n">
        <f>IF(M27=TRUE,1,0)</f>
        <v>0</v>
      </c>
      <c r="AH27" s="206" t="n">
        <f>IF(N27=TRUE,1,0)</f>
        <v>0</v>
      </c>
      <c r="AI27" s="206" t="n">
        <f>IF(O27=TRUE,1,0)</f>
        <v>0</v>
      </c>
      <c r="AJ27" s="206" t="n">
        <f>IF(P27=TRUE,1,0)</f>
        <v>0</v>
      </c>
      <c r="AK27" s="206" t="n">
        <f>IF(Q27=TRUE,1,0)</f>
        <v>0</v>
      </c>
      <c r="AL27" s="206" t="n">
        <f>IF(R27=TRUE,1,0)</f>
        <v>0</v>
      </c>
      <c r="AM27" t="n">
        <f>IF(LEN(TRIM(W27))&gt;0,1,0)</f>
        <v>0</v>
      </c>
    </row>
    <row r="28" spans="1:38" s="116" customFormat="1" ht="23" thickBot="1">
      <c r="A28" s="115"/>
      <c r="B28" s="362" t="str">
        <f>'ONR 4'!B2</f>
        <v>ONR 4 : Résilience et stratégie · Utiliser le numérique responsable pour aider l’organisation à faire face aux difficultés et à s’adapter</v>
      </c>
      <c r="C28" s="363"/>
      <c r="D28" s="363"/>
      <c r="E28" s="363"/>
      <c r="F28" s="363"/>
      <c r="G28" s="363"/>
      <c r="H28" s="363"/>
      <c r="I28" s="363"/>
      <c r="J28" s="363"/>
      <c r="K28" s="363"/>
      <c r="L28" s="363"/>
      <c r="M28" s="363"/>
      <c r="N28" s="363"/>
      <c r="O28" s="363"/>
      <c r="P28" s="363"/>
      <c r="Q28" s="363"/>
      <c r="R28" s="363"/>
      <c r="S28" s="363"/>
      <c r="T28" s="363"/>
      <c r="U28" s="363"/>
      <c r="V28" s="363"/>
      <c r="W28" s="363"/>
      <c r="X28" s="363"/>
      <c r="Y28" s="363"/>
      <c r="Z28" s="380"/>
      <c r="AB28" s="116" t="str">
        <f>B28</f>
        <v>ONR 4 : Résilience et stratégie · Utiliser le numérique responsable pour aider l’organisation à faire face aux difficultés et à s’adapter</v>
      </c>
      <c r="AC28" s="116" t="n">
        <f>COUNTA('ONR 4'!B7:B10)</f>
        <v>4</v>
      </c>
      <c r="AD28" s="116" t="n">
        <f>COUNT(T29:T32)</f>
        <v>0</v>
      </c>
      <c r="AE28" s="117" t="n">
        <f>SUM(AE29:AE32)</f>
        <v>4</v>
      </c>
      <c r="AF28" s="117" t="n">
        <f>SUM(AF29:AF32)</f>
        <v>0</v>
      </c>
      <c r="AG28" s="117" t="n">
        <f>SUM(AG29:AG32)</f>
        <v>0</v>
      </c>
      <c r="AH28" s="117" t="n">
        <f>SUM(AH29:AH32)</f>
        <v>0</v>
      </c>
      <c r="AI28" s="117" t="n">
        <f>SUM(AI29:AI32)</f>
        <v>0</v>
      </c>
      <c r="AJ28" s="117" t="n">
        <f>SUM(AJ29:AJ32)</f>
        <v>0</v>
      </c>
      <c r="AK28" s="117" t="n">
        <f>SUM(AK29:AK32)</f>
        <v>0</v>
      </c>
      <c r="AL28" s="117" t="n">
        <f>SUM(AL29:AL32)</f>
        <v>0</v>
      </c>
    </row>
    <row r="29" spans="1:38" s="205" customFormat="1" ht="57">
      <c r="A29" s="199"/>
      <c r="B29" s="218" t="str">
        <f>IF(ISBLANK('ONR 4'!B7),"",'ONR 4'!B7)</f>
        <v>4.1</v>
      </c>
      <c r="C29" s="218" t="str">
        <f>IF(ISBLANK('ONR 4'!C7),"",'ONR 4'!C7)</f>
        <v>Mesurer l'empreinte environnementale du numérique de l'établissement et des projets de recherche avec des méthodes communes, pour se comparer.</v>
      </c>
      <c r="D29" s="223" t="str">
        <f>IF(ISBLANK('ONR 4'!D7),"",'ONR 4'!D7)</f>
      </c>
      <c r="E29" s="267" t="str">
        <f>IF(ISBLANK('ONR 4'!E7),"",'ONR 4'!E7)</f>
      </c>
      <c r="F29" s="274" t="str">
        <f>IF(ISBLANK('ONR 4'!F7),"",'ONR 4'!F7)</f>
      </c>
      <c r="G29" s="200" t="str">
        <f>IF(ISBLANK('ONR 4'!G7),"",'ONR 4'!G7)</f>
      </c>
      <c r="H29" s="202" t="str">
        <f>IF(ISBLANK('ONR 4'!H7),"",'ONR 4'!H7)</f>
      </c>
      <c r="I29" s="225" t="str">
        <f>IF(ISBLANK('ONR 4'!I7),"",'ONR 4'!I7)</f>
      </c>
      <c r="J29" s="218" t="str">
        <f>IF(ISBLANK('ONR 4'!J7),"",'ONR 4'!J7)</f>
      </c>
      <c r="K29" s="227" t="str">
        <f>IF(ISBLANK('ONR 4'!K7),"",'ONR 4'!K7)</f>
      </c>
      <c r="L29" s="227" t="b">
        <f>IF(ISBLANK('ONR 4'!L7),"",'ONR 4'!L7)</f>
        <v>0</v>
      </c>
      <c r="M29" s="227" t="b">
        <f>IF(ISBLANK('ONR 4'!M7),"",'ONR 4'!M7)</f>
        <v>0</v>
      </c>
      <c r="N29" s="227" t="b">
        <f>IF(ISBLANK('ONR 4'!N7),"",'ONR 4'!N7)</f>
        <v>0</v>
      </c>
      <c r="O29" s="227" t="b">
        <f>IF(ISBLANK('ONR 4'!O7),"",'ONR 4'!O7)</f>
        <v>0</v>
      </c>
      <c r="P29" s="227" t="b">
        <f>IF(ISBLANK('ONR 4'!P7),"",'ONR 4'!P7)</f>
        <v>0</v>
      </c>
      <c r="Q29" s="227" t="b">
        <f>IF(ISBLANK('ONR 4'!Q7),"",'ONR 4'!Q7)</f>
        <v>0</v>
      </c>
      <c r="R29" s="227" t="b">
        <f>IF(ISBLANK('ONR 4'!R7),"",'ONR 4'!R7)</f>
        <v>0</v>
      </c>
      <c r="S29" s="228" t="str">
        <f>IF(ISBLANK('ONR 4'!S7),"",'ONR 4'!S7)</f>
      </c>
      <c r="T29" s="226" t="str">
        <f>IF(ISBLANK('ONR 4'!T7),"",'ONR 4'!T7)</f>
      </c>
      <c r="U29" s="242" t="str">
        <f>IF(ISBLANK('ONR 4'!U7),"",'ONR 4'!U7)</f>
      </c>
      <c r="V29" s="229" t="str">
        <f>IF(ISBLANK('ONR 4'!G7),"",'ONR 4'!G7)</f>
      </c>
      <c r="W29" s="203" t="str">
        <f>IF(ISBLANK('ONR 4'!V7),"",'ONR 4'!V7)</f>
      </c>
      <c r="X29" s="204" t="str">
        <f>IF(ISBLANK('ONR 4'!W7),"",'ONR 4'!W7)</f>
      </c>
      <c r="Y29" s="230" t="str">
        <f>IF(ISBLANK('ONR 4'!I7),"",'ONR 4'!I7)</f>
      </c>
      <c r="Z29" s="230" t="str">
        <f>IF(ISBLANK('ONR 4'!D7),"",'ONR 4'!D7)</f>
      </c>
      <c r="AE29" s="206" t="n">
        <f>IF(ISNUMBER(T29),0,1)</f>
        <v>1</v>
      </c>
      <c r="AF29" s="206" t="n">
        <f>IF(L29=TRUE,1,0)</f>
      </c>
      <c r="AG29" s="206" t="n">
        <f>IF(M29=TRUE,1,0)</f>
      </c>
      <c r="AH29" s="206" t="n">
        <f>IF(N29=TRUE,1,0)</f>
      </c>
      <c r="AI29" s="206" t="n">
        <f>IF(O29=TRUE,1,0)</f>
      </c>
      <c r="AJ29" s="206" t="n">
        <f>IF(P29=TRUE,1,0)</f>
      </c>
      <c r="AK29" s="206" t="n">
        <f>IF(Q29=TRUE,1,0)</f>
      </c>
      <c r="AL29" s="206" t="n">
        <f>IF(R29=TRUE,1,0)</f>
      </c>
      <c r="AM29" t="n">
        <f>IF(LEN(TRIM(W29))&gt;0,1,0)</f>
        <v>0</v>
      </c>
    </row>
    <row r="30" spans="1:38" s="205" customFormat="1" ht="57">
      <c r="A30" s="199"/>
      <c r="B30" s="219" t="str">
        <f>IF(ISBLANK('ONR 4'!B8),"",'ONR 4'!B8)</f>
        <v>4.2</v>
      </c>
      <c r="C30" s="219" t="str">
        <f>IF(ISBLANK('ONR 4'!C8),"",'ONR 4'!C8)</f>
        <v>Évaluer les services numériques au fil du temps, avec les étudiants et les personnels, et partager les résultats.</v>
      </c>
      <c r="D30" s="231" t="str">
        <f>IF(ISBLANK('ONR 4'!D8),"",'ONR 4'!D8)</f>
      </c>
      <c r="E30" s="268" t="str">
        <f>IF(ISBLANK('ONR 4'!E8),"",'ONR 4'!E8)</f>
      </c>
      <c r="F30" s="275" t="str">
        <f>IF(ISBLANK('ONR 4'!F8),"",'ONR 4'!F8)</f>
      </c>
      <c r="G30" s="207" t="str">
        <f>IF(ISBLANK('ONR 4'!G8),"",'ONR 4'!G8)</f>
      </c>
      <c r="H30" s="201" t="str">
        <f>IF(ISBLANK('ONR 4'!H8),"",'ONR 4'!H8)</f>
      </c>
      <c r="I30" s="224" t="str">
        <f>IF(ISBLANK('ONR 4'!I8),"",'ONR 4'!I8)</f>
      </c>
      <c r="J30" s="219" t="str">
        <f>IF(ISBLANK('ONR 4'!J8),"",'ONR 4'!J8)</f>
      </c>
      <c r="K30" s="233" t="str">
        <f>IF(ISBLANK('ONR 4'!K8),"",'ONR 4'!K8)</f>
      </c>
      <c r="L30" t="b" s="227">
        <f>IF(ISBLANK('ONR 4'!L8),"",'ONR 4'!L8)</f>
        <v>0</v>
      </c>
      <c r="M30" s="233" t="b">
        <f>IF(ISBLANK('ONR 4'!M8),"",'ONR 4'!M8)</f>
      </c>
      <c r="N30" s="233" t="b">
        <f>IF(ISBLANK('ONR 4'!N8),"",'ONR 4'!N8)</f>
      </c>
      <c r="O30" s="233" t="b">
        <f>IF(ISBLANK('ONR 4'!O8),"",'ONR 4'!O8)</f>
      </c>
      <c r="P30" s="233" t="b">
        <f>IF(ISBLANK('ONR 4'!P8),"",'ONR 4'!P8)</f>
      </c>
      <c r="Q30" s="233" t="b">
        <f>IF(ISBLANK('ONR 4'!Q8),"",'ONR 4'!Q8)</f>
      </c>
      <c r="R30" s="233" t="b">
        <f>IF(ISBLANK('ONR 4'!R8),"",'ONR 4'!R8)</f>
      </c>
      <c r="S30" s="234" t="str">
        <f>IF(ISBLANK('ONR 4'!S8),"",'ONR 4'!S8)</f>
      </c>
      <c r="T30" t="str" s="226">
        <f>IF(ISBLANK('ONR 4'!T8),"",'ONR 4'!T8)</f>
      </c>
      <c r="U30" t="str" s="242">
        <f>IF(ISBLANK('ONR 4'!U8),"",'ONR 4'!U8)</f>
      </c>
      <c r="V30" t="str" s="229">
        <f>IF(ISBLANK('ONR 4'!G8),"",'ONR 4'!G8)</f>
      </c>
      <c r="W30" s="142" t="str">
        <f>IF(ISBLANK('ONR 4'!V8),"",'ONR 4'!V8)</f>
      </c>
      <c r="X30" s="204" t="str">
        <f>IF(ISBLANK('ONR 4'!W8),"",'ONR 4'!W8)</f>
      </c>
      <c r="Y30" s="236" t="str">
        <f>IF(ISBLANK('ONR 4'!I8),"",'ONR 4'!I8)</f>
      </c>
      <c r="Z30" s="236" t="str">
        <f>IF(ISBLANK('ONR 4'!D8),"",'ONR 4'!D8)</f>
      </c>
      <c r="AE30" s="206" t="n">
        <f>IF(ISNUMBER(T30),0,1)</f>
        <v>1</v>
      </c>
      <c r="AF30" s="206" t="n">
        <f>IF(L30=TRUE,1,0)</f>
      </c>
      <c r="AG30" s="206" t="n">
        <f>IF(M30=TRUE,1,0)</f>
      </c>
      <c r="AH30" s="206" t="n">
        <f>IF(N30=TRUE,1,0)</f>
      </c>
      <c r="AI30" s="206" t="n">
        <f>IF(O30=TRUE,1,0)</f>
      </c>
      <c r="AJ30" s="206" t="n">
        <f>IF(P30=TRUE,1,0)</f>
      </c>
      <c r="AK30" s="206" t="n">
        <f>IF(Q30=TRUE,1,0)</f>
      </c>
      <c r="AL30" s="206" t="n">
        <f>IF(R30=TRUE,1,0)</f>
      </c>
      <c r="AM30" t="n">
        <f>IF(LEN(TRIM(W30))&gt;0,1,0)</f>
        <v>0</v>
      </c>
    </row>
    <row r="31" spans="1:38" s="205" customFormat="1" ht="57">
      <c r="A31" s="199"/>
      <c r="B31" s="219" t="str">
        <f>IF(ISBLANK('ONR 4'!B9),"",'ONR 4'!B9)</f>
        <v>4.3</v>
      </c>
      <c r="C31" s="219" t="str">
        <f>IF(ISBLANK('ONR 4'!C9),"",'ONR 4'!C9)</f>
        <v>Expérimenter de nouveaux outils pour la pédagogie et la recherche. Évaluer leurs effets et expliquer les résultats à celles et ceux qui les utilisent.</v>
      </c>
      <c r="D31" s="231" t="str">
        <f>IF(ISBLANK('ONR 4'!D9),"",'ONR 4'!D9)</f>
      </c>
      <c r="E31" s="268" t="str">
        <f>IF(ISBLANK('ONR 4'!E9),"",'ONR 4'!E9)</f>
      </c>
      <c r="F31" s="275" t="str">
        <f>IF(ISBLANK('ONR 4'!F9),"",'ONR 4'!F9)</f>
      </c>
      <c r="G31" s="207" t="str">
        <f>IF(ISBLANK('ONR 4'!G9),"",'ONR 4'!G9)</f>
      </c>
      <c r="H31" s="201" t="str">
        <f>IF(ISBLANK('ONR 4'!H9),"",'ONR 4'!H9)</f>
      </c>
      <c r="I31" s="224" t="str">
        <f>IF(ISBLANK('ONR 4'!I9),"",'ONR 4'!I9)</f>
      </c>
      <c r="J31" s="219" t="str">
        <f>IF(ISBLANK('ONR 4'!J9),"",'ONR 4'!J9)</f>
      </c>
      <c r="K31" s="233" t="str">
        <f>IF(ISBLANK('ONR 4'!K9),"",'ONR 4'!K9)</f>
      </c>
      <c r="L31" s="233" t="b">
        <f>IF(ISBLANK('ONR 4'!L9),"",'ONR 4'!L9)</f>
      </c>
      <c r="M31" s="233" t="b">
        <f>IF(ISBLANK('ONR 4'!M9),"",'ONR 4'!M9)</f>
      </c>
      <c r="N31" s="233" t="b">
        <f>IF(ISBLANK('ONR 4'!N9),"",'ONR 4'!N9)</f>
      </c>
      <c r="O31" s="233" t="b">
        <f>IF(ISBLANK('ONR 4'!O9),"",'ONR 4'!O9)</f>
      </c>
      <c r="P31" s="233" t="b">
        <f>IF(ISBLANK('ONR 4'!P9),"",'ONR 4'!P9)</f>
      </c>
      <c r="Q31" s="233" t="b">
        <f>IF(ISBLANK('ONR 4'!Q9),"",'ONR 4'!Q9)</f>
      </c>
      <c r="R31" s="233" t="b">
        <f>IF(ISBLANK('ONR 4'!R9),"",'ONR 4'!R9)</f>
      </c>
      <c r="S31" s="234" t="str">
        <f>IF(ISBLANK('ONR 4'!S9),"",'ONR 4'!S9)</f>
      </c>
      <c r="T31" s="232" t="str">
        <f>IF(ISBLANK('ONR 4'!T9),"",'ONR 4'!T9)</f>
      </c>
      <c r="U31" s="243" t="str">
        <f>IF(ISBLANK('ONR 4'!U9),"",'ONR 4'!U9)</f>
      </c>
      <c r="V31" s="235" t="str">
        <f>IF(ISBLANK('ONR 4'!G9),"",'ONR 4'!G9)</f>
      </c>
      <c r="W31" s="142" t="str">
        <f>IF(ISBLANK('ONR 4'!V9),"",'ONR 4'!V9)</f>
      </c>
      <c r="X31" s="204" t="str">
        <f>IF(ISBLANK('ONR 4'!W9),"",'ONR 4'!W9)</f>
      </c>
      <c r="Y31" s="236" t="str">
        <f>IF(ISBLANK('ONR 4'!I9),"",'ONR 4'!I9)</f>
      </c>
      <c r="Z31" s="236" t="str">
        <f>IF(ISBLANK('ONR 4'!D9),"",'ONR 4'!D9)</f>
      </c>
      <c r="AE31" s="206" t="n">
        <f>IF(ISNUMBER(T31),0,1)</f>
        <v>1</v>
      </c>
      <c r="AF31" s="206" t="n">
        <f>IF(L31=TRUE,1,0)</f>
      </c>
      <c r="AG31" s="206" t="n">
        <f>IF(M31=TRUE,1,0)</f>
      </c>
      <c r="AH31" s="206" t="n">
        <f>IF(N31=TRUE,1,0)</f>
      </c>
      <c r="AI31" s="206" t="n">
        <f>IF(O31=TRUE,1,0)</f>
      </c>
      <c r="AJ31" s="206" t="n">
        <f>IF(P31=TRUE,1,0)</f>
      </c>
      <c r="AK31" s="206" t="n">
        <f>IF(Q31=TRUE,1,0)</f>
      </c>
      <c r="AL31" s="206" t="n">
        <f>IF(R31=TRUE,1,0)</f>
      </c>
      <c r="AM31" t="n">
        <f>IF(LEN(TRIM(W31))&gt;0,1,0)</f>
        <v>0</v>
      </c>
    </row>
    <row r="32" spans="1:38" s="205" customFormat="1" ht="20" thickBot="1">
      <c r="A32" s="199"/>
      <c r="B32" s="219" t="str">
        <f>IF(ISBLANK('ONR 4'!B10),"",'ONR 4'!B10)</f>
        <v>4.4</v>
      </c>
      <c r="C32" s="219" t="str">
        <f>IF(ISBLANK('ONR 4'!C10),"",'ONR 4'!C10)</f>
        <v>Garder la maîtrise des données de recherche et de formation, des outils et des choix techniques : logiciels libres (Moodle, BigBlueButton, Nextcloud), hébergement de confiance, infrastructures mutualisées de l'enseignement supérieur et de la recherche (RENATER, mésocentres).</v>
      </c>
      <c r="D32" s="231" t="str">
        <f>IF(ISBLANK('ONR 4'!D10),"",'ONR 4'!D10)</f>
      </c>
      <c r="E32" s="268" t="str">
        <f>IF(ISBLANK('ONR 4'!E10),"",'ONR 4'!E10)</f>
      </c>
      <c r="F32" s="275" t="str">
        <f>IF(ISBLANK('ONR 4'!F10),"",'ONR 4'!F10)</f>
      </c>
      <c r="G32" s="207" t="str">
        <f>IF(ISBLANK('ONR 4'!G10),"",'ONR 4'!G10)</f>
      </c>
      <c r="H32" s="201" t="str">
        <f>IF(ISBLANK('ONR 4'!H10),"",'ONR 4'!H10)</f>
      </c>
      <c r="I32" s="224" t="str">
        <f>IF(ISBLANK('ONR 4'!I10),"",'ONR 4'!I10)</f>
      </c>
      <c r="J32" s="219" t="n">
        <f>IF(ISBLANK('ONR 4'!J10),"",'ONR 4'!J10)</f>
      </c>
      <c r="K32" t="str" s="233">
        <f>IF(ISBLANK('ONR 4'!K10),"",'ONR 4'!K10)</f>
      </c>
      <c r="L32" t="b" s="233">
        <f>IF(ISBLANK('ONR 4'!L10),"",'ONR 4'!L10)</f>
        <v>0</v>
      </c>
      <c r="M32" t="b" s="233">
        <f>IF(ISBLANK('ONR 4'!M10),"",'ONR 4'!M10)</f>
        <v>0</v>
      </c>
      <c r="N32" t="b" s="233">
        <f>IF(ISBLANK('ONR 4'!N10),"",'ONR 4'!N10)</f>
        <v>0</v>
      </c>
      <c r="O32" t="b" s="233">
        <f>IF(ISBLANK('ONR 4'!O10),"",'ONR 4'!O10)</f>
        <v>0</v>
      </c>
      <c r="P32" t="b" s="233">
        <f>IF(ISBLANK('ONR 4'!P10),"",'ONR 4'!P10)</f>
        <v>0</v>
      </c>
      <c r="Q32" t="b" s="233">
        <f>IF(ISBLANK('ONR 4'!Q10),"",'ONR 4'!Q10)</f>
        <v>0</v>
      </c>
      <c r="R32" t="b" s="233">
        <f>IF(ISBLANK('ONR 4'!R10),"",'ONR 4'!R10)</f>
        <v>0</v>
      </c>
      <c r="S32" t="str" s="234">
        <f>IF(ISBLANK('ONR 4'!S10),"",'ONR 4'!S10)</f>
      </c>
      <c r="T32" t="str" s="232">
        <f>IF(ISBLANK('ONR 4'!T10),"",'ONR 4'!T10)</f>
      </c>
      <c r="U32" t="str" s="243">
        <f>IF(ISBLANK('ONR 4'!U10),"",'ONR 4'!U10)</f>
      </c>
      <c r="V32" t="str" s="235">
        <f>IF(ISBLANK('ONR 4'!G10),"",'ONR 4'!G10)</f>
      </c>
      <c r="W32" s="142" t="str">
        <f>IF(ISBLANK('ONR 4'!V10),"",'ONR 4'!V10)</f>
      </c>
      <c r="X32" s="204" t="str">
        <f>IF(ISBLANK('ONR 4'!W10),"",'ONR 4'!W10)</f>
      </c>
      <c r="Y32" s="236" t="str">
        <f>IF(ISBLANK('ONR 4'!I10),"",'ONR 4'!I10)</f>
      </c>
      <c r="Z32" s="236" t="str">
        <f>IF(ISBLANK('ONR 4'!D10),"",'ONR 4'!D10)</f>
      </c>
      <c r="AE32" s="206" t="n">
        <f>IF(ISNUMBER(T32),0,1)</f>
        <v>1</v>
      </c>
      <c r="AF32" s="206" t="n">
        <f>IF(L32=TRUE,1,0)</f>
      </c>
      <c r="AG32" s="206" t="n">
        <f>IF(M32=TRUE,1,0)</f>
      </c>
      <c r="AH32" s="206" t="n">
        <f>IF(N32=TRUE,1,0)</f>
      </c>
      <c r="AI32" s="206" t="n">
        <f>IF(O32=TRUE,1,0)</f>
      </c>
      <c r="AJ32" s="206" t="n">
        <f>IF(P32=TRUE,1,0)</f>
      </c>
      <c r="AK32" s="206" t="n">
        <f>IF(Q32=TRUE,1,0)</f>
      </c>
      <c r="AL32" s="206" t="n">
        <f>IF(R32=TRUE,1,0)</f>
      </c>
      <c r="AM32" t="n">
        <f>IF(LEN(TRIM(W32))&gt;0,1,0)</f>
        <v>0</v>
      </c>
    </row>
    <row r="33" spans="1:38" s="116" customFormat="1" ht="23" thickBot="1">
      <c r="A33" s="115"/>
      <c r="B33" s="362" t="str">
        <f>'ONR 5'!B2</f>
        <v>ONR 5 : Management · Donner du sens au travail et préserver les personnes et les ressources nécessaires à nos activités</v>
      </c>
      <c r="C33" s="363"/>
      <c r="D33" s="363"/>
      <c r="E33" s="363"/>
      <c r="F33" s="363"/>
      <c r="G33" s="363"/>
      <c r="H33" s="363"/>
      <c r="I33" s="363"/>
      <c r="J33" s="363"/>
      <c r="K33" s="363"/>
      <c r="L33" s="363"/>
      <c r="M33" s="363"/>
      <c r="N33" s="363"/>
      <c r="O33" s="363"/>
      <c r="P33" s="363"/>
      <c r="Q33" s="363"/>
      <c r="R33" s="363"/>
      <c r="S33" s="363"/>
      <c r="T33" s="363"/>
      <c r="U33" s="363"/>
      <c r="V33" s="363"/>
      <c r="W33" s="363"/>
      <c r="X33" s="363"/>
      <c r="Y33" s="363"/>
      <c r="Z33" s="364"/>
      <c r="AB33" s="116" t="str">
        <f>B33</f>
        <v>ONR 5 : Management · Donner du sens au travail et préserver les personnes et les ressources nécessaires à nos activités</v>
      </c>
      <c r="AC33" s="116" t="n">
        <f>COUNTA('ONR 5'!B7:B13)</f>
        <v>7</v>
      </c>
      <c r="AD33" s="116" t="n">
        <f>COUNT(T34:T40)</f>
        <v>0</v>
      </c>
      <c r="AE33" s="117" t="n">
        <f>SUM(AE34:AE40)</f>
        <v>7</v>
      </c>
      <c r="AF33" s="117" t="n">
        <f>SUM(AF34:AF40)</f>
        <v>0</v>
      </c>
      <c r="AG33" s="117" t="n">
        <f>SUM(AG34:AG40)</f>
        <v>0</v>
      </c>
      <c r="AH33" s="117" t="n">
        <f>SUM(AH34:AH40)</f>
        <v>0</v>
      </c>
      <c r="AI33" s="117" t="n">
        <f>SUM(AI34:AI40)</f>
        <v>0</v>
      </c>
      <c r="AJ33" s="117" t="n">
        <f>SUM(AJ34:AJ40)</f>
        <v>0</v>
      </c>
      <c r="AK33" s="117" t="n">
        <f>SUM(AK34:AK40)</f>
        <v>0</v>
      </c>
      <c r="AL33" s="117" t="n">
        <f>SUM(AL34:AL40)</f>
        <v>0</v>
      </c>
    </row>
    <row r="34" spans="1:38" s="205" customFormat="1" ht="38">
      <c r="A34" s="199"/>
      <c r="B34" s="218" t="str">
        <f>IF(ISBLANK('ONR 5'!B7),"",'ONR 5'!B7)</f>
        <v>5.1</v>
      </c>
      <c r="C34" s="218" t="str">
        <f>IF(ISBLANK('ONR 5'!C7),"",'ONR 5'!C7)</f>
        <v>Concevoir les services numériques en réponse aux besoins sociaux des étudiants et des personnels : précarité, éloignement, handicap.</v>
      </c>
      <c r="D34" s="223" t="str">
        <f>IF(ISBLANK('ONR 5'!D7),"",'ONR 5'!D7)</f>
      </c>
      <c r="E34" s="272" t="str">
        <f>IF(ISBLANK('ONR 5'!E7),"",'ONR 5'!E7)</f>
      </c>
      <c r="F34" s="279" t="str">
        <f>IF(ISBLANK('ONR 5'!F7),"",'ONR 5'!F7)</f>
      </c>
      <c r="G34" s="200" t="str">
        <f>IF(ISBLANK('ONR 5'!G7),"",'ONR 5'!G7)</f>
      </c>
      <c r="H34" s="216" t="str">
        <f>IF(ISBLANK('ONR 5'!H7),"",'ONR 5'!H7)</f>
      </c>
      <c r="I34" s="225" t="str">
        <f>IF(ISBLANK('ONR 5'!I7),"",'ONR 5'!I7)</f>
      </c>
      <c r="J34" s="220" t="str">
        <f>IF(ISBLANK('ONR 5'!J7),"",'ONR 5'!J7)</f>
      </c>
      <c r="K34" t="str" s="363">
        <f>IF(ISBLANK('ONR 5'!K7),"",'ONR 5'!K7)</f>
      </c>
      <c r="L34" s="227" t="b">
        <f>IF(ISBLANK('ONR 5'!L7),"",'ONR 5'!L7)</f>
        <v>0</v>
      </c>
      <c r="M34" s="227" t="b">
        <f>IF(ISBLANK('ONR 5'!M7),"",'ONR 5'!M7)</f>
        <v>0</v>
      </c>
      <c r="N34" s="227" t="b">
        <f>IF(ISBLANK('ONR 5'!N7),"",'ONR 5'!N7)</f>
        <v>0</v>
      </c>
      <c r="O34" s="227" t="b">
        <f>IF(ISBLANK('ONR 5'!O7),"",'ONR 5'!O7)</f>
        <v>0</v>
      </c>
      <c r="P34" s="227" t="b">
        <f>IF(ISBLANK('ONR 5'!P7),"",'ONR 5'!P7)</f>
        <v>0</v>
      </c>
      <c r="Q34" s="227" t="b">
        <f>IF(ISBLANK('ONR 5'!Q7),"",'ONR 5'!Q7)</f>
        <v>0</v>
      </c>
      <c r="R34" s="227" t="b">
        <f>IF(ISBLANK('ONR 5'!R7),"",'ONR 5'!R7)</f>
        <v>0</v>
      </c>
      <c r="S34" s="228" t="str">
        <f>IF(ISBLANK('ONR 5'!S7),"",'ONR 5'!S7)</f>
      </c>
      <c r="T34" s="226" t="str">
        <f>IF(ISBLANK('ONR 5'!T7),"",'ONR 5'!T7)</f>
      </c>
      <c r="U34" s="242" t="str">
        <f>IF(ISBLANK('ONR 5'!U7),"",'ONR 5'!U7)</f>
      </c>
      <c r="V34" s="229" t="str">
        <f>IF(ISBLANK('ONR 5'!G7),"",'ONR 5'!G7)</f>
      </c>
      <c r="W34" s="203" t="str">
        <f>IF(ISBLANK('ONR 5'!V7),"",'ONR 5'!V7)</f>
      </c>
      <c r="X34" s="204" t="str">
        <f>IF(ISBLANK('ONR 5'!W7),"",'ONR 5'!W7)</f>
      </c>
      <c r="Y34" s="257" t="str">
        <f>IF(ISBLANK('ONR 5'!I7),"",'ONR 5'!I7)</f>
      </c>
      <c r="Z34" s="256" t="str">
        <f>IF(ISBLANK('ONR 5'!D7),"",'ONR 5'!D7)</f>
      </c>
      <c r="AE34" s="206" t="n">
        <f>IF(ISNUMBER(T34),0,1)</f>
      </c>
      <c r="AF34" s="206" t="n">
        <f>IF(L34=TRUE,1,0)</f>
      </c>
      <c r="AG34" s="206" t="n">
        <f>IF(M34=TRUE,1,0)</f>
      </c>
      <c r="AH34" s="206" t="n">
        <f>IF(N34=TRUE,1,0)</f>
      </c>
      <c r="AI34" s="206" t="n">
        <f>IF(O34=TRUE,1,0)</f>
      </c>
      <c r="AJ34" s="206" t="n">
        <f>IF(P34=TRUE,1,0)</f>
      </c>
      <c r="AK34" s="206" t="n">
        <f>IF(Q34=TRUE,1,0)</f>
      </c>
      <c r="AL34" s="206" t="n">
        <f>IF(R34=TRUE,1,0)</f>
      </c>
      <c r="AM34" t="n">
        <f>IF(LEN(TRIM(W34))&gt;0,1,0)</f>
        <v>0</v>
      </c>
    </row>
    <row r="35" spans="1:38" s="205" customFormat="1" ht="38">
      <c r="A35" s="199"/>
      <c r="B35" s="219" t="str">
        <f>IF(ISBLANK('ONR 5'!B8),"",'ONR 5'!B8)</f>
        <v>5.2</v>
      </c>
      <c r="C35" s="218" t="str">
        <f>IF(ISBLANK('ONR 5'!C8),"",'ONR 5'!C8)</f>
        <v>Faire connaître et soutenir les initiatives des personnels et des étudiants qui encouragent la coopération entre services et le bien-être au travail et aux études.</v>
      </c>
      <c r="D35" s="231" t="str">
        <f>IF(ISBLANK('ONR 5'!D8),"",'ONR 5'!D8)</f>
      </c>
      <c r="E35" s="272" t="str">
        <f>IF(ISBLANK('ONR 5'!E8),"",'ONR 5'!E8)</f>
      </c>
      <c r="F35" s="279" t="str">
        <f>IF(ISBLANK('ONR 5'!F8),"",'ONR 5'!F8)</f>
      </c>
      <c r="G35" s="207" t="str">
        <f>IF(ISBLANK('ONR 5'!G8),"",'ONR 5'!G8)</f>
      </c>
      <c r="H35" s="216" t="str">
        <f>IF(ISBLANK('ONR 5'!H8),"",'ONR 5'!H8)</f>
      </c>
      <c r="I35" s="224" t="str">
        <f>IF(ISBLANK('ONR 5'!I8),"",'ONR 5'!I8)</f>
      </c>
      <c r="J35" s="220" t="str">
        <f>IF(ISBLANK('ONR 5'!J8),"",'ONR 5'!J8)</f>
      </c>
      <c r="K35" s="233" t="str">
        <f>IF(ISBLANK('ONR 5'!K8),"",'ONR 5'!K8)</f>
      </c>
      <c r="L35" s="233" t="b">
        <f>IF(ISBLANK('ONR 5'!L8),"",'ONR 5'!L8)</f>
      </c>
      <c r="M35" s="233" t="b">
        <f>IF(ISBLANK('ONR 5'!M8),"",'ONR 5'!M8)</f>
      </c>
      <c r="N35" s="233" t="b">
        <f>IF(ISBLANK('ONR 5'!N8),"",'ONR 5'!N8)</f>
      </c>
      <c r="O35" s="233" t="b">
        <f>IF(ISBLANK('ONR 5'!O8),"",'ONR 5'!O8)</f>
      </c>
      <c r="P35" s="233" t="b">
        <f>IF(ISBLANK('ONR 5'!P8),"",'ONR 5'!P8)</f>
      </c>
      <c r="Q35" s="233" t="b">
        <f>IF(ISBLANK('ONR 5'!Q8),"",'ONR 5'!Q8)</f>
      </c>
      <c r="R35" s="233" t="b">
        <f>IF(ISBLANK('ONR 5'!R8),"",'ONR 5'!R8)</f>
      </c>
      <c r="S35" s="234" t="str">
        <f>IF(ISBLANK('ONR 5'!S8),"",'ONR 5'!S8)</f>
      </c>
      <c r="T35" s="232" t="str">
        <f>IF(ISBLANK('ONR 5'!T8),"",'ONR 5'!T8)</f>
      </c>
      <c r="U35" s="243" t="str">
        <f>IF(ISBLANK('ONR 5'!U8),"",'ONR 5'!U8)</f>
      </c>
      <c r="V35" s="235" t="str">
        <f>IF(ISBLANK('ONR 5'!G8),"",'ONR 5'!G8)</f>
      </c>
      <c r="W35" t="str" s="203">
        <f>IF(ISBLANK('ONR 5'!V8),"",'ONR 5'!V8)</f>
      </c>
      <c r="X35" s="204" t="str">
        <f>IF(ISBLANK('ONR 5'!W8),"",'ONR 5'!W8)</f>
      </c>
      <c r="Y35" s="258" t="str">
        <f>IF(ISBLANK('ONR 5'!I8),"",'ONR 5'!I8)</f>
      </c>
      <c r="Z35" t="str" s="256">
        <f>IF(ISBLANK('ONR 5'!D8),"",'ONR 5'!D8)</f>
      </c>
      <c r="AE35" s="206" t="n">
        <f>IF(ISNUMBER(T35),0,1)</f>
      </c>
      <c r="AF35" s="206" t="n">
        <f>IF(L35=TRUE,1,0)</f>
      </c>
      <c r="AG35" s="206" t="n">
        <f>IF(M35=TRUE,1,0)</f>
      </c>
      <c r="AH35" s="206" t="n">
        <f>IF(N35=TRUE,1,0)</f>
      </c>
      <c r="AI35" s="206" t="n">
        <f>IF(O35=TRUE,1,0)</f>
      </c>
      <c r="AJ35" s="206" t="n">
        <f>IF(P35=TRUE,1,0)</f>
      </c>
      <c r="AK35" s="206" t="n">
        <f>IF(Q35=TRUE,1,0)</f>
      </c>
      <c r="AL35" s="206" t="n">
        <f>IF(R35=TRUE,1,0)</f>
      </c>
      <c r="AM35" t="n">
        <f>IF(LEN(TRIM(W35))&gt;0,1,0)</f>
        <v>0</v>
      </c>
    </row>
    <row r="36" spans="1:38" s="205" customFormat="1" ht="38">
      <c r="A36" s="199"/>
      <c r="B36" s="219" t="str">
        <f>IF(ISBLANK('ONR 5'!B9),"",'ONR 5'!B9)</f>
        <v>5.3</v>
      </c>
      <c r="C36" s="218" t="str">
        <f>IF(ISBLANK('ONR 5'!C9),"",'ONR 5'!C9)</f>
        <v>Associer les étudiants, les personnels, les chercheurs et les partenaires du territoire aux choix numériques, en s'appuyant sur leur expertise.</v>
      </c>
      <c r="D36" s="231" t="str">
        <f>IF(ISBLANK('ONR 5'!D9),"",'ONR 5'!D9)</f>
      </c>
      <c r="E36" s="272" t="str">
        <f>IF(ISBLANK('ONR 5'!E9),"",'ONR 5'!E9)</f>
      </c>
      <c r="F36" s="279" t="str">
        <f>IF(ISBLANK('ONR 5'!F9),"",'ONR 5'!F9)</f>
      </c>
      <c r="G36" s="207" t="str">
        <f>IF(ISBLANK('ONR 5'!G9),"",'ONR 5'!G9)</f>
      </c>
      <c r="H36" s="216" t="str">
        <f>IF(ISBLANK('ONR 5'!H9),"",'ONR 5'!H9)</f>
      </c>
      <c r="I36" s="224" t="str">
        <f>IF(ISBLANK('ONR 5'!I9),"",'ONR 5'!I9)</f>
      </c>
      <c r="J36" s="220" t="str">
        <f>IF(ISBLANK('ONR 5'!J9),"",'ONR 5'!J9)</f>
      </c>
      <c r="K36" t="str" s="233">
        <f>IF(ISBLANK('ONR 5'!K9),"",'ONR 5'!K9)</f>
      </c>
      <c r="L36" t="b" s="233">
        <f>IF(ISBLANK('ONR 5'!L9),"",'ONR 5'!L9)</f>
        <v>0</v>
      </c>
      <c r="M36" t="b" s="233">
        <f>IF(ISBLANK('ONR 5'!M9),"",'ONR 5'!M9)</f>
        <v>0</v>
      </c>
      <c r="N36" t="b" s="233">
        <f>IF(ISBLANK('ONR 5'!N9),"",'ONR 5'!N9)</f>
        <v>0</v>
      </c>
      <c r="O36" t="b" s="233">
        <f>IF(ISBLANK('ONR 5'!O9),"",'ONR 5'!O9)</f>
        <v>0</v>
      </c>
      <c r="P36" t="b" s="233">
        <f>IF(ISBLANK('ONR 5'!P9),"",'ONR 5'!P9)</f>
        <v>0</v>
      </c>
      <c r="Q36" t="b" s="233">
        <f>IF(ISBLANK('ONR 5'!Q9),"",'ONR 5'!Q9)</f>
        <v>0</v>
      </c>
      <c r="R36" t="b" s="233">
        <f>IF(ISBLANK('ONR 5'!R9),"",'ONR 5'!R9)</f>
        <v>0</v>
      </c>
      <c r="S36" t="str" s="234">
        <f>IF(ISBLANK('ONR 5'!S9),"",'ONR 5'!S9)</f>
      </c>
      <c r="T36" t="str" s="232">
        <f>IF(ISBLANK('ONR 5'!T9),"",'ONR 5'!T9)</f>
      </c>
      <c r="U36" t="str" s="243">
        <f>IF(ISBLANK('ONR 5'!U9),"",'ONR 5'!U9)</f>
      </c>
      <c r="V36" t="str" s="235">
        <f>IF(ISBLANK('ONR 5'!G9),"",'ONR 5'!G9)</f>
      </c>
      <c r="W36" t="str" s="142">
        <f>IF(ISBLANK('ONR 5'!V9),"",'ONR 5'!V9)</f>
      </c>
      <c r="X36" s="204" t="str">
        <f>IF(ISBLANK('ONR 5'!W9),"",'ONR 5'!W9)</f>
      </c>
      <c r="Y36" s="258" t="str">
        <f>IF(ISBLANK('ONR 5'!I9),"",'ONR 5'!I9)</f>
      </c>
      <c r="Z36" s="256" t="str">
        <f>IF(ISBLANK('ONR 5'!D9),"",'ONR 5'!D9)</f>
      </c>
      <c r="AE36" s="206" t="n">
        <f>IF(ISNUMBER(T36),0,1)</f>
      </c>
      <c r="AF36" s="206" t="n">
        <f>IF(L36=TRUE,1,0)</f>
      </c>
      <c r="AG36" s="206" t="n">
        <f>IF(M36=TRUE,1,0)</f>
      </c>
      <c r="AH36" s="206" t="n">
        <f>IF(N36=TRUE,1,0)</f>
      </c>
      <c r="AI36" s="206" t="n">
        <f>IF(O36=TRUE,1,0)</f>
      </c>
      <c r="AJ36" s="206" t="n">
        <f>IF(P36=TRUE,1,0)</f>
      </c>
      <c r="AK36" s="206" t="n">
        <f>IF(Q36=TRUE,1,0)</f>
      </c>
      <c r="AL36" s="206" t="n">
        <f>IF(R36=TRUE,1,0)</f>
      </c>
      <c r="AM36" t="n">
        <f>IF(LEN(TRIM(W36))&gt;0,1,0)</f>
        <v>0</v>
      </c>
    </row>
    <row r="37" spans="1:38" s="205" customFormat="1" ht="57">
      <c r="A37" s="199"/>
      <c r="B37" s="219" t="str">
        <f>IF(ISBLANK('ONR 5'!B10),"",'ONR 5'!B10)</f>
        <v>5.4</v>
      </c>
      <c r="C37" s="218" t="str">
        <f>IF(ISBLANK('ONR 5'!C10),"",'ONR 5'!C10)</f>
        <v>Former des diplômés capables d'innover pour mieux vivre ensemble et préserver les écosystèmes, en intégrant le numérique responsable dans les formations.</v>
      </c>
      <c r="D37" s="231" t="str">
        <f>IF(ISBLANK('ONR 5'!D10),"",'ONR 5'!D10)</f>
      </c>
      <c r="E37" s="272" t="str">
        <f>IF(ISBLANK('ONR 5'!E10),"",'ONR 5'!E10)</f>
      </c>
      <c r="F37" s="279" t="str">
        <f>IF(ISBLANK('ONR 5'!F10),"",'ONR 5'!F10)</f>
      </c>
      <c r="G37" s="207" t="str">
        <f>IF(ISBLANK('ONR 5'!G10),"",'ONR 5'!G10)</f>
      </c>
      <c r="H37" s="216" t="str">
        <f>IF(ISBLANK('ONR 5'!H10),"",'ONR 5'!H10)</f>
      </c>
      <c r="I37" s="224" t="str">
        <f>IF(ISBLANK('ONR 5'!I10),"",'ONR 5'!I10)</f>
      </c>
      <c r="J37" s="220" t="str">
        <f>IF(ISBLANK('ONR 5'!J10),"",'ONR 5'!J10)</f>
      </c>
      <c r="K37" s="233" t="str">
        <f>IF(ISBLANK('ONR 5'!K10),"",'ONR 5'!K10)</f>
      </c>
      <c r="L37" s="233" t="b">
        <f>IF(ISBLANK('ONR 5'!L10),"",'ONR 5'!L10)</f>
      </c>
      <c r="M37" s="233" t="b">
        <f>IF(ISBLANK('ONR 5'!M10),"",'ONR 5'!M10)</f>
      </c>
      <c r="N37" s="233" t="b">
        <f>IF(ISBLANK('ONR 5'!N10),"",'ONR 5'!N10)</f>
      </c>
      <c r="O37" s="233" t="b">
        <f>IF(ISBLANK('ONR 5'!O10),"",'ONR 5'!O10)</f>
      </c>
      <c r="P37" s="233" t="b">
        <f>IF(ISBLANK('ONR 5'!P10),"",'ONR 5'!P10)</f>
      </c>
      <c r="Q37" s="233" t="b">
        <f>IF(ISBLANK('ONR 5'!Q10),"",'ONR 5'!Q10)</f>
      </c>
      <c r="R37" s="233" t="b">
        <f>IF(ISBLANK('ONR 5'!R10),"",'ONR 5'!R10)</f>
      </c>
      <c r="S37" s="234" t="str">
        <f>IF(ISBLANK('ONR 5'!S10),"",'ONR 5'!S10)</f>
      </c>
      <c r="T37" s="232" t="str">
        <f>IF(ISBLANK('ONR 5'!T10),"",'ONR 5'!T10)</f>
      </c>
      <c r="U37" s="243" t="str">
        <f>IF(ISBLANK('ONR 5'!U10),"",'ONR 5'!U10)</f>
      </c>
      <c r="V37" s="235" t="str">
        <f>IF(ISBLANK('ONR 5'!G10),"",'ONR 5'!G10)</f>
      </c>
      <c r="W37" s="142" t="str">
        <f>IF(ISBLANK('ONR 5'!V10),"",'ONR 5'!V10)</f>
      </c>
      <c r="X37" s="204" t="str">
        <f>IF(ISBLANK('ONR 5'!W10),"",'ONR 5'!W10)</f>
      </c>
      <c r="Y37" s="258" t="str">
        <f>IF(ISBLANK('ONR 5'!I10),"",'ONR 5'!I10)</f>
      </c>
      <c r="Z37" s="256" t="str">
        <f>IF(ISBLANK('ONR 5'!D10),"",'ONR 5'!D10)</f>
      </c>
      <c r="AE37" s="206" t="n">
        <f>IF(ISNUMBER(T37),0,1)</f>
      </c>
      <c r="AF37" s="206" t="n">
        <f>IF(L37=TRUE,1,0)</f>
      </c>
      <c r="AG37" s="206" t="n">
        <f>IF(M37=TRUE,1,0)</f>
      </c>
      <c r="AH37" s="206" t="n">
        <f>IF(N37=TRUE,1,0)</f>
      </c>
      <c r="AI37" s="206" t="n">
        <f>IF(O37=TRUE,1,0)</f>
      </c>
      <c r="AJ37" s="206" t="n">
        <f>IF(P37=TRUE,1,0)</f>
      </c>
      <c r="AK37" s="206" t="n">
        <f>IF(Q37=TRUE,1,0)</f>
      </c>
      <c r="AL37" s="206" t="n">
        <f>IF(R37=TRUE,1,0)</f>
      </c>
      <c r="AM37" t="n">
        <f>IF(LEN(TRIM(W37))&gt;0,1,0)</f>
        <v>0</v>
      </c>
    </row>
    <row r="38" spans="1:38" s="205" customFormat="1" ht="19">
      <c r="A38" s="199"/>
      <c r="B38" s="219" t="str">
        <f>IF(ISBLANK('ONR 5'!B11),"",'ONR 5'!B11)</f>
        <v>5.5</v>
      </c>
      <c r="C38" s="218" t="str">
        <f>IF(ISBLANK('ONR 5'!C11),"",'ONR 5'!C11)</f>
        <v>Suivre les résultats de la démarche avec quelques indicateurs, communs avec le plan de transition et le label DD&amp;RS.</v>
      </c>
      <c r="D38" s="231" t="str">
        <f>IF(ISBLANK('ONR 5'!D11),"",'ONR 5'!D11)</f>
      </c>
      <c r="E38" s="268" t="str">
        <f>IF(ISBLANK('ONR 5'!E11),"",'ONR 5'!E11)</f>
      </c>
      <c r="F38" s="275" t="str">
        <f>IF(ISBLANK('ONR 5'!F11),"",'ONR 5'!F11)</f>
      </c>
      <c r="G38" s="207" t="str">
        <f>IF(ISBLANK('ONR 5'!G11),"",'ONR 5'!G11)</f>
      </c>
      <c r="H38" s="201" t="str">
        <f>IF(ISBLANK('ONR 5'!H11),"",'ONR 5'!H11)</f>
      </c>
      <c r="I38" s="224" t="str">
        <f>IF(ISBLANK('ONR 5'!I11),"",'ONR 5'!I11)</f>
      </c>
      <c r="J38" s="219" t="str">
        <f>IF(ISBLANK('ONR 5'!J11),"",'ONR 5'!J11)</f>
      </c>
      <c r="K38" s="233" t="str">
        <f>IF(ISBLANK('ONR 5'!K11),"",'ONR 5'!K11)</f>
      </c>
      <c r="L38" s="233" t="b">
        <f>IF(ISBLANK('ONR 5'!L11),"",'ONR 5'!L11)</f>
      </c>
      <c r="M38" s="233" t="b">
        <f>IF(ISBLANK('ONR 5'!M11),"",'ONR 5'!M11)</f>
      </c>
      <c r="N38" s="233" t="b">
        <f>IF(ISBLANK('ONR 5'!N11),"",'ONR 5'!N11)</f>
      </c>
      <c r="O38" s="233" t="b">
        <f>IF(ISBLANK('ONR 5'!O11),"",'ONR 5'!O11)</f>
      </c>
      <c r="P38" s="233" t="b">
        <f>IF(ISBLANK('ONR 5'!P11),"",'ONR 5'!P11)</f>
      </c>
      <c r="Q38" s="233" t="b">
        <f>IF(ISBLANK('ONR 5'!Q11),"",'ONR 5'!Q11)</f>
      </c>
      <c r="R38" s="233" t="b">
        <f>IF(ISBLANK('ONR 5'!R11),"",'ONR 5'!R11)</f>
      </c>
      <c r="S38" s="234" t="str">
        <f>IF(ISBLANK('ONR 5'!S11),"",'ONR 5'!S11)</f>
      </c>
      <c r="T38" s="232" t="str">
        <f>IF(ISBLANK('ONR 5'!T11),"",'ONR 5'!T11)</f>
      </c>
      <c r="U38" s="243" t="str">
        <f>IF(ISBLANK('ONR 5'!U11),"",'ONR 5'!U11)</f>
      </c>
      <c r="V38" s="235" t="str">
        <f>IF(ISBLANK('ONR 5'!G11),"",'ONR 5'!G11)</f>
      </c>
      <c r="W38" s="142" t="str">
        <f>IF(ISBLANK('ONR 5'!V11),"",'ONR 5'!V11)</f>
      </c>
      <c r="X38" s="204" t="str">
        <f>IF(ISBLANK('ONR 5'!W11),"",'ONR 5'!W11)</f>
      </c>
      <c r="Y38" s="258" t="str">
        <f>IF(ISBLANK('ONR 5'!I11),"",'ONR 5'!I11)</f>
      </c>
      <c r="Z38" s="236" t="str">
        <f>IF(ISBLANK('ONR 5'!D11),"",'ONR 5'!D11)</f>
      </c>
      <c r="AE38" s="206" t="n">
        <f>IF(ISNUMBER(T38),0,1)</f>
      </c>
      <c r="AF38" s="206" t="n">
        <f>IF(L38=TRUE,1,0)</f>
      </c>
      <c r="AG38" s="206" t="n">
        <f>IF(M38=TRUE,1,0)</f>
      </c>
      <c r="AH38" s="206" t="n">
        <f>IF(N38=TRUE,1,0)</f>
      </c>
      <c r="AI38" s="206" t="n">
        <f>IF(O38=TRUE,1,0)</f>
      </c>
      <c r="AJ38" s="206" t="n">
        <f>IF(P38=TRUE,1,0)</f>
      </c>
      <c r="AK38" s="206" t="n">
        <f>IF(Q38=TRUE,1,0)</f>
      </c>
      <c r="AL38" s="206" t="n">
        <f>IF(R38=TRUE,1,0)</f>
      </c>
      <c r="AM38" t="n">
        <f>IF(LEN(TRIM(W38))&gt;0,1,0)</f>
        <v>0</v>
      </c>
    </row>
    <row r="39" spans="1:38" ht="38">
      <c r="B39" s="219" t="str">
        <f>IF(ISBLANK('ONR 5'!B12),"",'ONR 5'!B12)</f>
        <v>5.6</v>
      </c>
      <c r="C39" s="218" t="str">
        <f>IF(ISBLANK('ONR 5'!C12),"",'ONR 5'!C12)</f>
        <v>Proposer des améliorations pour un numérique responsable, y compris des solutions sans outil numérique, comme des cours ou des examens sans écran.</v>
      </c>
      <c r="D39" s="231" t="str">
        <f>IF(ISBLANK('ONR 5'!D12),"",'ONR 5'!D12)</f>
      </c>
      <c r="E39" s="268" t="str">
        <f>IF(ISBLANK('ONR 5'!E12),"",'ONR 5'!E12)</f>
      </c>
      <c r="F39" s="275" t="str">
        <f>IF(ISBLANK('ONR 5'!F12),"",'ONR 5'!F12)</f>
      </c>
      <c r="G39" s="207" t="str">
        <f>IF(ISBLANK('ONR 5'!G12),"",'ONR 5'!G12)</f>
      </c>
      <c r="H39" s="201" t="str">
        <f>IF(ISBLANK('ONR 5'!H12),"",'ONR 5'!H12)</f>
      </c>
      <c r="I39" s="224" t="str">
        <f>IF(ISBLANK('ONR 5'!I12),"",'ONR 5'!I12)</f>
      </c>
      <c r="J39" s="219" t="str">
        <f>IF(ISBLANK('ONR 5'!J12),"",'ONR 5'!J12)</f>
      </c>
      <c r="K39" s="233" t="str">
        <f>IF(ISBLANK('ONR 5'!K12),"",'ONR 5'!K12)</f>
      </c>
      <c r="L39" s="233" t="b">
        <f>IF(ISBLANK('ONR 5'!L12),"",'ONR 5'!L12)</f>
      </c>
      <c r="M39" s="233" t="b">
        <f>IF(ISBLANK('ONR 5'!M12),"",'ONR 5'!M12)</f>
      </c>
      <c r="N39" s="233" t="b">
        <f>IF(ISBLANK('ONR 5'!N12),"",'ONR 5'!N12)</f>
      </c>
      <c r="O39" s="233" t="b">
        <f>IF(ISBLANK('ONR 5'!O12),"",'ONR 5'!O12)</f>
      </c>
      <c r="P39" s="233" t="b">
        <f>IF(ISBLANK('ONR 5'!P12),"",'ONR 5'!P12)</f>
      </c>
      <c r="Q39" s="233" t="b">
        <f>IF(ISBLANK('ONR 5'!Q12),"",'ONR 5'!Q12)</f>
      </c>
      <c r="R39" s="233" t="b">
        <f>IF(ISBLANK('ONR 5'!R12),"",'ONR 5'!R12)</f>
      </c>
      <c r="S39" s="234" t="str">
        <f>IF(ISBLANK('ONR 5'!S12),"",'ONR 5'!S12)</f>
      </c>
      <c r="T39" s="232" t="str">
        <f>IF(ISBLANK('ONR 5'!T12),"",'ONR 5'!T12)</f>
      </c>
      <c r="U39" s="243" t="str">
        <f>IF(ISBLANK('ONR 5'!U12),"",'ONR 5'!U12)</f>
      </c>
      <c r="V39" s="235" t="str">
        <f>IF(ISBLANK('ONR 5'!G12),"",'ONR 5'!G12)</f>
      </c>
      <c r="W39" s="142" t="str">
        <f>IF(ISBLANK('ONR 5'!V12),"",'ONR 5'!V12)</f>
      </c>
      <c r="X39" s="204" t="str">
        <f>IF(ISBLANK('ONR 5'!W12),"",'ONR 5'!W12)</f>
      </c>
      <c r="Y39" s="258" t="str">
        <f>IF(ISBLANK('ONR 5'!I12),"",'ONR 5'!I12)</f>
      </c>
      <c r="Z39" s="236" t="str">
        <f>IF(ISBLANK('ONR 5'!D12),"",'ONR 5'!D12)</f>
      </c>
      <c r="AE39" s="206" t="n">
        <f>IF(ISNUMBER(T39),0,1)</f>
      </c>
      <c r="AF39" s="206" t="n">
        <f>IF(L39=TRUE,1,0)</f>
      </c>
      <c r="AG39" s="206" t="n">
        <f>IF(M39=TRUE,1,0)</f>
      </c>
      <c r="AH39" s="206" t="n">
        <f>IF(N39=TRUE,1,0)</f>
      </c>
      <c r="AI39" s="206" t="n">
        <f>IF(O39=TRUE,1,0)</f>
      </c>
      <c r="AJ39" s="206" t="n">
        <f>IF(P39=TRUE,1,0)</f>
      </c>
      <c r="AK39" s="206" t="n">
        <f>IF(Q39=TRUE,1,0)</f>
      </c>
      <c r="AL39" s="206" t="n">
        <f>IF(R39=TRUE,1,0)</f>
      </c>
      <c r="AM39" t="n">
        <f>IF(LEN(TRIM(W39))&gt;0,1,0)</f>
        <v>0</v>
      </c>
    </row>
    <row r="40" spans="1:38" ht="38">
      <c r="B40" s="219" t="str">
        <f>IF(ISBLANK('ONR 5'!B13),"",'ONR 5'!B13)</f>
        <v>5.7</v>
      </c>
      <c r="C40" s="218" t="str">
        <f>IF(ISBLANK('ONR 5'!C13),"",'ONR 5'!C13)</f>
        <v>Décider avec les enseignants, les chercheurs, les personnels et les étudiants comment utiliser l'intelligence artificielle. Les former à ses limites et préserver le sens de l'apprentissage et de la recherche.</v>
      </c>
      <c r="D40" s="231" t="str">
        <f>IF(ISBLANK('ONR 5'!D13),"",'ONR 5'!D13)</f>
      </c>
      <c r="E40" s="268" t="str">
        <f>IF(ISBLANK('ONR 5'!E13),"",'ONR 5'!E13)</f>
      </c>
      <c r="F40" s="275" t="str">
        <f>IF(ISBLANK('ONR 5'!F13),"",'ONR 5'!F13)</f>
      </c>
      <c r="G40" s="207" t="str">
        <f>IF(ISBLANK('ONR 5'!G13),"",'ONR 5'!G13)</f>
      </c>
      <c r="H40" s="201" t="str">
        <f>IF(ISBLANK('ONR 5'!H13),"",'ONR 5'!H13)</f>
      </c>
      <c r="I40" s="224" t="str">
        <f>IF(ISBLANK('ONR 5'!I13),"",'ONR 5'!I13)</f>
      </c>
      <c r="J40" s="219" t="n">
        <f>IF(ISBLANK('ONR 5'!J13),"",'ONR 5'!J13)</f>
        <v>0</v>
      </c>
      <c r="K40" s="233" t="str">
        <f>IF(ISBLANK('ONR 5'!K13),"",'ONR 5'!K13)</f>
      </c>
      <c r="L40" s="233" t="b">
        <f>IF(ISBLANK('ONR 5'!L13),"",'ONR 5'!L13)</f>
        <v>0</v>
      </c>
      <c r="M40" s="233" t="b">
        <f>IF(ISBLANK('ONR 5'!M13),"",'ONR 5'!M13)</f>
        <v>0</v>
      </c>
      <c r="N40" s="233" t="b">
        <f>IF(ISBLANK('ONR 5'!N13),"",'ONR 5'!N13)</f>
        <v>0</v>
      </c>
      <c r="O40" s="233" t="b">
        <f>IF(ISBLANK('ONR 5'!O13),"",'ONR 5'!O13)</f>
        <v>0</v>
      </c>
      <c r="P40" s="233" t="b">
        <f>IF(ISBLANK('ONR 5'!P13),"",'ONR 5'!P13)</f>
        <v>0</v>
      </c>
      <c r="Q40" s="233" t="b">
        <f>IF(ISBLANK('ONR 5'!Q13),"",'ONR 5'!Q13)</f>
        <v>0</v>
      </c>
      <c r="R40" s="233" t="b">
        <f>IF(ISBLANK('ONR 5'!R13),"",'ONR 5'!R13)</f>
        <v>0</v>
      </c>
      <c r="S40" s="234" t="str">
        <f>IF(ISBLANK('ONR 5'!S13),"",'ONR 5'!S13)</f>
      </c>
      <c r="T40" s="232" t="str">
        <f>IF(ISBLANK('ONR 5'!T13),"",'ONR 5'!T13)</f>
      </c>
      <c r="U40" s="243" t="str">
        <f>IF(ISBLANK('ONR 5'!U13),"",'ONR 5'!U13)</f>
      </c>
      <c r="V40" s="235" t="str">
        <f>IF(ISBLANK('ONR 5'!G13),"",'ONR 5'!G13)</f>
      </c>
      <c r="W40" s="142" t="str">
        <f>IF(ISBLANK('ONR 5'!V13),"",'ONR 5'!V13)</f>
      </c>
      <c r="X40" s="204" t="str">
        <f>IF(ISBLANK('ONR 5'!W13),"",'ONR 5'!W13)</f>
      </c>
      <c r="Y40" s="258" t="str">
        <f>IF(ISBLANK('ONR 5'!I13),"",'ONR 5'!I13)</f>
      </c>
      <c r="Z40" s="236" t="str">
        <f>IF(ISBLANK('ONR 5'!D13),"",'ONR 5'!D13)</f>
      </c>
      <c r="AE40" s="206" t="n">
        <f>IF(ISNUMBER(T40),0,1)</f>
        <v>1</v>
      </c>
      <c r="AF40" s="206" t="n">
        <f>IF(L40=TRUE,1,0)</f>
        <v>0</v>
      </c>
      <c r="AG40" s="206" t="n">
        <f>IF(M40=TRUE,1,0)</f>
        <v>0</v>
      </c>
      <c r="AH40" s="206" t="n">
        <f>IF(N40=TRUE,1,0)</f>
        <v>0</v>
      </c>
      <c r="AI40" s="206" t="n">
        <f>IF(O40=TRUE,1,0)</f>
        <v>0</v>
      </c>
      <c r="AJ40" s="206" t="n">
        <f>IF(P40=TRUE,1,0)</f>
        <v>0</v>
      </c>
      <c r="AK40" s="206" t="n">
        <f>IF(Q40=TRUE,1,0)</f>
        <v>0</v>
      </c>
      <c r="AL40" s="206" t="n">
        <f>IF(R40=TRUE,1,0)</f>
        <v>0</v>
      </c>
      <c r="AM40" t="n">
        <f>IF(LEN(TRIM(W40))&gt;0,1,0)</f>
        <v>0</v>
      </c>
    </row>
  </sheetData>
  <mergeCells count="11">
    <mergeCell ref="B33:Z33"/>
    <mergeCell ref="Y2:Z2"/>
    <mergeCell ref="B2:C3"/>
    <mergeCell ref="D2:E2"/>
    <mergeCell ref="F2:G2"/>
    <mergeCell ref="H2:I2"/>
    <mergeCell ref="V2:X2"/>
    <mergeCell ref="B28:Z28"/>
    <mergeCell ref="B19:Z19"/>
    <mergeCell ref="B13:Z13"/>
    <mergeCell ref="B4:Z4"/>
  </mergeCells>
  <conditionalFormatting sqref="A1">
    <cfRule type="expression" dxfId="95" priority="5428">
      <formula>FIND("Réagir",B1)</formula>
    </cfRule>
    <cfRule type="expression" dxfId="94" priority="5423" stopIfTrue="1">
      <formula>ISTEXT(A1)</formula>
    </cfRule>
    <cfRule type="expression" dxfId="93" priority="5424">
      <formula>FIND("Agir",B1)</formula>
    </cfRule>
    <cfRule type="expression" dxfId="92" priority="5425">
      <formula>FIND("Réagir",B1)</formula>
    </cfRule>
    <cfRule type="expression" dxfId="91" priority="5426" stopIfTrue="1">
      <formula>ISTEXT(A1)</formula>
    </cfRule>
    <cfRule type="expression" dxfId="90" priority="5427">
      <formula>FIND("Agir",B1)</formula>
    </cfRule>
  </conditionalFormatting>
  <conditionalFormatting sqref="A1:A2">
    <cfRule type="expression" dxfId="89" priority="5414" stopIfTrue="1">
      <formula>ISTEXT(A1)</formula>
    </cfRule>
    <cfRule type="expression" dxfId="88" priority="5415">
      <formula>FIND("Agir",B1)</formula>
    </cfRule>
    <cfRule type="expression" dxfId="87" priority="5416">
      <formula>FIND("Réagir",B1)</formula>
    </cfRule>
  </conditionalFormatting>
  <conditionalFormatting sqref="A2">
    <cfRule type="expression" dxfId="86" priority="5409">
      <formula>FIND("Agir",B2)</formula>
    </cfRule>
    <cfRule type="expression" dxfId="85" priority="5413">
      <formula>FIND("Réagir",B2)</formula>
    </cfRule>
    <cfRule type="expression" dxfId="84" priority="5412">
      <formula>FIND("Agir",B2)</formula>
    </cfRule>
    <cfRule type="expression" dxfId="83" priority="5411" stopIfTrue="1">
      <formula>ISTEXT(A2)</formula>
    </cfRule>
    <cfRule type="expression" dxfId="82" priority="5410">
      <formula>FIND("Réagir",B2)</formula>
    </cfRule>
    <cfRule type="expression" dxfId="81" priority="5408" stopIfTrue="1">
      <formula>ISTEXT(A2)</formula>
    </cfRule>
  </conditionalFormatting>
  <conditionalFormatting sqref="D5:D12 D14:D18 D36:D40">
    <cfRule type="expression" dxfId="80" priority="5235">
      <formula>FIND("Conforter",F5)</formula>
    </cfRule>
  </conditionalFormatting>
  <conditionalFormatting sqref="D5:D12 D36:D40 V20:Z27 V29:Z32 D14:D18">
    <cfRule type="expression" dxfId="79" priority="5234" stopIfTrue="1">
      <formula>ISTEXT(D5)</formula>
    </cfRule>
  </conditionalFormatting>
  <conditionalFormatting sqref="D7:D12">
    <cfRule type="expression" dxfId="78" priority="5227">
      <formula>FIND("Conforter",F7)</formula>
    </cfRule>
    <cfRule type="expression" dxfId="77" priority="5226" stopIfTrue="1">
      <formula>ISTEXT(D7)</formula>
    </cfRule>
  </conditionalFormatting>
  <conditionalFormatting sqref="D8">
    <cfRule type="expression" dxfId="76" priority="350" stopIfTrue="1">
      <formula>ISTEXT(D8)</formula>
    </cfRule>
    <cfRule type="expression" dxfId="75" priority="351">
      <formula>FIND("Conforter",F8)</formula>
    </cfRule>
  </conditionalFormatting>
  <conditionalFormatting sqref="D14:D18 I14:I18 D20:D27 I20:I27 D29:D32 I29:I32 D34:D40 I34:I40">
    <cfRule type="expression" dxfId="74" priority="5554">
      <formula>FIND("Réagir",E13)</formula>
    </cfRule>
    <cfRule type="expression" dxfId="73" priority="5553">
      <formula>FIND("Agir",E13)</formula>
    </cfRule>
  </conditionalFormatting>
  <conditionalFormatting sqref="D20">
    <cfRule type="expression" dxfId="72" priority="5129">
      <formula>FIND("Conforter",F18)</formula>
    </cfRule>
    <cfRule type="expression" dxfId="71" priority="5128" stopIfTrue="1">
      <formula>ISTEXT(D18)</formula>
    </cfRule>
  </conditionalFormatting>
  <conditionalFormatting sqref="D20:D27 D29:D32 D34:D40">
    <cfRule type="expression" dxfId="70" priority="5497">
      <formula>FIND("Conforter",F18)</formula>
    </cfRule>
  </conditionalFormatting>
  <conditionalFormatting sqref="D20:D27">
    <cfRule type="expression" dxfId="69" priority="5118" stopIfTrue="1">
      <formula>ISTEXT(D18)</formula>
    </cfRule>
    <cfRule type="expression" dxfId="68" priority="5119">
      <formula>FIND("Conforter",F18)</formula>
    </cfRule>
  </conditionalFormatting>
  <conditionalFormatting sqref="D22:D25">
    <cfRule type="expression" dxfId="67" priority="5121">
      <formula>FIND("Conforter",F20)</formula>
    </cfRule>
    <cfRule type="expression" dxfId="66" priority="5120" stopIfTrue="1">
      <formula>ISTEXT(D20)</formula>
    </cfRule>
  </conditionalFormatting>
  <conditionalFormatting sqref="D23">
    <cfRule type="expression" dxfId="65" priority="4990" stopIfTrue="1">
      <formula>ISTEXT(D21)</formula>
    </cfRule>
    <cfRule type="expression" dxfId="64" priority="4991">
      <formula>FIND("Conforter",F21)</formula>
    </cfRule>
  </conditionalFormatting>
  <conditionalFormatting sqref="D29">
    <cfRule type="expression" dxfId="63" priority="4860" stopIfTrue="1">
      <formula>ISTEXT(D26)</formula>
    </cfRule>
    <cfRule type="expression" dxfId="62" priority="4861">
      <formula>FIND("Conforter",F26)</formula>
    </cfRule>
  </conditionalFormatting>
  <conditionalFormatting sqref="D34">
    <cfRule type="expression" dxfId="61" priority="4573">
      <formula>FIND("Conforter",F31)</formula>
    </cfRule>
    <cfRule type="expression" dxfId="60" priority="4572" stopIfTrue="1">
      <formula>ISTEXT(D31)</formula>
    </cfRule>
  </conditionalFormatting>
  <conditionalFormatting sqref="D34:D40 D20:D27 D29:D32">
    <cfRule type="expression" dxfId="59" priority="5496" stopIfTrue="1">
      <formula>ISTEXT(D18)</formula>
    </cfRule>
  </conditionalFormatting>
  <conditionalFormatting sqref="D38:D40">
    <cfRule type="expression" dxfId="58" priority="4435">
      <formula>FIND("Conforter",F35)</formula>
    </cfRule>
    <cfRule type="expression" dxfId="57" priority="4434" stopIfTrue="1">
      <formula>ISTEXT(D35)</formula>
    </cfRule>
  </conditionalFormatting>
  <conditionalFormatting sqref="F14:H18 F34:H40">
    <cfRule type="expression" dxfId="56" priority="7">
      <formula>FIND("Conforter",I13)</formula>
    </cfRule>
  </conditionalFormatting>
  <conditionalFormatting sqref="F20:H27 F29:H32">
    <cfRule type="expression" dxfId="55" priority="5547" stopIfTrue="1">
      <formula>ISTEXT(F18)</formula>
    </cfRule>
    <cfRule type="expression" dxfId="54" priority="5548">
      <formula>FIND("Conforter",I18)</formula>
    </cfRule>
  </conditionalFormatting>
  <conditionalFormatting sqref="F34:H40 F14:H18">
    <cfRule type="expression" dxfId="53" priority="6" stopIfTrue="1">
      <formula>ISTEXT(F13)</formula>
    </cfRule>
  </conditionalFormatting>
  <conditionalFormatting sqref="G14:H18 G29:H32 G34:H40 G20:H27">
    <cfRule type="expression" dxfId="52" priority="5545">
      <formula>FIND("Agir",I13)</formula>
    </cfRule>
    <cfRule type="expression" dxfId="51" priority="5546">
      <formula>FIND("Réagir",I13)</formula>
    </cfRule>
  </conditionalFormatting>
  <conditionalFormatting sqref="G20:H27">
    <cfRule type="expression" dxfId="50" priority="5150" stopIfTrue="1">
      <formula>ISTEXT(G18)</formula>
    </cfRule>
    <cfRule type="expression" dxfId="49" priority="5151">
      <formula>FIND("Conforter",J18)</formula>
    </cfRule>
  </conditionalFormatting>
  <conditionalFormatting sqref="G34:H40 G14:H18 G29:H32">
    <cfRule type="expression" dxfId="48" priority="5544" stopIfTrue="1">
      <formula>ISTEXT(G13)</formula>
    </cfRule>
  </conditionalFormatting>
  <conditionalFormatting sqref="G36:H40">
    <cfRule type="expression" dxfId="47" priority="5393">
      <formula>FIND("Conforter",J33)</formula>
    </cfRule>
  </conditionalFormatting>
  <conditionalFormatting sqref="G38:H40">
    <cfRule type="expression" dxfId="46" priority="4437">
      <formula>FIND("Conforter",J35)</formula>
    </cfRule>
  </conditionalFormatting>
  <conditionalFormatting sqref="G20:I27">
    <cfRule type="expression" dxfId="45" priority="5152" stopIfTrue="1">
      <formula>ISTEXT(G18)</formula>
    </cfRule>
  </conditionalFormatting>
  <conditionalFormatting sqref="G36:I40">
    <cfRule type="expression" dxfId="44" priority="4594" stopIfTrue="1">
      <formula>ISTEXT(G33)</formula>
    </cfRule>
  </conditionalFormatting>
  <conditionalFormatting sqref="G38:I40">
    <cfRule type="expression" dxfId="43" priority="4436" stopIfTrue="1">
      <formula>ISTEXT(G35)</formula>
    </cfRule>
  </conditionalFormatting>
  <conditionalFormatting sqref="H14:H18">
    <cfRule type="expression" dxfId="42" priority="5327" stopIfTrue="1">
      <formula>ISTEXT(H13)</formula>
    </cfRule>
    <cfRule type="expression" dxfId="41" priority="5328">
      <formula>FIND("Conforter",J13)</formula>
    </cfRule>
  </conditionalFormatting>
  <conditionalFormatting sqref="H29">
    <cfRule type="expression" dxfId="40" priority="4838">
      <formula>FIND("Conforter",J26)</formula>
    </cfRule>
    <cfRule type="expression" dxfId="39" priority="4837" stopIfTrue="1">
      <formula>ISTEXT(H26)</formula>
    </cfRule>
  </conditionalFormatting>
  <conditionalFormatting sqref="H34:H40">
    <cfRule type="expression" dxfId="38" priority="4" stopIfTrue="1">
      <formula>ISTEXT(H31)</formula>
    </cfRule>
    <cfRule type="expression" dxfId="37" priority="5">
      <formula>FIND("Conforter",K31)</formula>
    </cfRule>
    <cfRule type="expression" dxfId="36" priority="4550">
      <formula>FIND("Conforter",J31)</formula>
    </cfRule>
    <cfRule type="expression" dxfId="35" priority="4549" stopIfTrue="1">
      <formula>ISTEXT(H31)</formula>
    </cfRule>
  </conditionalFormatting>
  <conditionalFormatting sqref="I5:I12">
    <cfRule type="expression" dxfId="34" priority="2">
      <formula>FIND("Agir",J5)</formula>
    </cfRule>
    <cfRule type="expression" dxfId="33" priority="3">
      <formula>FIND("Réagir",J5)</formula>
    </cfRule>
    <cfRule type="expression" dxfId="32" priority="1" stopIfTrue="1">
      <formula>ISTEXT(I5)</formula>
    </cfRule>
  </conditionalFormatting>
  <conditionalFormatting sqref="I14:I18 I20:I27 I29:I32 I34:I40 D20:D27 D29:D32 D34:D40 D14:D18">
    <cfRule type="expression" dxfId="31" priority="5552" stopIfTrue="1">
      <formula>ISTEXT(D13)</formula>
    </cfRule>
  </conditionalFormatting>
  <conditionalFormatting sqref="I20:I27">
    <cfRule type="expression" dxfId="30" priority="5153">
      <formula>FIND("Agir",J18)</formula>
    </cfRule>
    <cfRule type="expression" dxfId="29" priority="5154">
      <formula>FIND("Réagir",J18)</formula>
    </cfRule>
  </conditionalFormatting>
  <conditionalFormatting sqref="I30:I32">
    <cfRule type="expression" dxfId="28" priority="4876">
      <formula>FIND("Réagir",J27)</formula>
    </cfRule>
    <cfRule type="expression" dxfId="27" priority="4875">
      <formula>FIND("Agir",J27)</formula>
    </cfRule>
    <cfRule type="expression" dxfId="26" priority="4874" stopIfTrue="1">
      <formula>ISTEXT(I27)</formula>
    </cfRule>
  </conditionalFormatting>
  <conditionalFormatting sqref="I35">
    <cfRule type="expression" dxfId="25" priority="4586" stopIfTrue="1">
      <formula>ISTEXT(I32)</formula>
    </cfRule>
    <cfRule type="expression" dxfId="24" priority="4588">
      <formula>FIND("Réagir",J32)</formula>
    </cfRule>
    <cfRule type="expression" dxfId="23" priority="4587">
      <formula>FIND("Agir",J32)</formula>
    </cfRule>
  </conditionalFormatting>
  <conditionalFormatting sqref="I38:I40">
    <cfRule type="expression" dxfId="22" priority="4439">
      <formula>FIND("Agir",J35)</formula>
    </cfRule>
    <cfRule type="expression" dxfId="21" priority="4440">
      <formula>FIND("Réagir",J35)</formula>
    </cfRule>
  </conditionalFormatting>
  <conditionalFormatting sqref="I5:J12 I20:J27 I29:J32 I34:J40 V20:Z27 V29:Z32 V3:Z3 V5:Z12 V14:Z18 V34:Y40 V1:V2 I3:J3 I14:I18">
    <cfRule type="containsText" dxfId="20" priority="5549" stopIfTrue="1" operator="containsText" text="Première">
      <formula>NOT(ISERROR(SEARCH("Première",I1)))</formula>
    </cfRule>
  </conditionalFormatting>
  <conditionalFormatting sqref="J5:J12 J14:J18 J20:J27 J29:J32 J34:J40">
    <cfRule type="containsText" dxfId="19" priority="5501" operator="containsText" text="Intervention prioritaire">
      <formula>NOT(ISERROR(SEARCH("Intervention prioritaire",J5)))</formula>
    </cfRule>
    <cfRule type="containsText" dxfId="18" priority="5502" stopIfTrue="1" operator="containsText" text="Non pertinent">
      <formula>NOT(ISERROR(SEARCH("Non pertinent",J5)))</formula>
    </cfRule>
    <cfRule type="containsText" dxfId="17" priority="5503" stopIfTrue="1" operator="containsText" text="consolidation">
      <formula>NOT(ISERROR(SEARCH("consolidation",J5)))</formula>
    </cfRule>
    <cfRule type="containsText" dxfId="16" priority="5504" stopIfTrue="1" operator="containsText" text="Non Prioritaire">
      <formula>NOT(ISERROR(SEARCH("Non Prioritaire",J5)))</formula>
    </cfRule>
    <cfRule type="containsText" dxfId="15" priority="5505" stopIfTrue="1" operator="containsText" text="Urgent">
      <formula>NOT(ISERROR(SEARCH("Urgent",J5)))</formula>
    </cfRule>
    <cfRule type="containsText" dxfId="14" priority="5506" stopIfTrue="1" operator="containsText" text="moyen">
      <formula>NOT(ISERROR(SEARCH("moyen",J5)))</formula>
    </cfRule>
    <cfRule type="containsText" dxfId="13" priority="5507" stopIfTrue="1" operator="containsText" text="long">
      <formula>NOT(ISERROR(SEARCH("long",J5)))</formula>
    </cfRule>
  </conditionalFormatting>
  <conditionalFormatting sqref="J6:J12 J20:J27 J29:J32 J34:J40">
    <cfRule type="containsText" dxfId="12" priority="5541" stopIfTrue="1" operator="containsText" text="Non">
      <formula>NOT(ISERROR(SEARCH("Non",J6)))</formula>
    </cfRule>
  </conditionalFormatting>
  <conditionalFormatting sqref="V1:V2 I3:J3 I5:J12 I14:I18 I20:J27 I29:J32 I34:J40">
    <cfRule type="containsText" dxfId="11" priority="5551" stopIfTrue="1" operator="containsText" text="Terme">
      <formula>NOT(ISERROR(SEARCH("Terme",I1)))</formula>
    </cfRule>
    <cfRule type="containsText" dxfId="10" priority="5550" stopIfTrue="1" operator="containsText" text="Seconde">
      <formula>NOT(ISERROR(SEARCH("Seconde",I1)))</formula>
    </cfRule>
  </conditionalFormatting>
  <conditionalFormatting sqref="V3:Z3 V5:Z12 V14:Z18 V20:Z27 V29:Z32 V34:Y40">
    <cfRule type="containsText" dxfId="9" priority="94" stopIfTrue="1" operator="containsText" text="Terme">
      <formula>NOT(ISERROR(SEARCH("Terme",V3)))</formula>
    </cfRule>
  </conditionalFormatting>
  <conditionalFormatting sqref="V20:Z27 V29:Z32 V5:Z12 V14:Z18 V34:Y40 V3:Z3">
    <cfRule type="containsText" dxfId="6" priority="93" stopIfTrue="1" operator="containsText" text="Seconde">
      <formula>NOT(ISERROR(SEARCH("Seconde",V3)))</formula>
    </cfRule>
  </conditionalFormatting>
  <conditionalFormatting sqref="V34:Z40 V5:Z12 V14:Z18">
    <cfRule type="expression" dxfId="3" priority="83" stopIfTrue="1">
      <formula>ISTEXT(V5)</formula>
    </cfRule>
  </conditionalFormatting>
  <conditionalFormatting sqref="Z34:Z40">
    <cfRule type="containsText" dxfId="2" priority="17" stopIfTrue="1" operator="containsText" text="Première">
      <formula>NOT(ISERROR(SEARCH("Première",Z31)))</formula>
    </cfRule>
    <cfRule type="containsText" dxfId="1" priority="18" stopIfTrue="1" operator="containsText" text="Seconde">
      <formula>NOT(ISERROR(SEARCH("Seconde",Z31)))</formula>
    </cfRule>
    <cfRule type="containsText" dxfId="0" priority="19" stopIfTrue="1" operator="containsText" text="Terme">
      <formula>NOT(ISERROR(SEARCH("Terme",Z31)))</formula>
    </cfRule>
  </conditionalFormatting>
  <dataValidations count="3">
    <dataValidation type="custom" allowBlank="1" showInputMessage="1" showErrorMessage="0" errorTitle="Valeur invalide" error="La valeur doit être contenue entre 1 et 4" promptTitle="Compétences mobilisées" prompt="Valeur calculée. Modifier la note dans l’onglet ONR correspondant.&#10;1 : équipe NR / RSE&#10;2 : NR / RSE et DSI&#10;3 : NR / RSE et équipe hors DSI&#10;4 : intervention extérieure" sqref="H29 H14:H18" xr:uid="{00000000-0002-0000-1400-000000000000}">
      <formula1>TRUE</formula1>
    </dataValidation>
    <dataValidation type="custom" allowBlank="1" showInputMessage="1" showErrorMessage="0" errorTitle="Valeur invalide" error="La valeur doit être contenue entre 1 et 4" promptTitle="Performance actuelle" prompt="Valeur calculée. Modifier la note dans l’onglet ONR correspondant.&#10;1 : pas du tout atteinte&#10;2 : atteinte en partie&#10;3 : en voie d’être atteinte&#10;4 : atteinte&#10;Laisser vide si non évaluée ou non applicable." sqref="F14:F18 F20:F27 F29:F40 F5:F12" xr:uid="{00000000-0002-0000-1400-000001000000}">
      <formula1>TRUE</formula1>
    </dataValidation>
    <dataValidation type="custom" allowBlank="1" showInputMessage="1" showErrorMessage="0" errorTitle="Valeur invalide" error="Les valeurs permises pour l'importance sont 0, 1, 2 ou 3" promptTitle="Importance de la cible" prompt="Valeur calculée. Modifier la note dans l’onglet ONR correspondant.&#10;0 : non applicable&#10;1 : peu importante&#10;2 : importante&#10;3 : très importante&#10;Si 0, la performance peut rester vide." sqref="E14:E18 E20:E27 E29:E40 E5:E12" xr:uid="{00000000-0002-0000-1400-000002000000}">
      <formula1>TRUE</formula1>
    </dataValidation>
  </dataValidations>
  <pageMargins left="0.70866141732283472" right="0.70866141732283472" top="0.74803149606299213" bottom="0.74803149606299213" header="0.31496062992125984" footer="0.31496062992125984"/>
  <pageSetup paperSize="5" scale="42" fitToHeight="20" orientation="landscape" r:id="rId1"/>
  <drawing r:id="logoINR20261007"/>
  <legacyDrawing r:id="rId2"/>
</worksheet>
</file>

<file path=xl/worksheets/sheet11.xml><?xml version="1.0" encoding="utf-8"?>
<x:worksheet xmlns:x="http://schemas.openxmlformats.org/spreadsheetml/2006/main">
  <x:sheetPr>
    <x:pageSetUpPr fitToPage="1"/>
  </x:sheetPr>
  <x:sheetViews>
    <x:sheetView showGridLines="0" workbookViewId="0" zoomScale="85" topLeftCell="A1"/>
  </x:sheetViews>
  <x:sheetFormatPr baseColWidth="10" defaultColWidth="11.5" defaultRowHeight="13"/>
  <x:cols>
    <x:col min="1" max="1" width="3" hidden="0" customWidth="1"/>
    <x:col min="2" max="2" width="25" hidden="0" customWidth="1"/>
    <x:col min="3" max="3" width="12" hidden="0" customWidth="1"/>
    <x:col min="4" max="4" width="12.6640625" hidden="0" customWidth="1"/>
    <x:col min="5" max="5" width="12.6640625" hidden="0" customWidth="1"/>
    <x:col min="6" max="6" width="12" hidden="0" customWidth="1"/>
    <x:col min="7" max="7" width="12.6640625" hidden="0" customWidth="1"/>
    <x:col min="8" max="8" width="12.6640625" hidden="0" customWidth="1"/>
    <x:col min="9" max="9" width="12.6640625" hidden="0" customWidth="1"/>
    <x:col min="10" max="10" width="12.6640625" hidden="0" customWidth="1"/>
    <x:col min="11" max="11" width="12.6640625" hidden="0" customWidth="1"/>
    <x:col min="12" max="12" width="12.6640625" hidden="0" customWidth="1"/>
    <x:col min="13" max="13" width="12.6640625" hidden="0" customWidth="1"/>
    <x:col min="14" max="14" width="3" style="1211" hidden="1" customWidth="1"/>
    <x:col min="15" max="15" width="11.5" style="1211" hidden="1" customWidth="0"/>
    <x:col min="16" max="16" width="11.5" style="1211" hidden="1" customWidth="0"/>
    <x:col min="17" max="17" width="11.5" style="1211" hidden="1" customWidth="0"/>
    <x:col min="18" max="18" width="11.5" style="1211" hidden="1" customWidth="0"/>
    <x:col min="19" max="19" width="11.5" style="1211" hidden="1" customWidth="0"/>
    <x:col min="20" max="20" width="11.5" style="1211" hidden="1" customWidth="0"/>
    <x:col min="21" max="21" width="11.5" style="1211" hidden="1" customWidth="0"/>
    <x:col min="22" max="22" width="11.5" style="1211" hidden="1" customWidth="0"/>
    <x:col min="23" max="23" width="11.5" style="1211" hidden="1" customWidth="0"/>
    <x:col min="24" max="24" width="11.5" style="1211" hidden="1" customWidth="0"/>
    <x:col min="25" max="25" width="11.5" style="1211" hidden="1" customWidth="0"/>
    <x:col min="26" max="26" width="11.5" style="1211" hidden="1" customWidth="0"/>
    <x:col min="27" max="27" width="11.5" style="1211" hidden="1" customWidth="0"/>
    <x:col min="28" max="28" width="11.5" style="1211" hidden="1" customWidth="0"/>
    <x:col min="29" max="29" width="11.5" style="1211" hidden="1" customWidth="0"/>
    <x:col min="30" max="30" width="11.5" style="1211" hidden="1" customWidth="0"/>
    <x:col min="31" max="31" width="11.5" style="1211" hidden="1" customWidth="0"/>
    <x:col min="32" max="32" width="11.5" style="1211" hidden="1" customWidth="0"/>
    <x:col width="8.43" customWidth="1" min="33" max="33" hidden="1"/>
    <x:col width="8.43" customWidth="1" min="34" max="34" hidden="1"/>
    <x:col width="8.43" customWidth="1" min="35" max="35" hidden="1"/>
    <x:col width="8.43" customWidth="1" min="36" max="36" hidden="1"/>
    <x:col width="8.43" customWidth="1" min="37" max="37" hidden="1"/>
    <x:col width="8.43" customWidth="1" min="38" max="38" hidden="1"/>
    <x:col width="8.43" customWidth="1" min="39" max="39" hidden="1"/>
    <x:col width="8.43" customWidth="1" min="40" max="40" hidden="1"/>
    <x:col width="8.43" customWidth="1" min="41" max="41" hidden="1"/>
    <x:col width="8.43" customWidth="1" min="42" max="42" hidden="1"/>
    <x:col width="8.43" customWidth="1" min="43" max="43" hidden="1"/>
    <x:col width="8.43" customWidth="1" min="44" max="44" hidden="1"/>
    <x:col width="8.43" customWidth="1" min="45" max="45" hidden="1"/>
  </x:cols>
  <x:sheetData>
    <x:row r="1" s="1271" customFormat="1" ht="24" customHeight="1">
      <x:c r="A1"/>
      <x:c r="B1"/>
      <x:c r="C1"/>
      <x:c r="D1"/>
      <x:c r="E1"/>
      <x:c r="F1"/>
      <x:c r="G1"/>
      <x:c r="H1"/>
      <x:c r="I1"/>
      <x:c r="J1"/>
      <x:c r="K1"/>
      <x:c r="L1"/>
      <x:c r="M1"/>
      <x:c r="N1"/>
      <x:c r="O1"/>
      <x:c r="P1"/>
      <x:c r="Q1"/>
      <x:c r="R1"/>
      <x:c r="S1"/>
      <x:c r="T1"/>
      <x:c r="U1"/>
      <x:c r="V1"/>
      <x:c r="W1"/>
      <x:c r="X1"/>
      <x:c r="Y1"/>
      <x:c r="Z1"/>
      <x:c r="AA1"/>
      <x:c r="AB1"/>
      <x:c r="AC1"/>
      <x:c r="AD1"/>
      <x:c r="AE1"/>
      <x:c r="AF1"/>
    </x:row>
    <x:row r="2" ht="44" customHeight="1">
      <x:c r="A2"/>
      <x:c r="B2" s="1928" t="str">
        <x:v>Résultats de synthèse</x:v>
      </x:c>
      <x:c r="C2" s="1929"/>
      <x:c r="D2" s="1929"/>
      <x:c r="E2" s="1929"/>
      <x:c r="F2" s="1929"/>
      <x:c r="G2" s="1929"/>
      <x:c r="H2" s="1929"/>
      <x:c r="I2" s="1929"/>
      <x:c r="J2" s="1930"/>
      <x:c r="K2" s="1923"/>
      <x:c r="L2" s="1923"/>
      <x:c r="M2" s="1923"/>
    </x:row>
    <x:row r="3" ht="30" customHeight="1">
      <x:c r="A3"/>
      <x:c r="B3" s="1931" t="str">
        <x:v>Vue d’ensemble des 32 cibles. Saisir les informations dans les onglets ONR 1 à 5.</x:v>
      </x:c>
      <x:c r="C3" s="1931"/>
      <x:c r="D3" s="1931">
        <x:f t="shared" ref="D3:M3" si="0">SUM(D4:D8)</x:f>
      </x:c>
      <x:c r="E3" s="1931">
        <x:f t="shared" si="0"/>
      </x:c>
      <x:c r="F3" s="1931">
        <x:f t="shared" si="0"/>
      </x:c>
      <x:c r="G3" s="1931">
        <x:f t="shared" si="0"/>
      </x:c>
      <x:c r="H3" s="1931">
        <x:f t="shared" si="0"/>
      </x:c>
      <x:c r="I3" s="1931">
        <x:f t="shared" si="0"/>
      </x:c>
      <x:c r="J3" s="1931">
        <x:f t="shared" si="0"/>
      </x:c>
      <x:c r="K3" s="1923">
        <x:f t="shared" si="0"/>
      </x:c>
      <x:c r="L3" s="1923">
        <x:f t="shared" si="0"/>
      </x:c>
      <x:c r="M3" s="1923">
        <x:f t="shared" si="0"/>
      </x:c>
    </x:row>
    <x:row r="4" ht="24" customHeight="1">
      <x:c r="A4"/>
      <x:c r="B4" s="1923"/>
      <x:c r="C4" s="1923"/>
      <x:c r="D4" s="1923"/>
      <x:c r="E4" s="1923"/>
      <x:c r="F4" s="1923"/>
      <x:c r="G4" s="1923"/>
      <x:c r="H4" s="1923"/>
      <x:c r="I4" s="1923"/>
      <x:c r="J4" s="1923"/>
      <x:c r="K4" s="1923"/>
      <x:c r="L4" s="1923"/>
      <x:c r="M4" s="1923"/>
    </x:row>
    <x:row r="5" ht="38" customHeight="1">
      <x:c r="A5"/>
      <x:c r="B5" s="1932" t="str">
        <x:v>Cibles à évaluer</x:v>
      </x:c>
      <x:c r="C5" s="1932"/>
      <x:c r="D5" s="1932" t="str">
        <x:v>Cibles évaluées</x:v>
      </x:c>
      <x:c r="E5" s="1932"/>
      <x:c r="F5" s="1932" t="str">
        <x:v>Part évaluée</x:v>
      </x:c>
      <x:c r="G5" s="1932"/>
      <x:c r="H5" s="1937" t="str">
        <x:v>Urgentes ou prioritaires</x:v>
      </x:c>
      <x:c r="I5" s="1937"/>
      <x:c r="J5" s="1941" t="str">
        <x:v>Part des cibles atteintes</x:v>
      </x:c>
      <x:c r="K5" s="1941"/>
      <x:c r="L5" s="1946" t="str">
        <x:v>Priorités avec une action proposée</x:v>
      </x:c>
      <x:c r="M5" s="1946"/>
      <x:c r="AA5" t="str">
        <x:v>ONR</x:v>
      </x:c>
      <x:c r="AB5" t="str">
        <x:v>Score de priorité</x:v>
      </x:c>
      <x:c r="AC5" t="str">
        <x:v>Clé de classement</x:v>
      </x:c>
      <x:c r="AD5" t="str">
        <x:v>Cible</x:v>
      </x:c>
      <x:c r="AE5" t="str">
        <x:v>Texte de la cible</x:v>
      </x:c>
      <x:c r="AF5" t="str">
        <x:v>Importance</x:v>
      </x:c>
      <x:c r="AG5" t="str">
        <x:v>Niveau atteint</x:v>
      </x:c>
      <x:c r="AH5" t="str">
        <x:v>Compétences</x:v>
      </x:c>
      <x:c r="AI5" t="str">
        <x:v>Action proposée</x:v>
      </x:c>
      <x:c r="AJ5" t="str">
        <x:v>Action renseignée</x:v>
      </x:c>
      <x:c r="AK5" t="str">
        <x:v>Justification renseignée</x:v>
      </x:c>
      <x:c r="AL5" t="str">
        <x:v>Note hors échelle</x:v>
      </x:c>
      <x:c r="AM5" t="str">
        <x:v>Justification manquante</x:v>
      </x:c>
      <x:c r="AN5" t="str">
        <x:v>Ligne source</x:v>
      </x:c>
      <x:c r="AO5" t="str">
        <x:v>Applicabilité</x:v>
      </x:c>
      <x:c r="AP5" t="str">
        <x:v>Compétences à préciser</x:v>
      </x:c>
      <x:c r="AQ5" t="str">
        <x:v>Priorité sans action</x:v>
      </x:c>
      <x:c r="AR5" t="str">
        <x:v>Cible évaluée</x:v>
      </x:c>
    </x:row>
    <x:row r="6" ht="38" customHeight="1">
      <x:c r="A6"/>
      <x:c r="B6" s="1933" t="n">
        <x:f>E16</x:f>
        <x:v>32</x:v>
      </x:c>
      <x:c r="C6" s="1933"/>
      <x:c r="D6" s="1933" t="n">
        <x:f>D16</x:f>
        <x:v>0</x:v>
      </x:c>
      <x:c r="E6" s="1933"/>
      <x:c r="F6" s="1934" t="n">
        <x:f>F16</x:f>
        <x:v>0</x:v>
      </x:c>
      <x:c r="G6" s="1933"/>
      <x:c r="H6" s="1938" t="n">
        <x:f>H16+I16</x:f>
        <x:v>0</x:v>
      </x:c>
      <x:c r="I6" s="1938"/>
      <x:c r="J6" s="1943" t="n">
        <x:f>J16</x:f>
        <x:v>0</x:v>
      </x:c>
      <x:c r="K6" s="1942"/>
      <x:c r="L6" s="1948" t="n">
        <x:f>K16</x:f>
        <x:v>0</x:v>
      </x:c>
      <x:c r="M6" s="1947"/>
      <x:c r="AA6" t="n">
        <x:v>1</x:v>
      </x:c>
      <x:c r="AB6" t="str">
        <x:f>IF(ISNUMBER('Résultats détaillés'!T5),'Résultats détaillés'!T5,"")</x:f>
      </x:c>
      <x:c r="AC6" t="n">
        <x:f>IF(AND(ISNUMBER(AB6),AB6&gt;=5),AB6*100+32,0)</x:f>
        <x:v>0</x:v>
      </x:c>
      <x:c r="AD6" t="str">
        <x:f>IF(ISBLANK('Résultats détaillés'!B5),"",'Résultats détaillés'!B5)</x:f>
        <x:v>1.1</x:v>
      </x:c>
      <x:c r="AE6" t="str">
        <x:f>IF(ISBLANK('Résultats détaillés'!C5),"",'Résultats détaillés'!C5)</x:f>
        <x:v>Prendre en compte toute la vie des équipements et des logiciels de l'établissement, de l'achat à la fin de vie : postes, salles informatiques, équipements de laboratoire et de calcul.</x:v>
      </x:c>
      <x:c r="AF6" t="str">
        <x:f>IF(ISBLANK('Résultats détaillés'!E5),"",'Résultats détaillés'!E5)</x:f>
      </x:c>
      <x:c r="AG6" t="str">
        <x:f>IF(ISBLANK('Résultats détaillés'!F5),"",'Résultats détaillés'!F5)</x:f>
      </x:c>
      <x:c r="AH6" t="n">
        <x:f>IF(ISNUMBER('Résultats détaillés'!H5),IF(AND('Résultats détaillés'!H5&gt;=1,'Résultats détaillés'!H5&lt;=4,MOD('Résultats détaillés'!H5,1)=0),'Résultats détaillés'!H5,0),0)</x:f>
        <x:v>0</x:v>
      </x:c>
      <x:c r="AI6" t="str">
        <x:f>IF(ISBLANK('Résultats détaillés'!W5),"",'Résultats détaillés'!W5)</x:f>
      </x:c>
      <x:c r="AJ6" t="n">
        <x:f>IF(LEN(TRIM(AI6))&gt;0,1,0)</x:f>
        <x:v>0</x:v>
      </x:c>
      <x:c r="AK6" t="n">
        <x:f>IF(LEN(TRIM('Résultats détaillés'!G5))&gt;0,1,0)</x:f>
        <x:v>0</x:v>
      </x:c>
      <x:c r="AL6" t="n">
        <x:f>IF(OR(IF(LEN('Résultats détaillés'!E5)=0,FALSE,NOT(IF(ISNUMBER('Résultats détaillés'!E5),AND('Résultats détaillés'!E5&gt;=0,'Résultats détaillés'!E5&lt;=3,MOD('Résultats détaillés'!E5,1)=0),FALSE))),IF(LEN('Résultats détaillés'!F5)=0,FALSE,NOT(IF(ISNUMBER('Résultats détaillés'!F5),AND('Résultats détaillés'!F5&gt;=1,'Résultats détaillés'!F5&lt;=4,MOD('Résultats détaillés'!F5,1)=0),FALSE))),IF(LEN('Résultats détaillés'!H5)=0,FALSE,NOT(IF(ISNUMBER('Résultats détaillés'!H5),AND('Résultats détaillés'!H5&gt;=1,'Résultats détaillés'!H5&lt;=4,MOD('Résultats détaillés'!H5,1)=0),FALSE)))),1,0)</x:f>
        <x:v>0</x:v>
      </x:c>
      <x:c r="AM6" t="n">
        <x:f>IF(AND(ISNUMBER(AB6),AB6&gt;0,AK6=0),1,0)</x:f>
        <x:v>0</x:v>
      </x:c>
      <x:c r="AN6" t="n">
        <x:v>5</x:v>
      </x:c>
      <x:c r="AO6" t="n">
        <x:f>IF(AND(ISNUMBER(AB6),AB6&gt;0),1,0)</x:f>
        <x:v>0</x:v>
      </x:c>
      <x:c r="AP6" t="n">
        <x:f>IF(AND(AC6&gt;0,AH6=0),1,0)</x:f>
        <x:v>0</x:v>
      </x:c>
      <x:c r="AQ6" t="n">
        <x:f>IF(AND(AC6&gt;0,AJ6=0),1,0)</x:f>
        <x:v>0</x:v>
      </x:c>
      <x:c r="AR6" t="n">
        <x:f>IF(ISNUMBER(AB6),1,0)</x:f>
        <x:v>0</x:v>
      </x:c>
    </x:row>
    <x:row r="7" ht="24" customHeight="1">
      <x:c r="A7"/>
      <x:c r="B7" s="1949" t="str">
        <x:v>Les taux d’atteinte portent sur les cibles applicables évaluées. Une action proposée ne signifie pas qu’elle a été réalisée.</x:v>
      </x:c>
      <x:c r="C7" s="1949"/>
      <x:c r="D7" s="1949"/>
      <x:c r="E7" s="1949"/>
      <x:c r="F7" s="1949"/>
      <x:c r="G7" s="1949"/>
      <x:c r="H7" s="1949"/>
      <x:c r="I7" s="1949"/>
      <x:c r="J7" s="1949"/>
      <x:c r="K7" s="1949"/>
      <x:c r="L7" s="1949"/>
      <x:c r="M7" s="1949"/>
      <x:c r="AA7" t="n">
        <x:v>1</x:v>
      </x:c>
      <x:c r="AB7" t="str">
        <x:f>IF(ISNUMBER('Résultats détaillés'!T6),'Résultats détaillés'!T6,"")</x:f>
      </x:c>
      <x:c r="AC7" t="n">
        <x:f>IF(AND(ISNUMBER(AB7),AB7&gt;=5),AB7*100+31,0)</x:f>
        <x:v>0</x:v>
      </x:c>
      <x:c r="AD7" t="str">
        <x:f>IF(ISBLANK('Résultats détaillés'!B6),"",'Résultats détaillés'!B6)</x:f>
        <x:v>1.2</x:v>
      </x:c>
      <x:c r="AE7" t="str">
        <x:f>IF(ISBLANK('Résultats détaillés'!C6),"",'Résultats détaillés'!C6)</x:f>
        <x:v>Utiliser plus longtemps les équipements des personnels, des salles et des laboratoires, même après leur amortissement, en organisant leur réparation et leur réaffectation.</x:v>
      </x:c>
      <x:c r="AF7" t="str">
        <x:f>IF(ISBLANK('Résultats détaillés'!E6),"",'Résultats détaillés'!E6)</x:f>
      </x:c>
      <x:c r="AG7" t="str">
        <x:f>IF(ISBLANK('Résultats détaillés'!F6),"",'Résultats détaillés'!F6)</x:f>
      </x:c>
      <x:c r="AH7" t="n">
        <x:f>IF(ISNUMBER('Résultats détaillés'!H6),IF(AND('Résultats détaillés'!H6&gt;=1,'Résultats détaillés'!H6&lt;=4,MOD('Résultats détaillés'!H6,1)=0),'Résultats détaillés'!H6,0),0)</x:f>
        <x:v>0</x:v>
      </x:c>
      <x:c r="AI7" t="str">
        <x:f>IF(ISBLANK('Résultats détaillés'!W6),"",'Résultats détaillés'!W6)</x:f>
      </x:c>
      <x:c r="AJ7" t="n">
        <x:f>IF(LEN(TRIM(AI7))&gt;0,1,0)</x:f>
        <x:v>0</x:v>
      </x:c>
      <x:c r="AK7" t="n">
        <x:f>IF(LEN(TRIM('Résultats détaillés'!G6))&gt;0,1,0)</x:f>
        <x:v>0</x:v>
      </x:c>
      <x:c r="AL7" t="n">
        <x:f>IF(OR(IF(LEN('Résultats détaillés'!E6)=0,FALSE,NOT(IF(ISNUMBER('Résultats détaillés'!E6),AND('Résultats détaillés'!E6&gt;=0,'Résultats détaillés'!E6&lt;=3,MOD('Résultats détaillés'!E6,1)=0),FALSE))),IF(LEN('Résultats détaillés'!F6)=0,FALSE,NOT(IF(ISNUMBER('Résultats détaillés'!F6),AND('Résultats détaillés'!F6&gt;=1,'Résultats détaillés'!F6&lt;=4,MOD('Résultats détaillés'!F6,1)=0),FALSE))),IF(LEN('Résultats détaillés'!H6)=0,FALSE,NOT(IF(ISNUMBER('Résultats détaillés'!H6),AND('Résultats détaillés'!H6&gt;=1,'Résultats détaillés'!H6&lt;=4,MOD('Résultats détaillés'!H6,1)=0),FALSE)))),1,0)</x:f>
        <x:v>0</x:v>
      </x:c>
      <x:c r="AM7" t="n">
        <x:f>IF(AND(ISNUMBER(AB7),AB7&gt;0,AK7=0),1,0)</x:f>
        <x:v>0</x:v>
      </x:c>
      <x:c r="AN7" t="n">
        <x:v>6</x:v>
      </x:c>
      <x:c r="AO7" t="n">
        <x:f>IF(AND(ISNUMBER(AB7),AB7&gt;0),1,0)</x:f>
        <x:v>0</x:v>
      </x:c>
      <x:c r="AP7" t="n">
        <x:f>IF(AND(AC7&gt;0,AH7=0),1,0)</x:f>
        <x:v>0</x:v>
      </x:c>
      <x:c r="AQ7" t="n">
        <x:f>IF(AND(AC7&gt;0,AJ7=0),1,0)</x:f>
        <x:v>0</x:v>
      </x:c>
      <x:c r="AR7" t="n">
        <x:f>IF(ISNUMBER(AB7),1,0)</x:f>
        <x:v>0</x:v>
      </x:c>
    </x:row>
    <x:row r="8" ht="24" customHeight="1">
      <x:c r="A8"/>
      <x:c r="B8" s="1923"/>
      <x:c r="C8" s="1923"/>
      <x:c r="D8" s="1923"/>
      <x:c r="E8" s="1923"/>
      <x:c r="F8" s="1923"/>
      <x:c r="G8" s="1923"/>
      <x:c r="H8" s="1923"/>
      <x:c r="I8" s="1923"/>
      <x:c r="J8" s="1923"/>
      <x:c r="K8" s="1923"/>
      <x:c r="L8" s="1923"/>
      <x:c r="M8" s="1923"/>
      <x:c r="AA8" t="n">
        <x:v>1</x:v>
      </x:c>
      <x:c r="AB8" t="str">
        <x:f>IF(ISNUMBER('Résultats détaillés'!T7),'Résultats détaillés'!T7,"")</x:f>
      </x:c>
      <x:c r="AC8" t="n">
        <x:f>IF(AND(ISNUMBER(AB8),AB8&gt;=5),AB8*100+30,0)</x:f>
        <x:v>0</x:v>
      </x:c>
      <x:c r="AD8" t="str">
        <x:f>IF(ISBLANK('Résultats détaillés'!B7),"",'Résultats détaillés'!B7)</x:f>
        <x:v>1.3</x:v>
      </x:c>
      <x:c r="AE8" t="str">
        <x:f>IF(ISBLANK('Résultats détaillés'!C7),"",'Résultats détaillés'!C7)</x:f>
        <x:v>Concevoir des services numériques qui limitent leurs effets sur l'environnement, en suivant le RGESN : plateforme pédagogique (LMS comme Moodle), environnement numérique de travail (ENT), applications de scolarité, logiciels de recherche. Choisir des technologies qui contribuent aux ODD.</x:v>
      </x:c>
      <x:c r="AF8" t="str">
        <x:f>IF(ISBLANK('Résultats détaillés'!E7),"",'Résultats détaillés'!E7)</x:f>
      </x:c>
      <x:c r="AG8" t="str">
        <x:f>IF(ISBLANK('Résultats détaillés'!F7),"",'Résultats détaillés'!F7)</x:f>
      </x:c>
      <x:c r="AH8" t="n">
        <x:f>IF(ISNUMBER('Résultats détaillés'!H7),IF(AND('Résultats détaillés'!H7&gt;=1,'Résultats détaillés'!H7&lt;=4,MOD('Résultats détaillés'!H7,1)=0),'Résultats détaillés'!H7,0),0)</x:f>
        <x:v>0</x:v>
      </x:c>
      <x:c r="AI8" t="str">
        <x:f>IF(ISBLANK('Résultats détaillés'!W7),"",'Résultats détaillés'!W7)</x:f>
      </x:c>
      <x:c r="AJ8" t="n">
        <x:f>IF(LEN(TRIM(AI8))&gt;0,1,0)</x:f>
        <x:v>0</x:v>
      </x:c>
      <x:c r="AK8" t="n">
        <x:f>IF(LEN(TRIM('Résultats détaillés'!G7))&gt;0,1,0)</x:f>
        <x:v>0</x:v>
      </x:c>
      <x:c r="AL8" t="n">
        <x:f>IF(OR(IF(LEN('Résultats détaillés'!E7)=0,FALSE,NOT(IF(ISNUMBER('Résultats détaillés'!E7),AND('Résultats détaillés'!E7&gt;=0,'Résultats détaillés'!E7&lt;=3,MOD('Résultats détaillés'!E7,1)=0),FALSE))),IF(LEN('Résultats détaillés'!F7)=0,FALSE,NOT(IF(ISNUMBER('Résultats détaillés'!F7),AND('Résultats détaillés'!F7&gt;=1,'Résultats détaillés'!F7&lt;=4,MOD('Résultats détaillés'!F7,1)=0),FALSE))),IF(LEN('Résultats détaillés'!H7)=0,FALSE,NOT(IF(ISNUMBER('Résultats détaillés'!H7),AND('Résultats détaillés'!H7&gt;=1,'Résultats détaillés'!H7&lt;=4,MOD('Résultats détaillés'!H7,1)=0),FALSE)))),1,0)</x:f>
        <x:v>0</x:v>
      </x:c>
      <x:c r="AM8" t="n">
        <x:f>IF(AND(ISNUMBER(AB8),AB8&gt;0,AK8=0),1,0)</x:f>
        <x:v>0</x:v>
      </x:c>
      <x:c r="AN8" t="n">
        <x:v>7</x:v>
      </x:c>
      <x:c r="AO8" t="n">
        <x:f>IF(AND(ISNUMBER(AB8),AB8&gt;0),1,0)</x:f>
        <x:v>0</x:v>
      </x:c>
      <x:c r="AP8" t="n">
        <x:f>IF(AND(AC8&gt;0,AH8=0),1,0)</x:f>
        <x:v>0</x:v>
      </x:c>
      <x:c r="AQ8" t="n">
        <x:f>IF(AND(AC8&gt;0,AJ8=0),1,0)</x:f>
        <x:v>0</x:v>
      </x:c>
      <x:c r="AR8" t="n">
        <x:f>IF(ISNUMBER(AB8),1,0)</x:f>
        <x:v>0</x:v>
      </x:c>
    </x:row>
    <x:row r="9" s="1211" customFormat="1" ht="30" customHeight="1">
      <x:c r="A9"/>
      <x:c r="B9" s="1950" t="str">
        <x:v>Comparaison des cinq ONR</x:v>
      </x:c>
      <x:c r="C9" s="1951"/>
      <x:c r="D9" s="1951"/>
      <x:c r="E9" s="1951"/>
      <x:c r="F9" s="1951"/>
      <x:c r="G9" s="1951"/>
      <x:c r="H9" s="1951"/>
      <x:c r="I9" s="1951"/>
      <x:c r="J9" s="1951"/>
      <x:c r="K9" s="1951"/>
      <x:c r="L9" s="1951"/>
      <x:c r="M9" s="1952"/>
      <x:c r="AA9" t="n">
        <x:v>1</x:v>
      </x:c>
      <x:c r="AB9" t="str">
        <x:f>IF(ISNUMBER('Résultats détaillés'!T8),'Résultats détaillés'!T8,"")</x:f>
      </x:c>
      <x:c r="AC9" t="n">
        <x:f>IF(AND(ISNUMBER(AB9),AB9&gt;=5),AB9*100+29,0)</x:f>
        <x:v>0</x:v>
      </x:c>
      <x:c r="AD9" t="str">
        <x:f>IF(ISBLANK('Résultats détaillés'!B8),"",'Résultats détaillés'!B8)</x:f>
        <x:v>1.4</x:v>
      </x:c>
      <x:c r="AE9" t="str">
        <x:f>IF(ISBLANK('Résultats détaillés'!C8),"",'Résultats détaillés'!C8)</x:f>
        <x:v>Adopter, dans les cours, les examens, l'administration et les laboratoires, des pratiques qui consomment moins de matériel, d'énergie, de papier et de stockage.</x:v>
      </x:c>
      <x:c r="AF9" t="str">
        <x:f>IF(ISBLANK('Résultats détaillés'!E8),"",'Résultats détaillés'!E8)</x:f>
      </x:c>
      <x:c r="AG9" t="str">
        <x:f>IF(ISBLANK('Résultats détaillés'!F8),"",'Résultats détaillés'!F8)</x:f>
      </x:c>
      <x:c r="AH9" t="n">
        <x:f>IF(ISNUMBER('Résultats détaillés'!H8),IF(AND('Résultats détaillés'!H8&gt;=1,'Résultats détaillés'!H8&lt;=4,MOD('Résultats détaillés'!H8,1)=0),'Résultats détaillés'!H8,0),0)</x:f>
        <x:v>0</x:v>
      </x:c>
      <x:c r="AI9" t="str">
        <x:f>IF(ISBLANK('Résultats détaillés'!W8),"",'Résultats détaillés'!W8)</x:f>
      </x:c>
      <x:c r="AJ9" t="n">
        <x:f>IF(LEN(TRIM(AI9))&gt;0,1,0)</x:f>
        <x:v>0</x:v>
      </x:c>
      <x:c r="AK9" t="n">
        <x:f>IF(LEN(TRIM('Résultats détaillés'!G8))&gt;0,1,0)</x:f>
        <x:v>0</x:v>
      </x:c>
      <x:c r="AL9" t="n">
        <x:f>IF(OR(IF(LEN('Résultats détaillés'!E8)=0,FALSE,NOT(IF(ISNUMBER('Résultats détaillés'!E8),AND('Résultats détaillés'!E8&gt;=0,'Résultats détaillés'!E8&lt;=3,MOD('Résultats détaillés'!E8,1)=0),FALSE))),IF(LEN('Résultats détaillés'!F8)=0,FALSE,NOT(IF(ISNUMBER('Résultats détaillés'!F8),AND('Résultats détaillés'!F8&gt;=1,'Résultats détaillés'!F8&lt;=4,MOD('Résultats détaillés'!F8,1)=0),FALSE))),IF(LEN('Résultats détaillés'!H8)=0,FALSE,NOT(IF(ISNUMBER('Résultats détaillés'!H8),AND('Résultats détaillés'!H8&gt;=1,'Résultats détaillés'!H8&lt;=4,MOD('Résultats détaillés'!H8,1)=0),FALSE)))),1,0)</x:f>
        <x:v>0</x:v>
      </x:c>
      <x:c r="AM9" t="n">
        <x:f>IF(AND(ISNUMBER(AB9),AB9&gt;0,AK9=0),1,0)</x:f>
        <x:v>0</x:v>
      </x:c>
      <x:c r="AN9" t="n">
        <x:v>8</x:v>
      </x:c>
      <x:c r="AO9" t="n">
        <x:f>IF(AND(ISNUMBER(AB9),AB9&gt;0),1,0)</x:f>
        <x:v>0</x:v>
      </x:c>
      <x:c r="AP9" t="n">
        <x:f>IF(AND(AC9&gt;0,AH9=0),1,0)</x:f>
        <x:v>0</x:v>
      </x:c>
      <x:c r="AQ9" t="n">
        <x:f>IF(AND(AC9&gt;0,AJ9=0),1,0)</x:f>
        <x:v>0</x:v>
      </x:c>
      <x:c r="AR9" t="n">
        <x:f>IF(ISNUMBER(AB9),1,0)</x:f>
        <x:v>0</x:v>
      </x:c>
    </x:row>
    <x:row r="10" s="1211" customFormat="1" ht="58" customHeight="1">
      <x:c r="A10"/>
      <x:c r="B10" s="1957" t="str">
        <x:v>ONR</x:v>
      </x:c>
      <x:c r="C10" s="1957" t="str">
        <x:v>Total</x:v>
      </x:c>
      <x:c r="D10" s="1957" t="str">
        <x:v>Évaluées</x:v>
      </x:c>
      <x:c r="E10" s="1957" t="str">
        <x:v>À évaluer</x:v>
      </x:c>
      <x:c r="F10" s="1957" t="str">
        <x:v>Part évaluée</x:v>
      </x:c>
      <x:c r="G10" s="1958" t="str">
        <x:v>Applicables évaluées</x:v>
      </x:c>
      <x:c r="H10" s="1959" t="str">
        <x:v>Urgentes</x:v>
      </x:c>
      <x:c r="I10" s="1959" t="str">
        <x:v>Prioritaires</x:v>
      </x:c>
      <x:c r="J10" s="1958" t="str">
        <x:v>Part atteinte</x:v>
      </x:c>
      <x:c r="K10" s="1960" t="str">
        <x:v>Priorités avec action</x:v>
      </x:c>
      <x:c r="L10" s="1960" t="str">
        <x:v>Priorités sans action</x:v>
      </x:c>
      <x:c r="M10" s="1957" t="str">
        <x:v>Part prioritaire</x:v>
      </x:c>
      <x:c r="AA10" t="n">
        <x:v>1</x:v>
      </x:c>
      <x:c r="AB10" t="str">
        <x:f>IF(ISNUMBER('Résultats détaillés'!T9),'Résultats détaillés'!T9,"")</x:f>
      </x:c>
      <x:c r="AC10" t="n">
        <x:f>IF(AND(ISNUMBER(AB10),AB10&gt;=5),AB10*100+28,0)</x:f>
        <x:v>0</x:v>
      </x:c>
      <x:c r="AD10" t="str">
        <x:f>IF(ISBLANK('Résultats détaillés'!B9),"",'Résultats détaillés'!B9)</x:f>
        <x:v>1.5</x:v>
      </x:c>
      <x:c r="AE10" t="str">
        <x:f>IF(ISBLANK('Résultats détaillés'!C9),"",'Résultats détaillés'!C9)</x:f>
        <x:v>Confier les équipements en fin d'usage à des filières de réemploi et de l'économie sociale et solidaire, par exemple pour équiper des étudiants.</x:v>
      </x:c>
      <x:c r="AF10" t="str">
        <x:f>IF(ISBLANK('Résultats détaillés'!E9),"",'Résultats détaillés'!E9)</x:f>
      </x:c>
      <x:c r="AG10" t="str">
        <x:f>IF(ISBLANK('Résultats détaillés'!F9),"",'Résultats détaillés'!F9)</x:f>
      </x:c>
      <x:c r="AH10" t="n">
        <x:f>IF(ISNUMBER('Résultats détaillés'!H9),IF(AND('Résultats détaillés'!H9&gt;=1,'Résultats détaillés'!H9&lt;=4,MOD('Résultats détaillés'!H9,1)=0),'Résultats détaillés'!H9,0),0)</x:f>
        <x:v>0</x:v>
      </x:c>
      <x:c r="AI10" t="str">
        <x:f>IF(ISBLANK('Résultats détaillés'!W9),"",'Résultats détaillés'!W9)</x:f>
      </x:c>
      <x:c r="AJ10" t="n">
        <x:f>IF(LEN(TRIM(AI10))&gt;0,1,0)</x:f>
        <x:v>0</x:v>
      </x:c>
      <x:c r="AK10" t="n">
        <x:f>IF(LEN(TRIM('Résultats détaillés'!G9))&gt;0,1,0)</x:f>
        <x:v>0</x:v>
      </x:c>
      <x:c r="AL10" t="n">
        <x:f>IF(OR(IF(LEN('Résultats détaillés'!E9)=0,FALSE,NOT(IF(ISNUMBER('Résultats détaillés'!E9),AND('Résultats détaillés'!E9&gt;=0,'Résultats détaillés'!E9&lt;=3,MOD('Résultats détaillés'!E9,1)=0),FALSE))),IF(LEN('Résultats détaillés'!F9)=0,FALSE,NOT(IF(ISNUMBER('Résultats détaillés'!F9),AND('Résultats détaillés'!F9&gt;=1,'Résultats détaillés'!F9&lt;=4,MOD('Résultats détaillés'!F9,1)=0),FALSE))),IF(LEN('Résultats détaillés'!H9)=0,FALSE,NOT(IF(ISNUMBER('Résultats détaillés'!H9),AND('Résultats détaillés'!H9&gt;=1,'Résultats détaillés'!H9&lt;=4,MOD('Résultats détaillés'!H9,1)=0),FALSE)))),1,0)</x:f>
        <x:v>0</x:v>
      </x:c>
      <x:c r="AM10" t="n">
        <x:f>IF(AND(ISNUMBER(AB10),AB10&gt;0,AK10=0),1,0)</x:f>
        <x:v>0</x:v>
      </x:c>
      <x:c r="AN10" t="n">
        <x:v>9</x:v>
      </x:c>
      <x:c r="AO10" t="n">
        <x:f>IF(AND(ISNUMBER(AB10),AB10&gt;0),1,0)</x:f>
        <x:v>0</x:v>
      </x:c>
      <x:c r="AP10" t="n">
        <x:f>IF(AND(AC10&gt;0,AH10=0),1,0)</x:f>
        <x:v>0</x:v>
      </x:c>
      <x:c r="AQ10" t="n">
        <x:f>IF(AND(AC10&gt;0,AJ10=0),1,0)</x:f>
        <x:v>0</x:v>
      </x:c>
      <x:c r="AR10" t="n">
        <x:f>IF(ISNUMBER(AB10),1,0)</x:f>
        <x:v>0</x:v>
      </x:c>
    </x:row>
    <x:row r="11" s="1211" customFormat="1" ht="32" customHeight="1">
      <x:c r="A11"/>
      <x:c r="B11" s="1972" t="str">
        <x:v>1. Sobriété</x:v>
      </x:c>
      <x:c r="C11" s="1973" t="n">
        <x:f>'Résultats détaillés'!AC4</x:f>
        <x:v>8</x:v>
      </x:c>
      <x:c r="D11" s="1973" t="n">
        <x:f>'Résultats détaillés'!AD4</x:f>
        <x:v>0</x:v>
      </x:c>
      <x:c r="E11" s="1973" t="n">
        <x:f>C11-D11</x:f>
        <x:v>8</x:v>
      </x:c>
      <x:c r="F11" s="1983" t="n">
        <x:f>D11/C11</x:f>
        <x:v>0</x:v>
      </x:c>
      <x:c r="G11" s="1973" t="n">
        <x:f>SUMIFS($AO$6:$AO$37,$AA$6:$AA$37,1)</x:f>
        <x:v>0</x:v>
      </x:c>
      <x:c r="H11" s="1973" t="n">
        <x:f>'Résultats détaillés'!AF4</x:f>
        <x:v>0</x:v>
      </x:c>
      <x:c r="I11" s="1973" t="n">
        <x:f>'Résultats détaillés'!AG4</x:f>
        <x:v>0</x:v>
      </x:c>
      <x:c r="J11" s="1983" t="str">
        <x:f>IF(G11=0,"",COUNTIFS($AA$6:$AA$37,1,$AO$6:$AO$37,1,$AG$6:$AG$37,4)/G11)</x:f>
      </x:c>
      <x:c r="K11" s="1983" t="str">
        <x:f>IF(H11+I11=0,"",SUMIFS($AJ$6:$AJ$37,$AA$6:$AA$37,1,$AC$6:$AC$37,"&gt;0")/(H11+I11))</x:f>
      </x:c>
      <x:c r="L11" s="1973" t="n">
        <x:f>SUMIFS($AQ$6:$AQ$37,$AA$6:$AA$37,1)</x:f>
        <x:v>0</x:v>
      </x:c>
      <x:c r="M11" s="1983" t="str">
        <x:f>IF(G11=0,"",(H11+I11)/G11)</x:f>
      </x:c>
      <x:c r="AA11" t="n">
        <x:v>1</x:v>
      </x:c>
      <x:c r="AB11" t="str">
        <x:f>IF(ISNUMBER('Résultats détaillés'!T10),'Résultats détaillés'!T10,"")</x:f>
      </x:c>
      <x:c r="AC11" t="n">
        <x:f>IF(AND(ISNUMBER(AB11),AB11&gt;=5),AB11*100+27,0)</x:f>
        <x:v>0</x:v>
      </x:c>
      <x:c r="AD11" t="str">
        <x:f>IF(ISBLANK('Résultats détaillés'!B10),"",'Résultats détaillés'!B10)</x:f>
        <x:v>1.6</x:v>
      </x:c>
      <x:c r="AE11" t="str">
        <x:f>IF(ISBLANK('Résultats détaillés'!C10),"",'Résultats détaillés'!C10)</x:f>
        <x:v>Alimenter les campus, les centres de données et les moyens de calcul avec des énergies renouvelables, et valoriser leur chaleur fatale.</x:v>
      </x:c>
      <x:c r="AF11" t="str">
        <x:f>IF(ISBLANK('Résultats détaillés'!E10),"",'Résultats détaillés'!E10)</x:f>
      </x:c>
      <x:c r="AG11" t="str">
        <x:f>IF(ISBLANK('Résultats détaillés'!F10),"",'Résultats détaillés'!F10)</x:f>
      </x:c>
      <x:c r="AH11" t="n">
        <x:f>IF(ISNUMBER('Résultats détaillés'!H10),IF(AND('Résultats détaillés'!H10&gt;=1,'Résultats détaillés'!H10&lt;=4,MOD('Résultats détaillés'!H10,1)=0),'Résultats détaillés'!H10,0),0)</x:f>
        <x:v>0</x:v>
      </x:c>
      <x:c r="AI11" t="str">
        <x:f>IF(ISBLANK('Résultats détaillés'!W10),"",'Résultats détaillés'!W10)</x:f>
      </x:c>
      <x:c r="AJ11" t="n">
        <x:f>IF(LEN(TRIM(AI11))&gt;0,1,0)</x:f>
        <x:v>0</x:v>
      </x:c>
      <x:c r="AK11" t="n">
        <x:f>IF(LEN(TRIM('Résultats détaillés'!G10))&gt;0,1,0)</x:f>
        <x:v>0</x:v>
      </x:c>
      <x:c r="AL11" t="n">
        <x:f>IF(OR(IF(LEN('Résultats détaillés'!E10)=0,FALSE,NOT(IF(ISNUMBER('Résultats détaillés'!E10),AND('Résultats détaillés'!E10&gt;=0,'Résultats détaillés'!E10&lt;=3,MOD('Résultats détaillés'!E10,1)=0),FALSE))),IF(LEN('Résultats détaillés'!F10)=0,FALSE,NOT(IF(ISNUMBER('Résultats détaillés'!F10),AND('Résultats détaillés'!F10&gt;=1,'Résultats détaillés'!F10&lt;=4,MOD('Résultats détaillés'!F10,1)=0),FALSE))),IF(LEN('Résultats détaillés'!H10)=0,FALSE,NOT(IF(ISNUMBER('Résultats détaillés'!H10),AND('Résultats détaillés'!H10&gt;=1,'Résultats détaillés'!H10&lt;=4,MOD('Résultats détaillés'!H10,1)=0),FALSE)))),1,0)</x:f>
        <x:v>0</x:v>
      </x:c>
      <x:c r="AM11" t="n">
        <x:f>IF(AND(ISNUMBER(AB11),AB11&gt;0,AK11=0),1,0)</x:f>
        <x:v>0</x:v>
      </x:c>
      <x:c r="AN11" t="n">
        <x:v>10</x:v>
      </x:c>
      <x:c r="AO11" t="n">
        <x:f>IF(AND(ISNUMBER(AB11),AB11&gt;0),1,0)</x:f>
        <x:v>0</x:v>
      </x:c>
      <x:c r="AP11" t="n">
        <x:f>IF(AND(AC11&gt;0,AH11=0),1,0)</x:f>
        <x:v>0</x:v>
      </x:c>
      <x:c r="AQ11" t="n">
        <x:f>IF(AND(AC11&gt;0,AJ11=0),1,0)</x:f>
        <x:v>0</x:v>
      </x:c>
      <x:c r="AR11" t="n">
        <x:f>IF(ISNUMBER(AB11),1,0)</x:f>
        <x:v>0</x:v>
      </x:c>
    </x:row>
    <x:row r="12" s="1211" customFormat="1" ht="32" customHeight="1">
      <x:c r="A12"/>
      <x:c r="B12" s="1974" t="str">
        <x:v>2. Inclusion</x:v>
      </x:c>
      <x:c r="C12" s="1973" t="n">
        <x:f>'Résultats détaillés'!AC13</x:f>
        <x:v>5</x:v>
      </x:c>
      <x:c r="D12" s="1973" t="n">
        <x:f>'Résultats détaillés'!AD13</x:f>
        <x:v>0</x:v>
      </x:c>
      <x:c r="E12" s="1973" t="n">
        <x:f>C12-D12</x:f>
        <x:v>5</x:v>
      </x:c>
      <x:c r="F12" s="1983" t="n">
        <x:f>D12/C12</x:f>
        <x:v>0</x:v>
      </x:c>
      <x:c r="G12" s="1973" t="n">
        <x:f>SUMIFS($AO$6:$AO$37,$AA$6:$AA$37,2)</x:f>
        <x:v>0</x:v>
      </x:c>
      <x:c r="H12" s="1973" t="n">
        <x:f>'Résultats détaillés'!AF13</x:f>
        <x:v>0</x:v>
      </x:c>
      <x:c r="I12" s="1973" t="n">
        <x:f>'Résultats détaillés'!AG13</x:f>
        <x:v>0</x:v>
      </x:c>
      <x:c r="J12" s="1983" t="str">
        <x:f>IF(G12=0,"",COUNTIFS($AA$6:$AA$37,2,$AO$6:$AO$37,1,$AG$6:$AG$37,4)/G12)</x:f>
      </x:c>
      <x:c r="K12" s="1983" t="str">
        <x:f>IF(H12+I12=0,"",SUMIFS($AJ$6:$AJ$37,$AA$6:$AA$37,2,$AC$6:$AC$37,"&gt;0")/(H12+I12))</x:f>
      </x:c>
      <x:c r="L12" s="1973" t="n">
        <x:f>SUMIFS($AQ$6:$AQ$37,$AA$6:$AA$37,2)</x:f>
        <x:v>0</x:v>
      </x:c>
      <x:c r="M12" s="1983" t="str">
        <x:f>IF(G12=0,"",(H12+I12)/G12)</x:f>
      </x:c>
      <x:c r="AA12" t="n">
        <x:v>1</x:v>
      </x:c>
      <x:c r="AB12" t="str">
        <x:f>IF(ISNUMBER('Résultats détaillés'!T11),'Résultats détaillés'!T11,"")</x:f>
      </x:c>
      <x:c r="AC12" t="n">
        <x:f>IF(AND(ISNUMBER(AB12),AB12&gt;=5),AB12*100+26,0)</x:f>
        <x:v>0</x:v>
      </x:c>
      <x:c r="AD12" t="str">
        <x:f>IF(ISBLANK('Résultats détaillés'!B11),"",'Résultats détaillés'!B11)</x:f>
        <x:v>1.7</x:v>
      </x:c>
      <x:c r="AE12" t="str">
        <x:f>IF(ISBLANK('Résultats détaillés'!C11),"",'Résultats détaillés'!C11)</x:f>
        <x:v>Réserver l'intelligence artificielle aux besoins de formation, de recherche et de gestion qui la justifient, et choisir des solutions sobres.</x:v>
      </x:c>
      <x:c r="AF12" t="str">
        <x:f>IF(ISBLANK('Résultats détaillés'!E11),"",'Résultats détaillés'!E11)</x:f>
      </x:c>
      <x:c r="AG12" t="str">
        <x:f>IF(ISBLANK('Résultats détaillés'!F11),"",'Résultats détaillés'!F11)</x:f>
      </x:c>
      <x:c r="AH12" t="n">
        <x:f>IF(ISNUMBER('Résultats détaillés'!H11),IF(AND('Résultats détaillés'!H11&gt;=1,'Résultats détaillés'!H11&lt;=4,MOD('Résultats détaillés'!H11,1)=0),'Résultats détaillés'!H11,0),0)</x:f>
        <x:v>0</x:v>
      </x:c>
      <x:c r="AI12" t="str">
        <x:f>IF(ISBLANK('Résultats détaillés'!W11),"",'Résultats détaillés'!W11)</x:f>
      </x:c>
      <x:c r="AJ12" t="n">
        <x:f>IF(LEN(TRIM(AI12))&gt;0,1,0)</x:f>
        <x:v>0</x:v>
      </x:c>
      <x:c r="AK12" t="n">
        <x:f>IF(LEN(TRIM('Résultats détaillés'!G11))&gt;0,1,0)</x:f>
        <x:v>0</x:v>
      </x:c>
      <x:c r="AL12" t="n">
        <x:f>IF(OR(IF(LEN('Résultats détaillés'!E11)=0,FALSE,NOT(IF(ISNUMBER('Résultats détaillés'!E11),AND('Résultats détaillés'!E11&gt;=0,'Résultats détaillés'!E11&lt;=3,MOD('Résultats détaillés'!E11,1)=0),FALSE))),IF(LEN('Résultats détaillés'!F11)=0,FALSE,NOT(IF(ISNUMBER('Résultats détaillés'!F11),AND('Résultats détaillés'!F11&gt;=1,'Résultats détaillés'!F11&lt;=4,MOD('Résultats détaillés'!F11,1)=0),FALSE))),IF(LEN('Résultats détaillés'!H11)=0,FALSE,NOT(IF(ISNUMBER('Résultats détaillés'!H11),AND('Résultats détaillés'!H11&gt;=1,'Résultats détaillés'!H11&lt;=4,MOD('Résultats détaillés'!H11,1)=0),FALSE)))),1,0)</x:f>
        <x:v>0</x:v>
      </x:c>
      <x:c r="AM12" t="n">
        <x:f>IF(AND(ISNUMBER(AB12),AB12&gt;0,AK12=0),1,0)</x:f>
        <x:v>0</x:v>
      </x:c>
      <x:c r="AN12" t="n">
        <x:v>11</x:v>
      </x:c>
      <x:c r="AO12" t="n">
        <x:f>IF(AND(ISNUMBER(AB12),AB12&gt;0),1,0)</x:f>
        <x:v>0</x:v>
      </x:c>
      <x:c r="AP12" t="n">
        <x:f>IF(AND(AC12&gt;0,AH12=0),1,0)</x:f>
        <x:v>0</x:v>
      </x:c>
      <x:c r="AQ12" t="n">
        <x:f>IF(AND(AC12&gt;0,AJ12=0),1,0)</x:f>
        <x:v>0</x:v>
      </x:c>
      <x:c r="AR12" t="n">
        <x:f>IF(ISNUMBER(AB12),1,0)</x:f>
        <x:v>0</x:v>
      </x:c>
    </x:row>
    <x:row r="13" s="1211" customFormat="1" ht="32" customHeight="1">
      <x:c r="A13"/>
      <x:c r="B13" s="1975" t="str">
        <x:v>3. RSE et éthique</x:v>
      </x:c>
      <x:c r="C13" s="1973" t="n">
        <x:f>'Résultats détaillés'!AC19</x:f>
        <x:v>8</x:v>
      </x:c>
      <x:c r="D13" s="1973" t="n">
        <x:f>'Résultats détaillés'!AD19</x:f>
        <x:v>0</x:v>
      </x:c>
      <x:c r="E13" s="1973" t="n">
        <x:f>C13-D13</x:f>
        <x:v>8</x:v>
      </x:c>
      <x:c r="F13" s="1983" t="n">
        <x:f>D13/C13</x:f>
        <x:v>0</x:v>
      </x:c>
      <x:c r="G13" s="1973" t="n">
        <x:f>SUMIFS($AO$6:$AO$37,$AA$6:$AA$37,3)</x:f>
        <x:v>0</x:v>
      </x:c>
      <x:c r="H13" s="1973" t="n">
        <x:f>'Résultats détaillés'!AF19</x:f>
        <x:v>0</x:v>
      </x:c>
      <x:c r="I13" s="1973" t="n">
        <x:f>'Résultats détaillés'!AG19</x:f>
        <x:v>0</x:v>
      </x:c>
      <x:c r="J13" s="1983" t="str">
        <x:f>IF(G13=0,"",COUNTIFS($AA$6:$AA$37,3,$AO$6:$AO$37,1,$AG$6:$AG$37,4)/G13)</x:f>
      </x:c>
      <x:c r="K13" s="1983" t="str">
        <x:f>IF(H13+I13=0,"",SUMIFS($AJ$6:$AJ$37,$AA$6:$AA$37,3,$AC$6:$AC$37,"&gt;0")/(H13+I13))</x:f>
      </x:c>
      <x:c r="L13" s="1973" t="n">
        <x:f>SUMIFS($AQ$6:$AQ$37,$AA$6:$AA$37,3)</x:f>
        <x:v>0</x:v>
      </x:c>
      <x:c r="M13" s="1983" t="str">
        <x:f>IF(G13=0,"",(H13+I13)/G13)</x:f>
      </x:c>
      <x:c r="AA13" t="n">
        <x:v>1</x:v>
      </x:c>
      <x:c r="AB13" t="str">
        <x:f>IF(ISNUMBER('Résultats détaillés'!T12),'Résultats détaillés'!T12,"")</x:f>
      </x:c>
      <x:c r="AC13" t="n">
        <x:f>IF(AND(ISNUMBER(AB13),AB13&gt;=5),AB13*100+25,0)</x:f>
        <x:v>0</x:v>
      </x:c>
      <x:c r="AD13" t="str">
        <x:f>IF(ISBLANK('Résultats détaillés'!B12),"",'Résultats détaillés'!B12)</x:f>
        <x:v>1.8</x:v>
      </x:c>
      <x:c r="AE13" t="str">
        <x:f>IF(ISBLANK('Résultats détaillés'!C12),"",'Résultats détaillés'!C12)</x:f>
        <x:v>Mesurer et réduire ce que consomme l'intelligence artificielle dans l'établissement, notamment l'entraînement de modèles par les équipes de recherche.</x:v>
      </x:c>
      <x:c r="AF13" t="str">
        <x:f>IF(ISBLANK('Résultats détaillés'!E12),"",'Résultats détaillés'!E12)</x:f>
      </x:c>
      <x:c r="AG13" t="str">
        <x:f>IF(ISBLANK('Résultats détaillés'!F12),"",'Résultats détaillés'!F12)</x:f>
      </x:c>
      <x:c r="AH13" t="n">
        <x:f>IF(ISNUMBER('Résultats détaillés'!H12),IF(AND('Résultats détaillés'!H12&gt;=1,'Résultats détaillés'!H12&lt;=4,MOD('Résultats détaillés'!H12,1)=0),'Résultats détaillés'!H12,0),0)</x:f>
        <x:v>0</x:v>
      </x:c>
      <x:c r="AI13" t="str">
        <x:f>IF(ISBLANK('Résultats détaillés'!W12),"",'Résultats détaillés'!W12)</x:f>
      </x:c>
      <x:c r="AJ13" t="n">
        <x:f>IF(LEN(TRIM(AI13))&gt;0,1,0)</x:f>
        <x:v>0</x:v>
      </x:c>
      <x:c r="AK13" t="n">
        <x:f>IF(LEN(TRIM('Résultats détaillés'!G12))&gt;0,1,0)</x:f>
        <x:v>0</x:v>
      </x:c>
      <x:c r="AL13" t="n">
        <x:f>IF(OR(IF(LEN('Résultats détaillés'!E12)=0,FALSE,NOT(IF(ISNUMBER('Résultats détaillés'!E12),AND('Résultats détaillés'!E12&gt;=0,'Résultats détaillés'!E12&lt;=3,MOD('Résultats détaillés'!E12,1)=0),FALSE))),IF(LEN('Résultats détaillés'!F12)=0,FALSE,NOT(IF(ISNUMBER('Résultats détaillés'!F12),AND('Résultats détaillés'!F12&gt;=1,'Résultats détaillés'!F12&lt;=4,MOD('Résultats détaillés'!F12,1)=0),FALSE))),IF(LEN('Résultats détaillés'!H12)=0,FALSE,NOT(IF(ISNUMBER('Résultats détaillés'!H12),AND('Résultats détaillés'!H12&gt;=1,'Résultats détaillés'!H12&lt;=4,MOD('Résultats détaillés'!H12,1)=0),FALSE)))),1,0)</x:f>
        <x:v>0</x:v>
      </x:c>
      <x:c r="AM13" t="n">
        <x:f>IF(AND(ISNUMBER(AB13),AB13&gt;0,AK13=0),1,0)</x:f>
        <x:v>0</x:v>
      </x:c>
      <x:c r="AN13" t="n">
        <x:v>12</x:v>
      </x:c>
      <x:c r="AO13" t="n">
        <x:f>IF(AND(ISNUMBER(AB13),AB13&gt;0),1,0)</x:f>
        <x:v>0</x:v>
      </x:c>
      <x:c r="AP13" t="n">
        <x:f>IF(AND(AC13&gt;0,AH13=0),1,0)</x:f>
        <x:v>0</x:v>
      </x:c>
      <x:c r="AQ13" t="n">
        <x:f>IF(AND(AC13&gt;0,AJ13=0),1,0)</x:f>
        <x:v>0</x:v>
      </x:c>
      <x:c r="AR13" t="n">
        <x:f>IF(ISNUMBER(AB13),1,0)</x:f>
        <x:v>0</x:v>
      </x:c>
    </x:row>
    <x:row r="14" s="1211" customFormat="1" ht="32" customHeight="1">
      <x:c r="A14"/>
      <x:c r="B14" s="1976" t="str">
        <x:v>4. Résilience</x:v>
      </x:c>
      <x:c r="C14" s="1973" t="n">
        <x:f>'Résultats détaillés'!AC28</x:f>
        <x:v>4</x:v>
      </x:c>
      <x:c r="D14" s="1973" t="n">
        <x:f>'Résultats détaillés'!AD28</x:f>
        <x:v>0</x:v>
      </x:c>
      <x:c r="E14" s="1973" t="n">
        <x:f>C14-D14</x:f>
        <x:v>4</x:v>
      </x:c>
      <x:c r="F14" s="1983" t="n">
        <x:f>D14/C14</x:f>
        <x:v>0</x:v>
      </x:c>
      <x:c r="G14" s="1973" t="n">
        <x:f>SUMIFS($AO$6:$AO$37,$AA$6:$AA$37,4)</x:f>
        <x:v>0</x:v>
      </x:c>
      <x:c r="H14" s="1973" t="n">
        <x:f>'Résultats détaillés'!AF28</x:f>
        <x:v>0</x:v>
      </x:c>
      <x:c r="I14" s="1973" t="n">
        <x:f>'Résultats détaillés'!AG28</x:f>
        <x:v>0</x:v>
      </x:c>
      <x:c r="J14" s="1983" t="str">
        <x:f>IF(G14=0,"",COUNTIFS($AA$6:$AA$37,4,$AO$6:$AO$37,1,$AG$6:$AG$37,4)/G14)</x:f>
      </x:c>
      <x:c r="K14" s="1983" t="str">
        <x:f>IF(H14+I14=0,"",SUMIFS($AJ$6:$AJ$37,$AA$6:$AA$37,4,$AC$6:$AC$37,"&gt;0")/(H14+I14))</x:f>
      </x:c>
      <x:c r="L14" s="1973" t="n">
        <x:f>SUMIFS($AQ$6:$AQ$37,$AA$6:$AA$37,4)</x:f>
        <x:v>0</x:v>
      </x:c>
      <x:c r="M14" s="1983" t="str">
        <x:f>IF(G14=0,"",(H14+I14)/G14)</x:f>
      </x:c>
      <x:c r="AA14" t="n">
        <x:v>2</x:v>
      </x:c>
      <x:c r="AB14" t="str">
        <x:f>IF(ISNUMBER('Résultats détaillés'!T14),'Résultats détaillés'!T14,"")</x:f>
      </x:c>
      <x:c r="AC14" t="n">
        <x:f>IF(AND(ISNUMBER(AB14),AB14&gt;=5),AB14*100+24,0)</x:f>
        <x:v>0</x:v>
      </x:c>
      <x:c r="AD14" t="str">
        <x:f>IF(ISBLANK('Résultats détaillés'!B14),"",'Résultats détaillés'!B14)</x:f>
        <x:v>2.1</x:v>
      </x:c>
      <x:c r="AE14" t="str">
        <x:f>IF(ISBLANK('Résultats détaillés'!C14),"",'Résultats détaillés'!C14)</x:f>
        <x:v>Intégrer dans les achats numériques de l'établissement, y compris ceux des laboratoires, des clauses sociales et environnementales et des critères de durabilité.</x:v>
      </x:c>
      <x:c r="AF14" t="str">
        <x:f>IF(ISBLANK('Résultats détaillés'!E14),"",'Résultats détaillés'!E14)</x:f>
      </x:c>
      <x:c r="AG14" t="str">
        <x:f>IF(ISBLANK('Résultats détaillés'!F14),"",'Résultats détaillés'!F14)</x:f>
      </x:c>
      <x:c r="AH14" t="n">
        <x:f>IF(ISNUMBER('Résultats détaillés'!H14),IF(AND('Résultats détaillés'!H14&gt;=1,'Résultats détaillés'!H14&lt;=4,MOD('Résultats détaillés'!H14,1)=0),'Résultats détaillés'!H14,0),0)</x:f>
        <x:v>0</x:v>
      </x:c>
      <x:c r="AI14" t="str">
        <x:f>IF(ISBLANK('Résultats détaillés'!W14),"",'Résultats détaillés'!W14)</x:f>
      </x:c>
      <x:c r="AJ14" t="n">
        <x:f>IF(LEN(TRIM(AI14))&gt;0,1,0)</x:f>
        <x:v>0</x:v>
      </x:c>
      <x:c r="AK14" t="n">
        <x:f>IF(LEN(TRIM('Résultats détaillés'!G14))&gt;0,1,0)</x:f>
        <x:v>0</x:v>
      </x:c>
      <x:c r="AL14" t="n">
        <x:f>IF(OR(IF(LEN('Résultats détaillés'!E14)=0,FALSE,NOT(IF(ISNUMBER('Résultats détaillés'!E14),AND('Résultats détaillés'!E14&gt;=0,'Résultats détaillés'!E14&lt;=3,MOD('Résultats détaillés'!E14,1)=0),FALSE))),IF(LEN('Résultats détaillés'!F14)=0,FALSE,NOT(IF(ISNUMBER('Résultats détaillés'!F14),AND('Résultats détaillés'!F14&gt;=1,'Résultats détaillés'!F14&lt;=4,MOD('Résultats détaillés'!F14,1)=0),FALSE))),IF(LEN('Résultats détaillés'!H14)=0,FALSE,NOT(IF(ISNUMBER('Résultats détaillés'!H14),AND('Résultats détaillés'!H14&gt;=1,'Résultats détaillés'!H14&lt;=4,MOD('Résultats détaillés'!H14,1)=0),FALSE)))),1,0)</x:f>
        <x:v>0</x:v>
      </x:c>
      <x:c r="AM14" t="n">
        <x:f>IF(AND(ISNUMBER(AB14),AB14&gt;0,AK14=0),1,0)</x:f>
        <x:v>0</x:v>
      </x:c>
      <x:c r="AN14" t="n">
        <x:v>14</x:v>
      </x:c>
      <x:c r="AO14" t="n">
        <x:f>IF(AND(ISNUMBER(AB14),AB14&gt;0),1,0)</x:f>
        <x:v>0</x:v>
      </x:c>
      <x:c r="AP14" t="n">
        <x:f>IF(AND(AC14&gt;0,AH14=0),1,0)</x:f>
        <x:v>0</x:v>
      </x:c>
      <x:c r="AQ14" t="n">
        <x:f>IF(AND(AC14&gt;0,AJ14=0),1,0)</x:f>
        <x:v>0</x:v>
      </x:c>
      <x:c r="AR14" t="n">
        <x:f>IF(ISNUMBER(AB14),1,0)</x:f>
        <x:v>0</x:v>
      </x:c>
    </x:row>
    <x:row r="15" s="1211" customFormat="1" ht="32" customHeight="1">
      <x:c r="A15"/>
      <x:c r="B15" s="1977" t="str">
        <x:v>5. Management</x:v>
      </x:c>
      <x:c r="C15" s="1973" t="n">
        <x:f>'Résultats détaillés'!AC33</x:f>
        <x:v>7</x:v>
      </x:c>
      <x:c r="D15" s="1973" t="n">
        <x:f>'Résultats détaillés'!AD33</x:f>
        <x:v>0</x:v>
      </x:c>
      <x:c r="E15" s="1973" t="n">
        <x:f>C15-D15</x:f>
        <x:v>7</x:v>
      </x:c>
      <x:c r="F15" s="1983" t="n">
        <x:f>D15/C15</x:f>
        <x:v>0</x:v>
      </x:c>
      <x:c r="G15" s="1973" t="n">
        <x:f>SUMIFS($AO$6:$AO$37,$AA$6:$AA$37,5)</x:f>
        <x:v>0</x:v>
      </x:c>
      <x:c r="H15" s="1973" t="n">
        <x:f>'Résultats détaillés'!AF33</x:f>
        <x:v>0</x:v>
      </x:c>
      <x:c r="I15" s="1973" t="n">
        <x:f>'Résultats détaillés'!AG33</x:f>
        <x:v>0</x:v>
      </x:c>
      <x:c r="J15" s="1983" t="str">
        <x:f>IF(G15=0,"",COUNTIFS($AA$6:$AA$37,5,$AO$6:$AO$37,1,$AG$6:$AG$37,4)/G15)</x:f>
      </x:c>
      <x:c r="K15" s="1983" t="str">
        <x:f>IF(H15+I15=0,"",SUMIFS($AJ$6:$AJ$37,$AA$6:$AA$37,5,$AC$6:$AC$37,"&gt;0")/(H15+I15))</x:f>
      </x:c>
      <x:c r="L15" s="1973" t="n">
        <x:f>SUMIFS($AQ$6:$AQ$37,$AA$6:$AA$37,5)</x:f>
        <x:v>0</x:v>
      </x:c>
      <x:c r="M15" s="1983" t="str">
        <x:f>IF(G15=0,"",(H15+I15)/G15)</x:f>
      </x:c>
      <x:c r="AA15" t="n">
        <x:v>2</x:v>
      </x:c>
      <x:c r="AB15" t="str">
        <x:f>IF(ISNUMBER('Résultats détaillés'!T15),'Résultats détaillés'!T15,"")</x:f>
      </x:c>
      <x:c r="AC15" t="n">
        <x:f>IF(AND(ISNUMBER(AB15),AB15&gt;=5),AB15*100+23,0)</x:f>
        <x:v>0</x:v>
      </x:c>
      <x:c r="AD15" t="str">
        <x:f>IF(ISBLANK('Résultats détaillés'!B15),"",'Résultats détaillés'!B15)</x:f>
        <x:v>2.2</x:v>
      </x:c>
      <x:c r="AE15" t="str">
        <x:f>IF(ISBLANK('Résultats détaillés'!C15),"",'Résultats détaillés'!C15)</x:f>
        <x:v>Rendre accessibles à toutes et tous les sites, l'ENT, le LMS et les ressources pédagogiques : vidéos de cours sous-titrées, documents et supports accessibles. Mesurer leur conformité au RGAA.</x:v>
      </x:c>
      <x:c r="AF15" t="str">
        <x:f>IF(ISBLANK('Résultats détaillés'!E15),"",'Résultats détaillés'!E15)</x:f>
      </x:c>
      <x:c r="AG15" t="str">
        <x:f>IF(ISBLANK('Résultats détaillés'!F15),"",'Résultats détaillés'!F15)</x:f>
      </x:c>
      <x:c r="AH15" t="n">
        <x:f>IF(ISNUMBER('Résultats détaillés'!H15),IF(AND('Résultats détaillés'!H15&gt;=1,'Résultats détaillés'!H15&lt;=4,MOD('Résultats détaillés'!H15,1)=0),'Résultats détaillés'!H15,0),0)</x:f>
        <x:v>0</x:v>
      </x:c>
      <x:c r="AI15" t="str">
        <x:f>IF(ISBLANK('Résultats détaillés'!W15),"",'Résultats détaillés'!W15)</x:f>
      </x:c>
      <x:c r="AJ15" t="n">
        <x:f>IF(LEN(TRIM(AI15))&gt;0,1,0)</x:f>
        <x:v>0</x:v>
      </x:c>
      <x:c r="AK15" t="n">
        <x:f>IF(LEN(TRIM('Résultats détaillés'!G15))&gt;0,1,0)</x:f>
        <x:v>0</x:v>
      </x:c>
      <x:c r="AL15" t="n">
        <x:f>IF(OR(IF(LEN('Résultats détaillés'!E15)=0,FALSE,NOT(IF(ISNUMBER('Résultats détaillés'!E15),AND('Résultats détaillés'!E15&gt;=0,'Résultats détaillés'!E15&lt;=3,MOD('Résultats détaillés'!E15,1)=0),FALSE))),IF(LEN('Résultats détaillés'!F15)=0,FALSE,NOT(IF(ISNUMBER('Résultats détaillés'!F15),AND('Résultats détaillés'!F15&gt;=1,'Résultats détaillés'!F15&lt;=4,MOD('Résultats détaillés'!F15,1)=0),FALSE))),IF(LEN('Résultats détaillés'!H15)=0,FALSE,NOT(IF(ISNUMBER('Résultats détaillés'!H15),AND('Résultats détaillés'!H15&gt;=1,'Résultats détaillés'!H15&lt;=4,MOD('Résultats détaillés'!H15,1)=0),FALSE)))),1,0)</x:f>
        <x:v>0</x:v>
      </x:c>
      <x:c r="AM15" t="n">
        <x:f>IF(AND(ISNUMBER(AB15),AB15&gt;0,AK15=0),1,0)</x:f>
        <x:v>0</x:v>
      </x:c>
      <x:c r="AN15" t="n">
        <x:v>15</x:v>
      </x:c>
      <x:c r="AO15" t="n">
        <x:f>IF(AND(ISNUMBER(AB15),AB15&gt;0),1,0)</x:f>
        <x:v>0</x:v>
      </x:c>
      <x:c r="AP15" t="n">
        <x:f>IF(AND(AC15&gt;0,AH15=0),1,0)</x:f>
        <x:v>0</x:v>
      </x:c>
      <x:c r="AQ15" t="n">
        <x:f>IF(AND(AC15&gt;0,AJ15=0),1,0)</x:f>
        <x:v>0</x:v>
      </x:c>
      <x:c r="AR15" t="n">
        <x:f>IF(ISNUMBER(AB15),1,0)</x:f>
        <x:v>0</x:v>
      </x:c>
    </x:row>
    <x:row r="16" s="1211" customFormat="1" ht="32" customHeight="1">
      <x:c r="A16"/>
      <x:c r="B16" s="1981" t="str">
        <x:v>TOTAL</x:v>
      </x:c>
      <x:c r="C16" s="1982" t="n">
        <x:f>SUM(C11:C15)</x:f>
        <x:v>32</x:v>
      </x:c>
      <x:c r="D16" s="1982" t="n">
        <x:f>SUM(D11:D15)</x:f>
        <x:v>0</x:v>
      </x:c>
      <x:c r="E16" s="1982" t="n">
        <x:f>SUM(E11:E15)</x:f>
        <x:v>32</x:v>
      </x:c>
      <x:c r="F16" s="1984" t="n">
        <x:f>D16/C16</x:f>
        <x:v>0</x:v>
      </x:c>
      <x:c r="G16" s="1982" t="n">
        <x:f>SUM(G11:G15)</x:f>
        <x:v>0</x:v>
      </x:c>
      <x:c r="H16" s="1982" t="n">
        <x:f>SUM(H11:H15)</x:f>
        <x:v>0</x:v>
      </x:c>
      <x:c r="I16" s="1982" t="n">
        <x:f>SUM(I11:I15)</x:f>
        <x:v>0</x:v>
      </x:c>
      <x:c r="J16" s="1984" t="str">
        <x:f>IF(G16=0,"",COUNTIFS($AO$6:$AO$37,1,$AG$6:$AG$37,4)/G16)</x:f>
      </x:c>
      <x:c r="K16" s="1984" t="str">
        <x:f>IF(H16+I16=0,"",SUMIFS($AJ$6:$AJ$37,$AC$6:$AC$37,"&gt;0")/(H16+I16))</x:f>
      </x:c>
      <x:c r="L16" s="1982" t="n">
        <x:f>SUM(L11:L15)</x:f>
        <x:v>0</x:v>
      </x:c>
      <x:c r="M16" s="1984" t="str">
        <x:f>IF(G16=0,"",(H16+I16)/G16)</x:f>
      </x:c>
      <x:c r="AA16" t="n">
        <x:v>2</x:v>
      </x:c>
      <x:c r="AB16" t="str">
        <x:f>IF(ISNUMBER('Résultats détaillés'!T16),'Résultats détaillés'!T16,"")</x:f>
      </x:c>
      <x:c r="AC16" t="n">
        <x:f>IF(AND(ISNUMBER(AB16),AB16&gt;=5),AB16*100+22,0)</x:f>
        <x:v>0</x:v>
      </x:c>
      <x:c r="AD16" t="str">
        <x:f>IF(ISBLANK('Résultats détaillés'!B16),"",'Résultats détaillés'!B16)</x:f>
        <x:v>2.3</x:v>
      </x:c>
      <x:c r="AE16" t="str">
        <x:f>IF(ISBLANK('Résultats détaillés'!C16),"",'Résultats détaillés'!C16)</x:f>
        <x:v>Proposer aux étudiants et aux personnels des outils utiles, faciles à utiliser et réellement utilisés, plutôt qu'une multitude de plateformes : un ENT, un LMS, une messagerie, une visioconférence, un outil d'emploi du temps.</x:v>
      </x:c>
      <x:c r="AF16" t="str">
        <x:f>IF(ISBLANK('Résultats détaillés'!E16),"",'Résultats détaillés'!E16)</x:f>
      </x:c>
      <x:c r="AG16" t="str">
        <x:f>IF(ISBLANK('Résultats détaillés'!F16),"",'Résultats détaillés'!F16)</x:f>
      </x:c>
      <x:c r="AH16" t="n">
        <x:f>IF(ISNUMBER('Résultats détaillés'!H16),IF(AND('Résultats détaillés'!H16&gt;=1,'Résultats détaillés'!H16&lt;=4,MOD('Résultats détaillés'!H16,1)=0),'Résultats détaillés'!H16,0),0)</x:f>
        <x:v>0</x:v>
      </x:c>
      <x:c r="AI16" t="str">
        <x:f>IF(ISBLANK('Résultats détaillés'!W16),"",'Résultats détaillés'!W16)</x:f>
      </x:c>
      <x:c r="AJ16" t="n">
        <x:f>IF(LEN(TRIM(AI16))&gt;0,1,0)</x:f>
        <x:v>0</x:v>
      </x:c>
      <x:c r="AK16" t="n">
        <x:f>IF(LEN(TRIM('Résultats détaillés'!G16))&gt;0,1,0)</x:f>
        <x:v>0</x:v>
      </x:c>
      <x:c r="AL16" t="n">
        <x:f>IF(OR(IF(LEN('Résultats détaillés'!E16)=0,FALSE,NOT(IF(ISNUMBER('Résultats détaillés'!E16),AND('Résultats détaillés'!E16&gt;=0,'Résultats détaillés'!E16&lt;=3,MOD('Résultats détaillés'!E16,1)=0),FALSE))),IF(LEN('Résultats détaillés'!F16)=0,FALSE,NOT(IF(ISNUMBER('Résultats détaillés'!F16),AND('Résultats détaillés'!F16&gt;=1,'Résultats détaillés'!F16&lt;=4,MOD('Résultats détaillés'!F16,1)=0),FALSE))),IF(LEN('Résultats détaillés'!H16)=0,FALSE,NOT(IF(ISNUMBER('Résultats détaillés'!H16),AND('Résultats détaillés'!H16&gt;=1,'Résultats détaillés'!H16&lt;=4,MOD('Résultats détaillés'!H16,1)=0),FALSE)))),1,0)</x:f>
        <x:v>0</x:v>
      </x:c>
      <x:c r="AM16" t="n">
        <x:f>IF(AND(ISNUMBER(AB16),AB16&gt;0,AK16=0),1,0)</x:f>
        <x:v>0</x:v>
      </x:c>
      <x:c r="AN16" t="n">
        <x:v>16</x:v>
      </x:c>
      <x:c r="AO16" t="n">
        <x:f>IF(AND(ISNUMBER(AB16),AB16&gt;0),1,0)</x:f>
        <x:v>0</x:v>
      </x:c>
      <x:c r="AP16" t="n">
        <x:f>IF(AND(AC16&gt;0,AH16=0),1,0)</x:f>
        <x:v>0</x:v>
      </x:c>
      <x:c r="AQ16" t="n">
        <x:f>IF(AND(AC16&gt;0,AJ16=0),1,0)</x:f>
        <x:v>0</x:v>
      </x:c>
      <x:c r="AR16" t="n">
        <x:f>IF(ISNUMBER(AB16),1,0)</x:f>
        <x:v>0</x:v>
      </x:c>
    </x:row>
    <x:row r="17" s="1211" customFormat="1" ht="24" customHeight="1">
      <x:c r="A17"/>
      <x:c r="B17" s="1923"/>
      <x:c r="C17" s="1923"/>
      <x:c r="D17" s="1923"/>
      <x:c r="E17" s="1923"/>
      <x:c r="F17" s="1923"/>
      <x:c r="G17" s="1923"/>
      <x:c r="H17" s="1923"/>
      <x:c r="I17" s="1923"/>
      <x:c r="J17" s="1923"/>
      <x:c r="K17" s="1923"/>
      <x:c r="L17" s="1923"/>
      <x:c r="M17" s="1923"/>
      <x:c r="AA17" t="n">
        <x:v>2</x:v>
      </x:c>
      <x:c r="AB17" t="str">
        <x:f>IF(ISNUMBER('Résultats détaillés'!T17),'Résultats détaillés'!T17,"")</x:f>
      </x:c>
      <x:c r="AC17" t="n">
        <x:f>IF(AND(ISNUMBER(AB17),AB17&gt;=5),AB17*100+21,0)</x:f>
        <x:v>0</x:v>
      </x:c>
      <x:c r="AD17" t="str">
        <x:f>IF(ISBLANK('Résultats détaillés'!B17),"",'Résultats détaillés'!B17)</x:f>
        <x:v>2.4</x:v>
      </x:c>
      <x:c r="AE17" t="str">
        <x:f>IF(ISBLANK('Résultats détaillés'!C17),"",'Résultats détaillés'!C17)</x:f>
        <x:v>Concevoir les services numériques avec les étudiants, les enseignants, les chercheurs et les personnels, en partant de leurs besoins réels.</x:v>
      </x:c>
      <x:c r="AF17" t="str">
        <x:f>IF(ISBLANK('Résultats détaillés'!E17),"",'Résultats détaillés'!E17)</x:f>
      </x:c>
      <x:c r="AG17" t="str">
        <x:f>IF(ISBLANK('Résultats détaillés'!F17),"",'Résultats détaillés'!F17)</x:f>
      </x:c>
      <x:c r="AH17" t="n">
        <x:f>IF(ISNUMBER('Résultats détaillés'!H17),IF(AND('Résultats détaillés'!H17&gt;=1,'Résultats détaillés'!H17&lt;=4,MOD('Résultats détaillés'!H17,1)=0),'Résultats détaillés'!H17,0),0)</x:f>
        <x:v>0</x:v>
      </x:c>
      <x:c r="AI17" t="str">
        <x:f>IF(ISBLANK('Résultats détaillés'!W17),"",'Résultats détaillés'!W17)</x:f>
      </x:c>
      <x:c r="AJ17" t="n">
        <x:f>IF(LEN(TRIM(AI17))&gt;0,1,0)</x:f>
        <x:v>0</x:v>
      </x:c>
      <x:c r="AK17" t="n">
        <x:f>IF(LEN(TRIM('Résultats détaillés'!G17))&gt;0,1,0)</x:f>
        <x:v>0</x:v>
      </x:c>
      <x:c r="AL17" t="n">
        <x:f>IF(OR(IF(LEN('Résultats détaillés'!E17)=0,FALSE,NOT(IF(ISNUMBER('Résultats détaillés'!E17),AND('Résultats détaillés'!E17&gt;=0,'Résultats détaillés'!E17&lt;=3,MOD('Résultats détaillés'!E17,1)=0),FALSE))),IF(LEN('Résultats détaillés'!F17)=0,FALSE,NOT(IF(ISNUMBER('Résultats détaillés'!F17),AND('Résultats détaillés'!F17&gt;=1,'Résultats détaillés'!F17&lt;=4,MOD('Résultats détaillés'!F17,1)=0),FALSE))),IF(LEN('Résultats détaillés'!H17)=0,FALSE,NOT(IF(ISNUMBER('Résultats détaillés'!H17),AND('Résultats détaillés'!H17&gt;=1,'Résultats détaillés'!H17&lt;=4,MOD('Résultats détaillés'!H17,1)=0),FALSE)))),1,0)</x:f>
        <x:v>0</x:v>
      </x:c>
      <x:c r="AM17" t="n">
        <x:f>IF(AND(ISNUMBER(AB17),AB17&gt;0,AK17=0),1,0)</x:f>
        <x:v>0</x:v>
      </x:c>
      <x:c r="AN17" t="n">
        <x:v>17</x:v>
      </x:c>
      <x:c r="AO17" t="n">
        <x:f>IF(AND(ISNUMBER(AB17),AB17&gt;0),1,0)</x:f>
        <x:v>0</x:v>
      </x:c>
      <x:c r="AP17" t="n">
        <x:f>IF(AND(AC17&gt;0,AH17=0),1,0)</x:f>
        <x:v>0</x:v>
      </x:c>
      <x:c r="AQ17" t="n">
        <x:f>IF(AND(AC17&gt;0,AJ17=0),1,0)</x:f>
        <x:v>0</x:v>
      </x:c>
      <x:c r="AR17" t="n">
        <x:f>IF(ISNUMBER(AB17),1,0)</x:f>
        <x:v>0</x:v>
      </x:c>
    </x:row>
    <x:row r="18" s="1211" customFormat="1" ht="24" customHeight="1">
      <x:c r="A18"/>
      <x:c r="B18" s="1949" t="str">
        <x:v>Part prioritaire = urgentes + prioritaires / applicables évaluées. « Avec action » = une proposition écrite pour ces priorités.</x:v>
      </x:c>
      <x:c r="C18" s="1949"/>
      <x:c r="D18" s="1949"/>
      <x:c r="E18" s="1949"/>
      <x:c r="F18" s="1949"/>
      <x:c r="G18" s="1949"/>
      <x:c r="H18" s="1949"/>
      <x:c r="I18" s="1949"/>
      <x:c r="J18" s="1949"/>
      <x:c r="K18" s="1949"/>
      <x:c r="L18" s="1949"/>
      <x:c r="M18" s="1949"/>
      <x:c r="AA18" t="n">
        <x:v>2</x:v>
      </x:c>
      <x:c r="AB18" t="str">
        <x:f>IF(ISNUMBER('Résultats détaillés'!T18),'Résultats détaillés'!T18,"")</x:f>
      </x:c>
      <x:c r="AC18" t="n">
        <x:f>IF(AND(ISNUMBER(AB18),AB18&gt;=5),AB18*100+20,0)</x:f>
        <x:v>0</x:v>
      </x:c>
      <x:c r="AD18" t="str">
        <x:f>IF(ISBLANK('Résultats détaillés'!B18),"",'Résultats détaillés'!B18)</x:f>
        <x:v>2.5</x:v>
      </x:c>
      <x:c r="AE18" t="str">
        <x:f>IF(ISBLANK('Résultats détaillés'!C18),"",'Résultats détaillés'!C18)</x:f>
        <x:v>Vérifier que l'intelligence artificielle utilisée pour orienter, évaluer ou accompagner les étudiants ne discrimine personne : aide à l'orientation, détection de plagiat, correction automatique, agents conversationnels.</x:v>
      </x:c>
      <x:c r="AF18" t="str">
        <x:f>IF(ISBLANK('Résultats détaillés'!E18),"",'Résultats détaillés'!E18)</x:f>
      </x:c>
      <x:c r="AG18" t="str">
        <x:f>IF(ISBLANK('Résultats détaillés'!F18),"",'Résultats détaillés'!F18)</x:f>
      </x:c>
      <x:c r="AH18" t="n">
        <x:f>IF(ISNUMBER('Résultats détaillés'!H18),IF(AND('Résultats détaillés'!H18&gt;=1,'Résultats détaillés'!H18&lt;=4,MOD('Résultats détaillés'!H18,1)=0),'Résultats détaillés'!H18,0),0)</x:f>
        <x:v>0</x:v>
      </x:c>
      <x:c r="AI18" t="str">
        <x:f>IF(ISBLANK('Résultats détaillés'!W18),"",'Résultats détaillés'!W18)</x:f>
      </x:c>
      <x:c r="AJ18" t="n">
        <x:f>IF(LEN(TRIM(AI18))&gt;0,1,0)</x:f>
        <x:v>0</x:v>
      </x:c>
      <x:c r="AK18" t="n">
        <x:f>IF(LEN(TRIM('Résultats détaillés'!G18))&gt;0,1,0)</x:f>
        <x:v>0</x:v>
      </x:c>
      <x:c r="AL18" t="n">
        <x:f>IF(OR(IF(LEN('Résultats détaillés'!E18)=0,FALSE,NOT(IF(ISNUMBER('Résultats détaillés'!E18),AND('Résultats détaillés'!E18&gt;=0,'Résultats détaillés'!E18&lt;=3,MOD('Résultats détaillés'!E18,1)=0),FALSE))),IF(LEN('Résultats détaillés'!F18)=0,FALSE,NOT(IF(ISNUMBER('Résultats détaillés'!F18),AND('Résultats détaillés'!F18&gt;=1,'Résultats détaillés'!F18&lt;=4,MOD('Résultats détaillés'!F18,1)=0),FALSE))),IF(LEN('Résultats détaillés'!H18)=0,FALSE,NOT(IF(ISNUMBER('Résultats détaillés'!H18),AND('Résultats détaillés'!H18&gt;=1,'Résultats détaillés'!H18&lt;=4,MOD('Résultats détaillés'!H18,1)=0),FALSE)))),1,0)</x:f>
        <x:v>0</x:v>
      </x:c>
      <x:c r="AM18" t="n">
        <x:f>IF(AND(ISNUMBER(AB18),AB18&gt;0,AK18=0),1,0)</x:f>
        <x:v>0</x:v>
      </x:c>
      <x:c r="AN18" t="n">
        <x:v>18</x:v>
      </x:c>
      <x:c r="AO18" t="n">
        <x:f>IF(AND(ISNUMBER(AB18),AB18&gt;0),1,0)</x:f>
        <x:v>0</x:v>
      </x:c>
      <x:c r="AP18" t="n">
        <x:f>IF(AND(AC18&gt;0,AH18=0),1,0)</x:f>
        <x:v>0</x:v>
      </x:c>
      <x:c r="AQ18" t="n">
        <x:f>IF(AND(AC18&gt;0,AJ18=0),1,0)</x:f>
        <x:v>0</x:v>
      </x:c>
      <x:c r="AR18" t="n">
        <x:f>IF(ISNUMBER(AB18),1,0)</x:f>
        <x:v>0</x:v>
      </x:c>
    </x:row>
    <x:row r="19" s="1211" customFormat="1" ht="24" customHeight="1">
      <x:c r="A19"/>
      <x:c r="B19" s="1949" t="str">
        <x:f>IF(D16=0,"Commencer par renseigner les notes dans les onglets ONR.",E16&amp;" cibles restent à évaluer. "&amp;(D16-G16)&amp;" sont non applicables. Les résultats portent sur "&amp;G16&amp;" cibles applicables évaluées.")</x:f>
        <x:v>Commencer par renseigner les notes dans les onglets ONR.</x:v>
      </x:c>
      <x:c r="C19" s="1949"/>
      <x:c r="D19" s="1949"/>
      <x:c r="E19" s="1949"/>
      <x:c r="F19" s="1949"/>
      <x:c r="G19" s="1949"/>
      <x:c r="H19" s="1949"/>
      <x:c r="I19" s="1949"/>
      <x:c r="J19" s="1949"/>
      <x:c r="K19" s="1949"/>
      <x:c r="L19" s="1949"/>
      <x:c r="M19" s="1949"/>
      <x:c r="AA19" t="n">
        <x:v>3</x:v>
      </x:c>
      <x:c r="AB19" t="str">
        <x:f>IF(ISNUMBER('Résultats détaillés'!T20),'Résultats détaillés'!T20,"")</x:f>
      </x:c>
      <x:c r="AC19" t="n">
        <x:f>IF(AND(ISNUMBER(AB19),AB19&gt;=5),AB19*100+19,0)</x:f>
        <x:v>0</x:v>
      </x:c>
      <x:c r="AD19" t="str">
        <x:f>IF(ISBLANK('Résultats détaillés'!B20),"",'Résultats détaillés'!B20)</x:f>
        <x:v>3.1</x:v>
      </x:c>
      <x:c r="AE19" t="str">
        <x:f>IF(ISBLANK('Résultats détaillés'!C20),"",'Résultats détaillés'!C20)</x:f>
        <x:v>Utiliser avec mesure les données des étudiants, des personnels et de la recherche, y compris les traces d'apprentissage collectées par le LMS, en respectant les personnes et l'environnement.</x:v>
      </x:c>
      <x:c r="AF19" t="str">
        <x:f>IF(ISBLANK('Résultats détaillés'!E20),"",'Résultats détaillés'!E20)</x:f>
      </x:c>
      <x:c r="AG19" t="str">
        <x:f>IF(ISBLANK('Résultats détaillés'!F20),"",'Résultats détaillés'!F20)</x:f>
      </x:c>
      <x:c r="AH19" t="n">
        <x:f>IF(ISNUMBER('Résultats détaillés'!H20),IF(AND('Résultats détaillés'!H20&gt;=1,'Résultats détaillés'!H20&lt;=4,MOD('Résultats détaillés'!H20,1)=0),'Résultats détaillés'!H20,0),0)</x:f>
        <x:v>0</x:v>
      </x:c>
      <x:c r="AI19" t="str">
        <x:f>IF(ISBLANK('Résultats détaillés'!W20),"",'Résultats détaillés'!W20)</x:f>
      </x:c>
      <x:c r="AJ19" t="n">
        <x:f>IF(LEN(TRIM(AI19))&gt;0,1,0)</x:f>
        <x:v>0</x:v>
      </x:c>
      <x:c r="AK19" t="n">
        <x:f>IF(LEN(TRIM('Résultats détaillés'!G20))&gt;0,1,0)</x:f>
        <x:v>0</x:v>
      </x:c>
      <x:c r="AL19" t="n">
        <x:f>IF(OR(IF(LEN('Résultats détaillés'!E20)=0,FALSE,NOT(IF(ISNUMBER('Résultats détaillés'!E20),AND('Résultats détaillés'!E20&gt;=0,'Résultats détaillés'!E20&lt;=3,MOD('Résultats détaillés'!E20,1)=0),FALSE))),IF(LEN('Résultats détaillés'!F20)=0,FALSE,NOT(IF(ISNUMBER('Résultats détaillés'!F20),AND('Résultats détaillés'!F20&gt;=1,'Résultats détaillés'!F20&lt;=4,MOD('Résultats détaillés'!F20,1)=0),FALSE))),IF(LEN('Résultats détaillés'!H20)=0,FALSE,NOT(IF(ISNUMBER('Résultats détaillés'!H20),AND('Résultats détaillés'!H20&gt;=1,'Résultats détaillés'!H20&lt;=4,MOD('Résultats détaillés'!H20,1)=0),FALSE)))),1,0)</x:f>
        <x:v>0</x:v>
      </x:c>
      <x:c r="AM19" t="n">
        <x:f>IF(AND(ISNUMBER(AB19),AB19&gt;0,AK19=0),1,0)</x:f>
        <x:v>0</x:v>
      </x:c>
      <x:c r="AN19" t="n">
        <x:v>20</x:v>
      </x:c>
      <x:c r="AO19" t="n">
        <x:f>IF(AND(ISNUMBER(AB19),AB19&gt;0),1,0)</x:f>
        <x:v>0</x:v>
      </x:c>
      <x:c r="AP19" t="n">
        <x:f>IF(AND(AC19&gt;0,AH19=0),1,0)</x:f>
        <x:v>0</x:v>
      </x:c>
      <x:c r="AQ19" t="n">
        <x:f>IF(AND(AC19&gt;0,AJ19=0),1,0)</x:f>
        <x:v>0</x:v>
      </x:c>
      <x:c r="AR19" t="n">
        <x:f>IF(ISNUMBER(AB19),1,0)</x:f>
        <x:v>0</x:v>
      </x:c>
    </x:row>
    <x:row r="20" s="1211" customFormat="1" ht="24" customHeight="1">
      <x:c r="A20"/>
      <x:c r="B20" s="1923"/>
      <x:c r="C20" s="1923"/>
      <x:c r="D20" s="1923"/>
      <x:c r="E20" s="1923"/>
      <x:c r="F20" s="1923"/>
      <x:c r="G20" s="1923"/>
      <x:c r="H20" s="1923"/>
      <x:c r="I20" s="1923"/>
      <x:c r="J20" s="1923"/>
      <x:c r="K20" s="1923"/>
      <x:c r="L20" s="1923"/>
      <x:c r="M20" s="1923"/>
      <x:c r="AA20" t="n">
        <x:v>3</x:v>
      </x:c>
      <x:c r="AB20" t="str">
        <x:f>IF(ISNUMBER('Résultats détaillés'!T21),'Résultats détaillés'!T21,"")</x:f>
      </x:c>
      <x:c r="AC20" t="n">
        <x:f>IF(AND(ISNUMBER(AB20),AB20&gt;=5),AB20*100+18,0)</x:f>
        <x:v>0</x:v>
      </x:c>
      <x:c r="AD20" t="str">
        <x:f>IF(ISBLANK('Résultats détaillés'!B21),"",'Résultats détaillés'!B21)</x:f>
        <x:v>3.2</x:v>
      </x:c>
      <x:c r="AE20" t="str">
        <x:f>IF(ISBLANK('Résultats détaillés'!C21),"",'Résultats détaillés'!C21)</x:f>
        <x:v>Supprimer des services numériques de l'établissement les interfaces qui trompent ou poussent les utilisateurs (« dark patterns »), et respecter la réglementation.</x:v>
      </x:c>
      <x:c r="AF20" t="str">
        <x:f>IF(ISBLANK('Résultats détaillés'!E21),"",'Résultats détaillés'!E21)</x:f>
      </x:c>
      <x:c r="AG20" t="str">
        <x:f>IF(ISBLANK('Résultats détaillés'!F21),"",'Résultats détaillés'!F21)</x:f>
      </x:c>
      <x:c r="AH20" t="n">
        <x:f>IF(ISNUMBER('Résultats détaillés'!H21),IF(AND('Résultats détaillés'!H21&gt;=1,'Résultats détaillés'!H21&lt;=4,MOD('Résultats détaillés'!H21,1)=0),'Résultats détaillés'!H21,0),0)</x:f>
        <x:v>0</x:v>
      </x:c>
      <x:c r="AI20" t="str">
        <x:f>IF(ISBLANK('Résultats détaillés'!W21),"",'Résultats détaillés'!W21)</x:f>
      </x:c>
      <x:c r="AJ20" t="n">
        <x:f>IF(LEN(TRIM(AI20))&gt;0,1,0)</x:f>
        <x:v>0</x:v>
      </x:c>
      <x:c r="AK20" t="n">
        <x:f>IF(LEN(TRIM('Résultats détaillés'!G21))&gt;0,1,0)</x:f>
        <x:v>0</x:v>
      </x:c>
      <x:c r="AL20" t="n">
        <x:f>IF(OR(IF(LEN('Résultats détaillés'!E21)=0,FALSE,NOT(IF(ISNUMBER('Résultats détaillés'!E21),AND('Résultats détaillés'!E21&gt;=0,'Résultats détaillés'!E21&lt;=3,MOD('Résultats détaillés'!E21,1)=0),FALSE))),IF(LEN('Résultats détaillés'!F21)=0,FALSE,NOT(IF(ISNUMBER('Résultats détaillés'!F21),AND('Résultats détaillés'!F21&gt;=1,'Résultats détaillés'!F21&lt;=4,MOD('Résultats détaillés'!F21,1)=0),FALSE))),IF(LEN('Résultats détaillés'!H21)=0,FALSE,NOT(IF(ISNUMBER('Résultats détaillés'!H21),AND('Résultats détaillés'!H21&gt;=1,'Résultats détaillés'!H21&lt;=4,MOD('Résultats détaillés'!H21,1)=0),FALSE)))),1,0)</x:f>
        <x:v>0</x:v>
      </x:c>
      <x:c r="AM20" t="n">
        <x:f>IF(AND(ISNUMBER(AB20),AB20&gt;0,AK20=0),1,0)</x:f>
        <x:v>0</x:v>
      </x:c>
      <x:c r="AN20" t="n">
        <x:v>21</x:v>
      </x:c>
      <x:c r="AO20" t="n">
        <x:f>IF(AND(ISNUMBER(AB20),AB20&gt;0),1,0)</x:f>
        <x:v>0</x:v>
      </x:c>
      <x:c r="AP20" t="n">
        <x:f>IF(AND(AC20&gt;0,AH20=0),1,0)</x:f>
        <x:v>0</x:v>
      </x:c>
      <x:c r="AQ20" t="n">
        <x:f>IF(AND(AC20&gt;0,AJ20=0),1,0)</x:f>
        <x:v>0</x:v>
      </x:c>
      <x:c r="AR20" t="n">
        <x:f>IF(ISNUMBER(AB20),1,0)</x:f>
        <x:v>0</x:v>
      </x:c>
    </x:row>
    <x:row r="21" s="1211" customFormat="1" ht="30" customHeight="1">
      <x:c r="A21"/>
      <x:c r="B21" s="1950" t="str">
        <x:v>Où concentrer les efforts ?</x:v>
      </x:c>
      <x:c r="C21" s="1951"/>
      <x:c r="D21" s="1951"/>
      <x:c r="E21" s="1951"/>
      <x:c r="F21" s="1951"/>
      <x:c r="G21" s="1951"/>
      <x:c r="H21" s="1951"/>
      <x:c r="I21" s="1951"/>
      <x:c r="J21" s="1951"/>
      <x:c r="K21" s="1951"/>
      <x:c r="L21" s="1951"/>
      <x:c r="M21" s="1952"/>
      <x:c r="AA21" t="n">
        <x:v>3</x:v>
      </x:c>
      <x:c r="AB21" t="str">
        <x:f>IF(ISNUMBER('Résultats détaillés'!T22),'Résultats détaillés'!T22,"")</x:f>
      </x:c>
      <x:c r="AC21" t="n">
        <x:f>IF(AND(ISNUMBER(AB21),AB21&gt;=5),AB21*100+17,0)</x:f>
        <x:v>0</x:v>
      </x:c>
      <x:c r="AD21" t="str">
        <x:f>IF(ISBLANK('Résultats détaillés'!B22),"",'Résultats détaillés'!B22)</x:f>
        <x:v>3.3</x:v>
      </x:c>
      <x:c r="AE21" t="str">
        <x:f>IF(ISBLANK('Résultats détaillés'!C22),"",'Résultats détaillés'!C22)</x:f>
        <x:v>Collecter seulement les données nécessaires dans les applications de scolarité, le LMS et les projets de recherche, et respecter le RGPD avec l'appui du délégué à la protection des données.</x:v>
      </x:c>
      <x:c r="AF21" t="str">
        <x:f>IF(ISBLANK('Résultats détaillés'!E22),"",'Résultats détaillés'!E22)</x:f>
      </x:c>
      <x:c r="AG21" t="str">
        <x:f>IF(ISBLANK('Résultats détaillés'!F22),"",'Résultats détaillés'!F22)</x:f>
      </x:c>
      <x:c r="AH21" t="n">
        <x:f>IF(ISNUMBER('Résultats détaillés'!H22),IF(AND('Résultats détaillés'!H22&gt;=1,'Résultats détaillés'!H22&lt;=4,MOD('Résultats détaillés'!H22,1)=0),'Résultats détaillés'!H22,0),0)</x:f>
        <x:v>0</x:v>
      </x:c>
      <x:c r="AI21" t="str">
        <x:f>IF(ISBLANK('Résultats détaillés'!W22),"",'Résultats détaillés'!W22)</x:f>
      </x:c>
      <x:c r="AJ21" t="n">
        <x:f>IF(LEN(TRIM(AI21))&gt;0,1,0)</x:f>
        <x:v>0</x:v>
      </x:c>
      <x:c r="AK21" t="n">
        <x:f>IF(LEN(TRIM('Résultats détaillés'!G22))&gt;0,1,0)</x:f>
        <x:v>0</x:v>
      </x:c>
      <x:c r="AL21" t="n">
        <x:f>IF(OR(IF(LEN('Résultats détaillés'!E22)=0,FALSE,NOT(IF(ISNUMBER('Résultats détaillés'!E22),AND('Résultats détaillés'!E22&gt;=0,'Résultats détaillés'!E22&lt;=3,MOD('Résultats détaillés'!E22,1)=0),FALSE))),IF(LEN('Résultats détaillés'!F22)=0,FALSE,NOT(IF(ISNUMBER('Résultats détaillés'!F22),AND('Résultats détaillés'!F22&gt;=1,'Résultats détaillés'!F22&lt;=4,MOD('Résultats détaillés'!F22,1)=0),FALSE))),IF(LEN('Résultats détaillés'!H22)=0,FALSE,NOT(IF(ISNUMBER('Résultats détaillés'!H22),AND('Résultats détaillés'!H22&gt;=1,'Résultats détaillés'!H22&lt;=4,MOD('Résultats détaillés'!H22,1)=0),FALSE)))),1,0)</x:f>
        <x:v>0</x:v>
      </x:c>
      <x:c r="AM21" t="n">
        <x:f>IF(AND(ISNUMBER(AB21),AB21&gt;0,AK21=0),1,0)</x:f>
        <x:v>0</x:v>
      </x:c>
      <x:c r="AN21" t="n">
        <x:v>22</x:v>
      </x:c>
      <x:c r="AO21" t="n">
        <x:f>IF(AND(ISNUMBER(AB21),AB21&gt;0),1,0)</x:f>
        <x:v>0</x:v>
      </x:c>
      <x:c r="AP21" t="n">
        <x:f>IF(AND(AC21&gt;0,AH21=0),1,0)</x:f>
        <x:v>0</x:v>
      </x:c>
      <x:c r="AQ21" t="n">
        <x:f>IF(AND(AC21&gt;0,AJ21=0),1,0)</x:f>
        <x:v>0</x:v>
      </x:c>
      <x:c r="AR21" t="n">
        <x:f>IF(ISNUMBER(AB21),1,0)</x:f>
        <x:v>0</x:v>
      </x:c>
    </x:row>
    <x:row r="22" s="1211" customFormat="1" ht="24" customHeight="1">
      <x:c r="A22"/>
      <x:c r="B22" s="1923"/>
      <x:c r="C22" s="1923"/>
      <x:c r="D22" s="1923"/>
      <x:c r="E22" s="1923"/>
      <x:c r="F22" s="1923"/>
      <x:c r="G22" s="1923"/>
      <x:c r="H22" s="1923"/>
      <x:c r="I22" s="1923"/>
      <x:c r="J22" s="1923"/>
      <x:c r="K22" s="1923"/>
      <x:c r="L22" s="1923"/>
      <x:c r="M22" s="1923"/>
      <x:c r="AA22" t="n">
        <x:v>3</x:v>
      </x:c>
      <x:c r="AB22" t="str">
        <x:f>IF(ISNUMBER('Résultats détaillés'!T23),'Résultats détaillés'!T23,"")</x:f>
      </x:c>
      <x:c r="AC22" t="n">
        <x:f>IF(AND(ISNUMBER(AB22),AB22&gt;=5),AB22*100+16,0)</x:f>
        <x:v>0</x:v>
      </x:c>
      <x:c r="AD22" t="str">
        <x:f>IF(ISBLANK('Résultats détaillés'!B23),"",'Résultats détaillés'!B23)</x:f>
        <x:v>3.4</x:v>
      </x:c>
      <x:c r="AE22" t="str">
        <x:f>IF(ISBLANK('Résultats détaillés'!C23),"",'Résultats détaillés'!C23)</x:f>
        <x:v>Diversifier les profils dans les formations et les métiers du numérique de l'établissement, en particulier la place des femmes.</x:v>
      </x:c>
      <x:c r="AF22" t="str">
        <x:f>IF(ISBLANK('Résultats détaillés'!E23),"",'Résultats détaillés'!E23)</x:f>
      </x:c>
      <x:c r="AG22" t="str">
        <x:f>IF(ISBLANK('Résultats détaillés'!F23),"",'Résultats détaillés'!F23)</x:f>
      </x:c>
      <x:c r="AH22" t="n">
        <x:f>IF(ISNUMBER('Résultats détaillés'!H23),IF(AND('Résultats détaillés'!H23&gt;=1,'Résultats détaillés'!H23&lt;=4,MOD('Résultats détaillés'!H23,1)=0),'Résultats détaillés'!H23,0),0)</x:f>
        <x:v>0</x:v>
      </x:c>
      <x:c r="AI22" t="str">
        <x:f>IF(ISBLANK('Résultats détaillés'!W23),"",'Résultats détaillés'!W23)</x:f>
      </x:c>
      <x:c r="AJ22" t="n">
        <x:f>IF(LEN(TRIM(AI22))&gt;0,1,0)</x:f>
        <x:v>0</x:v>
      </x:c>
      <x:c r="AK22" t="n">
        <x:f>IF(LEN(TRIM('Résultats détaillés'!G23))&gt;0,1,0)</x:f>
        <x:v>0</x:v>
      </x:c>
      <x:c r="AL22" t="n">
        <x:f>IF(OR(IF(LEN('Résultats détaillés'!E23)=0,FALSE,NOT(IF(ISNUMBER('Résultats détaillés'!E23),AND('Résultats détaillés'!E23&gt;=0,'Résultats détaillés'!E23&lt;=3,MOD('Résultats détaillés'!E23,1)=0),FALSE))),IF(LEN('Résultats détaillés'!F23)=0,FALSE,NOT(IF(ISNUMBER('Résultats détaillés'!F23),AND('Résultats détaillés'!F23&gt;=1,'Résultats détaillés'!F23&lt;=4,MOD('Résultats détaillés'!F23,1)=0),FALSE))),IF(LEN('Résultats détaillés'!H23)=0,FALSE,NOT(IF(ISNUMBER('Résultats détaillés'!H23),AND('Résultats détaillés'!H23&gt;=1,'Résultats détaillés'!H23&lt;=4,MOD('Résultats détaillés'!H23,1)=0),FALSE)))),1,0)</x:f>
        <x:v>0</x:v>
      </x:c>
      <x:c r="AM22" t="n">
        <x:f>IF(AND(ISNUMBER(AB22),AB22&gt;0,AK22=0),1,0)</x:f>
        <x:v>0</x:v>
      </x:c>
      <x:c r="AN22" t="n">
        <x:v>23</x:v>
      </x:c>
      <x:c r="AO22" t="n">
        <x:f>IF(AND(ISNUMBER(AB22),AB22&gt;0),1,0)</x:f>
        <x:v>0</x:v>
      </x:c>
      <x:c r="AP22" t="n">
        <x:f>IF(AND(AC22&gt;0,AH22=0),1,0)</x:f>
        <x:v>0</x:v>
      </x:c>
      <x:c r="AQ22" t="n">
        <x:f>IF(AND(AC22&gt;0,AJ22=0),1,0)</x:f>
        <x:v>0</x:v>
      </x:c>
      <x:c r="AR22" t="n">
        <x:f>IF(ISNUMBER(AB22),1,0)</x:f>
        <x:v>0</x:v>
      </x:c>
    </x:row>
    <x:row r="23" s="1211" customFormat="1" ht="24" customHeight="1">
      <x:c r="A23"/>
      <x:c r="B23" s="1923"/>
      <x:c r="C23" s="1923"/>
      <x:c r="D23" s="1923"/>
      <x:c r="E23" s="1923"/>
      <x:c r="F23" s="1923"/>
      <x:c r="G23" s="1923"/>
      <x:c r="H23" s="1923"/>
      <x:c r="I23" s="1923"/>
      <x:c r="J23" s="1923"/>
      <x:c r="K23" s="1923"/>
      <x:c r="L23" s="1923"/>
      <x:c r="M23" s="1923"/>
      <x:c r="AA23" t="n">
        <x:v>3</x:v>
      </x:c>
      <x:c r="AB23" t="str">
        <x:f>IF(ISNUMBER('Résultats détaillés'!T24),'Résultats détaillés'!T24,"")</x:f>
      </x:c>
      <x:c r="AC23" t="n">
        <x:f>IF(AND(ISNUMBER(AB23),AB23&gt;=5),AB23*100+15,0)</x:f>
        <x:v>0</x:v>
      </x:c>
      <x:c r="AD23" t="str">
        <x:f>IF(ISBLANK('Résultats détaillés'!B24),"",'Résultats détaillés'!B24)</x:f>
        <x:v>3.5</x:v>
      </x:c>
      <x:c r="AE23" t="str">
        <x:f>IF(ISBLANK('Résultats détaillés'!C24),"",'Résultats détaillés'!C24)</x:f>
        <x:v>Améliorer les conditions de travail des personnels du numérique, des doctorants et des contractuels, et les exiger des prestataires.</x:v>
      </x:c>
      <x:c r="AF23" t="str">
        <x:f>IF(ISBLANK('Résultats détaillés'!E24),"",'Résultats détaillés'!E24)</x:f>
      </x:c>
      <x:c r="AG23" t="str">
        <x:f>IF(ISBLANK('Résultats détaillés'!F24),"",'Résultats détaillés'!F24)</x:f>
      </x:c>
      <x:c r="AH23" t="n">
        <x:f>IF(ISNUMBER('Résultats détaillés'!H24),IF(AND('Résultats détaillés'!H24&gt;=1,'Résultats détaillés'!H24&lt;=4,MOD('Résultats détaillés'!H24,1)=0),'Résultats détaillés'!H24,0),0)</x:f>
        <x:v>0</x:v>
      </x:c>
      <x:c r="AI23" t="str">
        <x:f>IF(ISBLANK('Résultats détaillés'!W24),"",'Résultats détaillés'!W24)</x:f>
      </x:c>
      <x:c r="AJ23" t="n">
        <x:f>IF(LEN(TRIM(AI23))&gt;0,1,0)</x:f>
        <x:v>0</x:v>
      </x:c>
      <x:c r="AK23" t="n">
        <x:f>IF(LEN(TRIM('Résultats détaillés'!G24))&gt;0,1,0)</x:f>
        <x:v>0</x:v>
      </x:c>
      <x:c r="AL23" t="n">
        <x:f>IF(OR(IF(LEN('Résultats détaillés'!E24)=0,FALSE,NOT(IF(ISNUMBER('Résultats détaillés'!E24),AND('Résultats détaillés'!E24&gt;=0,'Résultats détaillés'!E24&lt;=3,MOD('Résultats détaillés'!E24,1)=0),FALSE))),IF(LEN('Résultats détaillés'!F24)=0,FALSE,NOT(IF(ISNUMBER('Résultats détaillés'!F24),AND('Résultats détaillés'!F24&gt;=1,'Résultats détaillés'!F24&lt;=4,MOD('Résultats détaillés'!F24,1)=0),FALSE))),IF(LEN('Résultats détaillés'!H24)=0,FALSE,NOT(IF(ISNUMBER('Résultats détaillés'!H24),AND('Résultats détaillés'!H24&gt;=1,'Résultats détaillés'!H24&lt;=4,MOD('Résultats détaillés'!H24,1)=0),FALSE)))),1,0)</x:f>
        <x:v>0</x:v>
      </x:c>
      <x:c r="AM23" t="n">
        <x:f>IF(AND(ISNUMBER(AB23),AB23&gt;0,AK23=0),1,0)</x:f>
        <x:v>0</x:v>
      </x:c>
      <x:c r="AN23" t="n">
        <x:v>24</x:v>
      </x:c>
      <x:c r="AO23" t="n">
        <x:f>IF(AND(ISNUMBER(AB23),AB23&gt;0),1,0)</x:f>
        <x:v>0</x:v>
      </x:c>
      <x:c r="AP23" t="n">
        <x:f>IF(AND(AC23&gt;0,AH23=0),1,0)</x:f>
        <x:v>0</x:v>
      </x:c>
      <x:c r="AQ23" t="n">
        <x:f>IF(AND(AC23&gt;0,AJ23=0),1,0)</x:f>
        <x:v>0</x:v>
      </x:c>
      <x:c r="AR23" t="n">
        <x:f>IF(ISNUMBER(AB23),1,0)</x:f>
        <x:v>0</x:v>
      </x:c>
    </x:row>
    <x:row r="24" s="1211" customFormat="1" ht="24" customHeight="1">
      <x:c r="A24"/>
      <x:c r="B24" s="1923"/>
      <x:c r="C24" s="1923"/>
      <x:c r="D24" s="1923"/>
      <x:c r="E24" s="1923"/>
      <x:c r="F24" s="1923"/>
      <x:c r="G24" s="1923"/>
      <x:c r="H24" s="1923"/>
      <x:c r="I24" s="1923"/>
      <x:c r="J24" s="1923"/>
      <x:c r="K24" s="1923"/>
      <x:c r="L24" s="1923"/>
      <x:c r="M24" s="1923"/>
      <x:c r="AA24" t="n">
        <x:v>3</x:v>
      </x:c>
      <x:c r="AB24" t="str">
        <x:f>IF(ISNUMBER('Résultats détaillés'!T25),'Résultats détaillés'!T25,"")</x:f>
      </x:c>
      <x:c r="AC24" t="n">
        <x:f>IF(AND(ISNUMBER(AB24),AB24&gt;=5),AB24*100+14,0)</x:f>
        <x:v>0</x:v>
      </x:c>
      <x:c r="AD24" t="str">
        <x:f>IF(ISBLANK('Résultats détaillés'!B25),"",'Résultats détaillés'!B25)</x:f>
        <x:v>3.6</x:v>
      </x:c>
      <x:c r="AE24" t="str">
        <x:f>IF(ISBLANK('Résultats détaillés'!C25),"",'Résultats détaillés'!C25)</x:f>
        <x:v>Fixer des règles éthiques pour les algorithmes et l'intelligence artificielle, en formation comme en recherche, avec le comité d'éthique de l'établissement.</x:v>
      </x:c>
      <x:c r="AF24" t="str">
        <x:f>IF(ISBLANK('Résultats détaillés'!E25),"",'Résultats détaillés'!E25)</x:f>
      </x:c>
      <x:c r="AG24" t="str">
        <x:f>IF(ISBLANK('Résultats détaillés'!F25),"",'Résultats détaillés'!F25)</x:f>
      </x:c>
      <x:c r="AH24" t="n">
        <x:f>IF(ISNUMBER('Résultats détaillés'!H25),IF(AND('Résultats détaillés'!H25&gt;=1,'Résultats détaillés'!H25&lt;=4,MOD('Résultats détaillés'!H25,1)=0),'Résultats détaillés'!H25,0),0)</x:f>
        <x:v>0</x:v>
      </x:c>
      <x:c r="AI24" t="str">
        <x:f>IF(ISBLANK('Résultats détaillés'!W25),"",'Résultats détaillés'!W25)</x:f>
      </x:c>
      <x:c r="AJ24" t="n">
        <x:f>IF(LEN(TRIM(AI24))&gt;0,1,0)</x:f>
        <x:v>0</x:v>
      </x:c>
      <x:c r="AK24" t="n">
        <x:f>IF(LEN(TRIM('Résultats détaillés'!G25))&gt;0,1,0)</x:f>
        <x:v>0</x:v>
      </x:c>
      <x:c r="AL24" t="n">
        <x:f>IF(OR(IF(LEN('Résultats détaillés'!E25)=0,FALSE,NOT(IF(ISNUMBER('Résultats détaillés'!E25),AND('Résultats détaillés'!E25&gt;=0,'Résultats détaillés'!E25&lt;=3,MOD('Résultats détaillés'!E25,1)=0),FALSE))),IF(LEN('Résultats détaillés'!F25)=0,FALSE,NOT(IF(ISNUMBER('Résultats détaillés'!F25),AND('Résultats détaillés'!F25&gt;=1,'Résultats détaillés'!F25&lt;=4,MOD('Résultats détaillés'!F25,1)=0),FALSE))),IF(LEN('Résultats détaillés'!H25)=0,FALSE,NOT(IF(ISNUMBER('Résultats détaillés'!H25),AND('Résultats détaillés'!H25&gt;=1,'Résultats détaillés'!H25&lt;=4,MOD('Résultats détaillés'!H25,1)=0),FALSE)))),1,0)</x:f>
        <x:v>0</x:v>
      </x:c>
      <x:c r="AM24" t="n">
        <x:f>IF(AND(ISNUMBER(AB24),AB24&gt;0,AK24=0),1,0)</x:f>
        <x:v>0</x:v>
      </x:c>
      <x:c r="AN24" t="n">
        <x:v>25</x:v>
      </x:c>
      <x:c r="AO24" t="n">
        <x:f>IF(AND(ISNUMBER(AB24),AB24&gt;0),1,0)</x:f>
        <x:v>0</x:v>
      </x:c>
      <x:c r="AP24" t="n">
        <x:f>IF(AND(AC24&gt;0,AH24=0),1,0)</x:f>
        <x:v>0</x:v>
      </x:c>
      <x:c r="AQ24" t="n">
        <x:f>IF(AND(AC24&gt;0,AJ24=0),1,0)</x:f>
        <x:v>0</x:v>
      </x:c>
      <x:c r="AR24" t="n">
        <x:f>IF(ISNUMBER(AB24),1,0)</x:f>
        <x:v>0</x:v>
      </x:c>
    </x:row>
    <x:row r="25" s="1211" customFormat="1" ht="24" customHeight="1">
      <x:c r="A25"/>
      <x:c r="B25" s="1923"/>
      <x:c r="C25" s="1923"/>
      <x:c r="D25" s="1923"/>
      <x:c r="E25" s="1923"/>
      <x:c r="F25" s="1923"/>
      <x:c r="G25" s="1923"/>
      <x:c r="H25" s="1923"/>
      <x:c r="I25" s="1923"/>
      <x:c r="J25" s="1923"/>
      <x:c r="K25" s="1923"/>
      <x:c r="L25" s="1923"/>
      <x:c r="M25" s="1923"/>
      <x:c r="AA25" t="n">
        <x:v>3</x:v>
      </x:c>
      <x:c r="AB25" t="str">
        <x:f>IF(ISNUMBER('Résultats détaillés'!T26),'Résultats détaillés'!T26,"")</x:f>
      </x:c>
      <x:c r="AC25" t="n">
        <x:f>IF(AND(ISNUMBER(AB25),AB25&gt;=5),AB25*100+13,0)</x:f>
        <x:v>0</x:v>
      </x:c>
      <x:c r="AD25" t="str">
        <x:f>IF(ISBLANK('Résultats détaillés'!B26),"",'Résultats détaillés'!B26)</x:f>
        <x:v>3.7</x:v>
      </x:c>
      <x:c r="AE25" t="str">
        <x:f>IF(ISBLANK('Résultats détaillés'!C26),"",'Résultats détaillés'!C26)</x:f>
        <x:v>Intégrer le numérique responsable à la démarche de développement durable et de responsabilité sociétale (DD&amp;RS) de l'établissement, et la faire connaître.</x:v>
      </x:c>
      <x:c r="AF25" t="str">
        <x:f>IF(ISBLANK('Résultats détaillés'!E26),"",'Résultats détaillés'!E26)</x:f>
      </x:c>
      <x:c r="AG25" t="str">
        <x:f>IF(ISBLANK('Résultats détaillés'!F26),"",'Résultats détaillés'!F26)</x:f>
      </x:c>
      <x:c r="AH25" t="n">
        <x:f>IF(ISNUMBER('Résultats détaillés'!H26),IF(AND('Résultats détaillés'!H26&gt;=1,'Résultats détaillés'!H26&lt;=4,MOD('Résultats détaillés'!H26,1)=0),'Résultats détaillés'!H26,0),0)</x:f>
        <x:v>0</x:v>
      </x:c>
      <x:c r="AI25" t="str">
        <x:f>IF(ISBLANK('Résultats détaillés'!W26),"",'Résultats détaillés'!W26)</x:f>
      </x:c>
      <x:c r="AJ25" t="n">
        <x:f>IF(LEN(TRIM(AI25))&gt;0,1,0)</x:f>
        <x:v>0</x:v>
      </x:c>
      <x:c r="AK25" t="n">
        <x:f>IF(LEN(TRIM('Résultats détaillés'!G26))&gt;0,1,0)</x:f>
        <x:v>0</x:v>
      </x:c>
      <x:c r="AL25" t="n">
        <x:f>IF(OR(IF(LEN('Résultats détaillés'!E26)=0,FALSE,NOT(IF(ISNUMBER('Résultats détaillés'!E26),AND('Résultats détaillés'!E26&gt;=0,'Résultats détaillés'!E26&lt;=3,MOD('Résultats détaillés'!E26,1)=0),FALSE))),IF(LEN('Résultats détaillés'!F26)=0,FALSE,NOT(IF(ISNUMBER('Résultats détaillés'!F26),AND('Résultats détaillés'!F26&gt;=1,'Résultats détaillés'!F26&lt;=4,MOD('Résultats détaillés'!F26,1)=0),FALSE))),IF(LEN('Résultats détaillés'!H26)=0,FALSE,NOT(IF(ISNUMBER('Résultats détaillés'!H26),AND('Résultats détaillés'!H26&gt;=1,'Résultats détaillés'!H26&lt;=4,MOD('Résultats détaillés'!H26,1)=0),FALSE)))),1,0)</x:f>
        <x:v>0</x:v>
      </x:c>
      <x:c r="AM25" t="n">
        <x:f>IF(AND(ISNUMBER(AB25),AB25&gt;0,AK25=0),1,0)</x:f>
        <x:v>0</x:v>
      </x:c>
      <x:c r="AN25" t="n">
        <x:v>26</x:v>
      </x:c>
      <x:c r="AO25" t="n">
        <x:f>IF(AND(ISNUMBER(AB25),AB25&gt;0),1,0)</x:f>
        <x:v>0</x:v>
      </x:c>
      <x:c r="AP25" t="n">
        <x:f>IF(AND(AC25&gt;0,AH25=0),1,0)</x:f>
        <x:v>0</x:v>
      </x:c>
      <x:c r="AQ25" t="n">
        <x:f>IF(AND(AC25&gt;0,AJ25=0),1,0)</x:f>
        <x:v>0</x:v>
      </x:c>
      <x:c r="AR25" t="n">
        <x:f>IF(ISNUMBER(AB25),1,0)</x:f>
        <x:v>0</x:v>
      </x:c>
    </x:row>
    <x:row r="26" s="1211" customFormat="1" ht="24" customHeight="1">
      <x:c r="A26"/>
      <x:c r="B26" s="1923"/>
      <x:c r="C26" s="1923"/>
      <x:c r="D26" s="1923"/>
      <x:c r="E26" s="1923"/>
      <x:c r="F26" s="1923"/>
      <x:c r="G26" s="1923"/>
      <x:c r="H26" s="1923"/>
      <x:c r="I26" s="1923"/>
      <x:c r="J26" s="1923"/>
      <x:c r="K26" s="1923"/>
      <x:c r="L26" s="1923"/>
      <x:c r="M26" s="1923"/>
      <x:c r="AA26" t="n">
        <x:v>3</x:v>
      </x:c>
      <x:c r="AB26" t="str">
        <x:f>IF(ISNUMBER('Résultats détaillés'!T27),'Résultats détaillés'!T27,"")</x:f>
      </x:c>
      <x:c r="AC26" t="n">
        <x:f>IF(AND(ISNUMBER(AB26),AB26&gt;=5),AB26*100+12,0)</x:f>
        <x:v>0</x:v>
      </x:c>
      <x:c r="AD26" t="str">
        <x:f>IF(ISBLANK('Résultats détaillés'!B27),"",'Résultats détaillés'!B27)</x:f>
        <x:v>3.8</x:v>
      </x:c>
      <x:c r="AE26" t="str">
        <x:f>IF(ISBLANK('Résultats détaillés'!C27),"",'Résultats détaillés'!C27)</x:f>
        <x:v>Indiquer quand une intelligence artificielle répond ou participe à une évaluation, expliquer comment elle décide, et garder une décision humaine pour les sujets sensibles : notes, admission, orientation, suspicion de plagiat.</x:v>
      </x:c>
      <x:c r="AF26" t="str">
        <x:f>IF(ISBLANK('Résultats détaillés'!E27),"",'Résultats détaillés'!E27)</x:f>
      </x:c>
      <x:c r="AG26" t="str">
        <x:f>IF(ISBLANK('Résultats détaillés'!F27),"",'Résultats détaillés'!F27)</x:f>
      </x:c>
      <x:c r="AH26" t="n">
        <x:f>IF(ISNUMBER('Résultats détaillés'!H27),IF(AND('Résultats détaillés'!H27&gt;=1,'Résultats détaillés'!H27&lt;=4,MOD('Résultats détaillés'!H27,1)=0),'Résultats détaillés'!H27,0),0)</x:f>
        <x:v>0</x:v>
      </x:c>
      <x:c r="AI26" t="str">
        <x:f>IF(ISBLANK('Résultats détaillés'!W27),"",'Résultats détaillés'!W27)</x:f>
      </x:c>
      <x:c r="AJ26" t="n">
        <x:f>IF(LEN(TRIM(AI26))&gt;0,1,0)</x:f>
        <x:v>0</x:v>
      </x:c>
      <x:c r="AK26" t="n">
        <x:f>IF(LEN(TRIM('Résultats détaillés'!G27))&gt;0,1,0)</x:f>
        <x:v>0</x:v>
      </x:c>
      <x:c r="AL26" t="n">
        <x:f>IF(OR(IF(LEN('Résultats détaillés'!E27)=0,FALSE,NOT(IF(ISNUMBER('Résultats détaillés'!E27),AND('Résultats détaillés'!E27&gt;=0,'Résultats détaillés'!E27&lt;=3,MOD('Résultats détaillés'!E27,1)=0),FALSE))),IF(LEN('Résultats détaillés'!F27)=0,FALSE,NOT(IF(ISNUMBER('Résultats détaillés'!F27),AND('Résultats détaillés'!F27&gt;=1,'Résultats détaillés'!F27&lt;=4,MOD('Résultats détaillés'!F27,1)=0),FALSE))),IF(LEN('Résultats détaillés'!H27)=0,FALSE,NOT(IF(ISNUMBER('Résultats détaillés'!H27),AND('Résultats détaillés'!H27&gt;=1,'Résultats détaillés'!H27&lt;=4,MOD('Résultats détaillés'!H27,1)=0),FALSE)))),1,0)</x:f>
        <x:v>0</x:v>
      </x:c>
      <x:c r="AM26" t="n">
        <x:f>IF(AND(ISNUMBER(AB26),AB26&gt;0,AK26=0),1,0)</x:f>
        <x:v>0</x:v>
      </x:c>
      <x:c r="AN26" t="n">
        <x:v>27</x:v>
      </x:c>
      <x:c r="AO26" t="n">
        <x:f>IF(AND(ISNUMBER(AB26),AB26&gt;0),1,0)</x:f>
        <x:v>0</x:v>
      </x:c>
      <x:c r="AP26" t="n">
        <x:f>IF(AND(AC26&gt;0,AH26=0),1,0)</x:f>
        <x:v>0</x:v>
      </x:c>
      <x:c r="AQ26" t="n">
        <x:f>IF(AND(AC26&gt;0,AJ26=0),1,0)</x:f>
        <x:v>0</x:v>
      </x:c>
      <x:c r="AR26" t="n">
        <x:f>IF(ISNUMBER(AB26),1,0)</x:f>
        <x:v>0</x:v>
      </x:c>
    </x:row>
    <x:row r="27" s="1211" customFormat="1" ht="24" customHeight="1">
      <x:c r="A27"/>
      <x:c r="B27" s="1923"/>
      <x:c r="C27" s="1923"/>
      <x:c r="D27" s="1923"/>
      <x:c r="E27" s="1923"/>
      <x:c r="F27" s="1923"/>
      <x:c r="G27" s="1923"/>
      <x:c r="H27" s="1923"/>
      <x:c r="I27" s="1923"/>
      <x:c r="J27" s="1923"/>
      <x:c r="K27" s="1923"/>
      <x:c r="L27" s="1923"/>
      <x:c r="M27" s="1923"/>
      <x:c r="AA27" t="n">
        <x:v>4</x:v>
      </x:c>
      <x:c r="AB27" t="str">
        <x:f>IF(ISNUMBER('Résultats détaillés'!T29),'Résultats détaillés'!T29,"")</x:f>
      </x:c>
      <x:c r="AC27" t="n">
        <x:f>IF(AND(ISNUMBER(AB27),AB27&gt;=5),AB27*100+11,0)</x:f>
        <x:v>0</x:v>
      </x:c>
      <x:c r="AD27" t="str">
        <x:f>IF(ISBLANK('Résultats détaillés'!B29),"",'Résultats détaillés'!B29)</x:f>
        <x:v>4.1</x:v>
      </x:c>
      <x:c r="AE27" t="str">
        <x:f>IF(ISBLANK('Résultats détaillés'!C29),"",'Résultats détaillés'!C29)</x:f>
        <x:v>Mesurer l'empreinte environnementale du numérique de l'établissement et des projets de recherche avec des méthodes communes, pour se comparer.</x:v>
      </x:c>
      <x:c r="AF27" t="str">
        <x:f>IF(ISBLANK('Résultats détaillés'!E29),"",'Résultats détaillés'!E29)</x:f>
      </x:c>
      <x:c r="AG27" t="str">
        <x:f>IF(ISBLANK('Résultats détaillés'!F29),"",'Résultats détaillés'!F29)</x:f>
      </x:c>
      <x:c r="AH27" t="n">
        <x:f>IF(ISNUMBER('Résultats détaillés'!H29),IF(AND('Résultats détaillés'!H29&gt;=1,'Résultats détaillés'!H29&lt;=4,MOD('Résultats détaillés'!H29,1)=0),'Résultats détaillés'!H29,0),0)</x:f>
        <x:v>0</x:v>
      </x:c>
      <x:c r="AI27" t="str">
        <x:f>IF(ISBLANK('Résultats détaillés'!W29),"",'Résultats détaillés'!W29)</x:f>
      </x:c>
      <x:c r="AJ27" t="n">
        <x:f>IF(LEN(TRIM(AI27))&gt;0,1,0)</x:f>
        <x:v>0</x:v>
      </x:c>
      <x:c r="AK27" t="n">
        <x:f>IF(LEN(TRIM('Résultats détaillés'!G29))&gt;0,1,0)</x:f>
        <x:v>0</x:v>
      </x:c>
      <x:c r="AL27" t="n">
        <x:f>IF(OR(IF(LEN('Résultats détaillés'!E29)=0,FALSE,NOT(IF(ISNUMBER('Résultats détaillés'!E29),AND('Résultats détaillés'!E29&gt;=0,'Résultats détaillés'!E29&lt;=3,MOD('Résultats détaillés'!E29,1)=0),FALSE))),IF(LEN('Résultats détaillés'!F29)=0,FALSE,NOT(IF(ISNUMBER('Résultats détaillés'!F29),AND('Résultats détaillés'!F29&gt;=1,'Résultats détaillés'!F29&lt;=4,MOD('Résultats détaillés'!F29,1)=0),FALSE))),IF(LEN('Résultats détaillés'!H29)=0,FALSE,NOT(IF(ISNUMBER('Résultats détaillés'!H29),AND('Résultats détaillés'!H29&gt;=1,'Résultats détaillés'!H29&lt;=4,MOD('Résultats détaillés'!H29,1)=0),FALSE)))),1,0)</x:f>
        <x:v>0</x:v>
      </x:c>
      <x:c r="AM27" t="n">
        <x:f>IF(AND(ISNUMBER(AB27),AB27&gt;0,AK27=0),1,0)</x:f>
        <x:v>0</x:v>
      </x:c>
      <x:c r="AN27" t="n">
        <x:v>29</x:v>
      </x:c>
      <x:c r="AO27" t="n">
        <x:f>IF(AND(ISNUMBER(AB27),AB27&gt;0),1,0)</x:f>
        <x:v>0</x:v>
      </x:c>
      <x:c r="AP27" t="n">
        <x:f>IF(AND(AC27&gt;0,AH27=0),1,0)</x:f>
        <x:v>0</x:v>
      </x:c>
      <x:c r="AQ27" t="n">
        <x:f>IF(AND(AC27&gt;0,AJ27=0),1,0)</x:f>
        <x:v>0</x:v>
      </x:c>
      <x:c r="AR27" t="n">
        <x:f>IF(ISNUMBER(AB27),1,0)</x:f>
        <x:v>0</x:v>
      </x:c>
    </x:row>
    <x:row r="28" s="1211" customFormat="1" ht="24" customHeight="1">
      <x:c r="A28"/>
      <x:c r="B28" s="1923"/>
      <x:c r="C28" s="1923"/>
      <x:c r="D28" s="1923"/>
      <x:c r="E28" s="1923"/>
      <x:c r="F28" s="1923"/>
      <x:c r="G28" s="1923"/>
      <x:c r="H28" s="1923"/>
      <x:c r="I28" s="1923"/>
      <x:c r="J28" s="1923"/>
      <x:c r="K28" s="1923"/>
      <x:c r="L28" s="1923"/>
      <x:c r="M28" s="1923"/>
      <x:c r="AA28" t="n">
        <x:v>4</x:v>
      </x:c>
      <x:c r="AB28" t="str">
        <x:f>IF(ISNUMBER('Résultats détaillés'!T30),'Résultats détaillés'!T30,"")</x:f>
      </x:c>
      <x:c r="AC28" t="n">
        <x:f>IF(AND(ISNUMBER(AB28),AB28&gt;=5),AB28*100+10,0)</x:f>
        <x:v>0</x:v>
      </x:c>
      <x:c r="AD28" t="str">
        <x:f>IF(ISBLANK('Résultats détaillés'!B30),"",'Résultats détaillés'!B30)</x:f>
        <x:v>4.2</x:v>
      </x:c>
      <x:c r="AE28" t="str">
        <x:f>IF(ISBLANK('Résultats détaillés'!C30),"",'Résultats détaillés'!C30)</x:f>
        <x:v>Évaluer les services numériques au fil du temps, avec les étudiants et les personnels, et partager les résultats.</x:v>
      </x:c>
      <x:c r="AF28" t="str">
        <x:f>IF(ISBLANK('Résultats détaillés'!E30),"",'Résultats détaillés'!E30)</x:f>
      </x:c>
      <x:c r="AG28" t="str">
        <x:f>IF(ISBLANK('Résultats détaillés'!F30),"",'Résultats détaillés'!F30)</x:f>
      </x:c>
      <x:c r="AH28" t="n">
        <x:f>IF(ISNUMBER('Résultats détaillés'!H30),IF(AND('Résultats détaillés'!H30&gt;=1,'Résultats détaillés'!H30&lt;=4,MOD('Résultats détaillés'!H30,1)=0),'Résultats détaillés'!H30,0),0)</x:f>
        <x:v>0</x:v>
      </x:c>
      <x:c r="AI28" t="str">
        <x:f>IF(ISBLANK('Résultats détaillés'!W30),"",'Résultats détaillés'!W30)</x:f>
      </x:c>
      <x:c r="AJ28" t="n">
        <x:f>IF(LEN(TRIM(AI28))&gt;0,1,0)</x:f>
        <x:v>0</x:v>
      </x:c>
      <x:c r="AK28" t="n">
        <x:f>IF(LEN(TRIM('Résultats détaillés'!G30))&gt;0,1,0)</x:f>
        <x:v>0</x:v>
      </x:c>
      <x:c r="AL28" t="n">
        <x:f>IF(OR(IF(LEN('Résultats détaillés'!E30)=0,FALSE,NOT(IF(ISNUMBER('Résultats détaillés'!E30),AND('Résultats détaillés'!E30&gt;=0,'Résultats détaillés'!E30&lt;=3,MOD('Résultats détaillés'!E30,1)=0),FALSE))),IF(LEN('Résultats détaillés'!F30)=0,FALSE,NOT(IF(ISNUMBER('Résultats détaillés'!F30),AND('Résultats détaillés'!F30&gt;=1,'Résultats détaillés'!F30&lt;=4,MOD('Résultats détaillés'!F30,1)=0),FALSE))),IF(LEN('Résultats détaillés'!H30)=0,FALSE,NOT(IF(ISNUMBER('Résultats détaillés'!H30),AND('Résultats détaillés'!H30&gt;=1,'Résultats détaillés'!H30&lt;=4,MOD('Résultats détaillés'!H30,1)=0),FALSE)))),1,0)</x:f>
        <x:v>0</x:v>
      </x:c>
      <x:c r="AM28" t="n">
        <x:f>IF(AND(ISNUMBER(AB28),AB28&gt;0,AK28=0),1,0)</x:f>
        <x:v>0</x:v>
      </x:c>
      <x:c r="AN28" t="n">
        <x:v>30</x:v>
      </x:c>
      <x:c r="AO28" t="n">
        <x:f>IF(AND(ISNUMBER(AB28),AB28&gt;0),1,0)</x:f>
        <x:v>0</x:v>
      </x:c>
      <x:c r="AP28" t="n">
        <x:f>IF(AND(AC28&gt;0,AH28=0),1,0)</x:f>
        <x:v>0</x:v>
      </x:c>
      <x:c r="AQ28" t="n">
        <x:f>IF(AND(AC28&gt;0,AJ28=0),1,0)</x:f>
        <x:v>0</x:v>
      </x:c>
      <x:c r="AR28" t="n">
        <x:f>IF(ISNUMBER(AB28),1,0)</x:f>
        <x:v>0</x:v>
      </x:c>
    </x:row>
    <x:row r="29" s="1211" customFormat="1" ht="24" customHeight="1">
      <x:c r="A29"/>
      <x:c r="B29" s="1923"/>
      <x:c r="C29" s="1923"/>
      <x:c r="D29" s="1923"/>
      <x:c r="E29" s="1923"/>
      <x:c r="F29" s="1923"/>
      <x:c r="G29" s="1923"/>
      <x:c r="H29" s="1923"/>
      <x:c r="I29" s="1923"/>
      <x:c r="J29" s="1923"/>
      <x:c r="K29" s="1923"/>
      <x:c r="L29" s="1923"/>
      <x:c r="M29" s="1923"/>
      <x:c r="AA29" t="n">
        <x:v>4</x:v>
      </x:c>
      <x:c r="AB29" t="str">
        <x:f>IF(ISNUMBER('Résultats détaillés'!T31),'Résultats détaillés'!T31,"")</x:f>
      </x:c>
      <x:c r="AC29" t="n">
        <x:f>IF(AND(ISNUMBER(AB29),AB29&gt;=5),AB29*100+9,0)</x:f>
        <x:v>0</x:v>
      </x:c>
      <x:c r="AD29" t="str">
        <x:f>IF(ISBLANK('Résultats détaillés'!B31),"",'Résultats détaillés'!B31)</x:f>
        <x:v>4.3</x:v>
      </x:c>
      <x:c r="AE29" t="str">
        <x:f>IF(ISBLANK('Résultats détaillés'!C31),"",'Résultats détaillés'!C31)</x:f>
        <x:v>Expérimenter de nouveaux outils pour la pédagogie et la recherche. Évaluer leurs effets et expliquer les résultats à celles et ceux qui les utilisent.</x:v>
      </x:c>
      <x:c r="AF29" t="str">
        <x:f>IF(ISBLANK('Résultats détaillés'!E31),"",'Résultats détaillés'!E31)</x:f>
      </x:c>
      <x:c r="AG29" t="str">
        <x:f>IF(ISBLANK('Résultats détaillés'!F31),"",'Résultats détaillés'!F31)</x:f>
      </x:c>
      <x:c r="AH29" t="n">
        <x:f>IF(ISNUMBER('Résultats détaillés'!H31),IF(AND('Résultats détaillés'!H31&gt;=1,'Résultats détaillés'!H31&lt;=4,MOD('Résultats détaillés'!H31,1)=0),'Résultats détaillés'!H31,0),0)</x:f>
        <x:v>0</x:v>
      </x:c>
      <x:c r="AI29" t="str">
        <x:f>IF(ISBLANK('Résultats détaillés'!W31),"",'Résultats détaillés'!W31)</x:f>
      </x:c>
      <x:c r="AJ29" t="n">
        <x:f>IF(LEN(TRIM(AI29))&gt;0,1,0)</x:f>
        <x:v>0</x:v>
      </x:c>
      <x:c r="AK29" t="n">
        <x:f>IF(LEN(TRIM('Résultats détaillés'!G31))&gt;0,1,0)</x:f>
        <x:v>0</x:v>
      </x:c>
      <x:c r="AL29" t="n">
        <x:f>IF(OR(IF(LEN('Résultats détaillés'!E31)=0,FALSE,NOT(IF(ISNUMBER('Résultats détaillés'!E31),AND('Résultats détaillés'!E31&gt;=0,'Résultats détaillés'!E31&lt;=3,MOD('Résultats détaillés'!E31,1)=0),FALSE))),IF(LEN('Résultats détaillés'!F31)=0,FALSE,NOT(IF(ISNUMBER('Résultats détaillés'!F31),AND('Résultats détaillés'!F31&gt;=1,'Résultats détaillés'!F31&lt;=4,MOD('Résultats détaillés'!F31,1)=0),FALSE))),IF(LEN('Résultats détaillés'!H31)=0,FALSE,NOT(IF(ISNUMBER('Résultats détaillés'!H31),AND('Résultats détaillés'!H31&gt;=1,'Résultats détaillés'!H31&lt;=4,MOD('Résultats détaillés'!H31,1)=0),FALSE)))),1,0)</x:f>
        <x:v>0</x:v>
      </x:c>
      <x:c r="AM29" t="n">
        <x:f>IF(AND(ISNUMBER(AB29),AB29&gt;0,AK29=0),1,0)</x:f>
        <x:v>0</x:v>
      </x:c>
      <x:c r="AN29" t="n">
        <x:v>31</x:v>
      </x:c>
      <x:c r="AO29" t="n">
        <x:f>IF(AND(ISNUMBER(AB29),AB29&gt;0),1,0)</x:f>
        <x:v>0</x:v>
      </x:c>
      <x:c r="AP29" t="n">
        <x:f>IF(AND(AC29&gt;0,AH29=0),1,0)</x:f>
        <x:v>0</x:v>
      </x:c>
      <x:c r="AQ29" t="n">
        <x:f>IF(AND(AC29&gt;0,AJ29=0),1,0)</x:f>
        <x:v>0</x:v>
      </x:c>
      <x:c r="AR29" t="n">
        <x:f>IF(ISNUMBER(AB29),1,0)</x:f>
        <x:v>0</x:v>
      </x:c>
    </x:row>
    <x:row r="30" s="1211" customFormat="1" ht="24" customHeight="1">
      <x:c r="A30"/>
      <x:c r="B30" s="1923"/>
      <x:c r="C30" s="1923"/>
      <x:c r="D30" s="1923"/>
      <x:c r="E30" s="1923"/>
      <x:c r="F30" s="1923"/>
      <x:c r="G30" s="1923"/>
      <x:c r="H30" s="1923"/>
      <x:c r="I30" s="1923"/>
      <x:c r="J30" s="1923"/>
      <x:c r="K30" s="1923"/>
      <x:c r="L30" s="1923"/>
      <x:c r="M30" s="1923"/>
      <x:c r="AA30" t="n">
        <x:v>4</x:v>
      </x:c>
      <x:c r="AB30" t="str">
        <x:f>IF(ISNUMBER('Résultats détaillés'!T32),'Résultats détaillés'!T32,"")</x:f>
      </x:c>
      <x:c r="AC30" t="n">
        <x:f>IF(AND(ISNUMBER(AB30),AB30&gt;=5),AB30*100+8,0)</x:f>
        <x:v>0</x:v>
      </x:c>
      <x:c r="AD30" t="str">
        <x:f>IF(ISBLANK('Résultats détaillés'!B32),"",'Résultats détaillés'!B32)</x:f>
        <x:v>4.4</x:v>
      </x:c>
      <x:c r="AE30" t="str">
        <x:f>IF(ISBLANK('Résultats détaillés'!C32),"",'Résultats détaillés'!C32)</x:f>
        <x:v>Garder la maîtrise des données de recherche et de formation, des outils et des choix techniques : logiciels libres (Moodle, BigBlueButton, Nextcloud), hébergement de confiance, infrastructures mutualisées de l'enseignement supérieur et de la recherche (RENATER, mésocentres).</x:v>
      </x:c>
      <x:c r="AF30" t="str">
        <x:f>IF(ISBLANK('Résultats détaillés'!E32),"",'Résultats détaillés'!E32)</x:f>
      </x:c>
      <x:c r="AG30" t="str">
        <x:f>IF(ISBLANK('Résultats détaillés'!F32),"",'Résultats détaillés'!F32)</x:f>
      </x:c>
      <x:c r="AH30" t="n">
        <x:f>IF(ISNUMBER('Résultats détaillés'!H32),IF(AND('Résultats détaillés'!H32&gt;=1,'Résultats détaillés'!H32&lt;=4,MOD('Résultats détaillés'!H32,1)=0),'Résultats détaillés'!H32,0),0)</x:f>
        <x:v>0</x:v>
      </x:c>
      <x:c r="AI30" t="str">
        <x:f>IF(ISBLANK('Résultats détaillés'!W32),"",'Résultats détaillés'!W32)</x:f>
      </x:c>
      <x:c r="AJ30" t="n">
        <x:f>IF(LEN(TRIM(AI30))&gt;0,1,0)</x:f>
        <x:v>0</x:v>
      </x:c>
      <x:c r="AK30" t="n">
        <x:f>IF(LEN(TRIM('Résultats détaillés'!G32))&gt;0,1,0)</x:f>
        <x:v>0</x:v>
      </x:c>
      <x:c r="AL30" t="n">
        <x:f>IF(OR(IF(LEN('Résultats détaillés'!E32)=0,FALSE,NOT(IF(ISNUMBER('Résultats détaillés'!E32),AND('Résultats détaillés'!E32&gt;=0,'Résultats détaillés'!E32&lt;=3,MOD('Résultats détaillés'!E32,1)=0),FALSE))),IF(LEN('Résultats détaillés'!F32)=0,FALSE,NOT(IF(ISNUMBER('Résultats détaillés'!F32),AND('Résultats détaillés'!F32&gt;=1,'Résultats détaillés'!F32&lt;=4,MOD('Résultats détaillés'!F32,1)=0),FALSE))),IF(LEN('Résultats détaillés'!H32)=0,FALSE,NOT(IF(ISNUMBER('Résultats détaillés'!H32),AND('Résultats détaillés'!H32&gt;=1,'Résultats détaillés'!H32&lt;=4,MOD('Résultats détaillés'!H32,1)=0),FALSE)))),1,0)</x:f>
        <x:v>0</x:v>
      </x:c>
      <x:c r="AM30" t="n">
        <x:f>IF(AND(ISNUMBER(AB30),AB30&gt;0,AK30=0),1,0)</x:f>
        <x:v>0</x:v>
      </x:c>
      <x:c r="AN30" t="n">
        <x:v>32</x:v>
      </x:c>
      <x:c r="AO30" t="n">
        <x:f>IF(AND(ISNUMBER(AB30),AB30&gt;0),1,0)</x:f>
        <x:v>0</x:v>
      </x:c>
      <x:c r="AP30" t="n">
        <x:f>IF(AND(AC30&gt;0,AH30=0),1,0)</x:f>
        <x:v>0</x:v>
      </x:c>
      <x:c r="AQ30" t="n">
        <x:f>IF(AND(AC30&gt;0,AJ30=0),1,0)</x:f>
        <x:v>0</x:v>
      </x:c>
      <x:c r="AR30" t="n">
        <x:f>IF(ISNUMBER(AB30),1,0)</x:f>
        <x:v>0</x:v>
      </x:c>
    </x:row>
    <x:row r="31" s="1211" customFormat="1" ht="24" customHeight="1">
      <x:c r="A31"/>
      <x:c r="B31" s="1923"/>
      <x:c r="C31" s="1923"/>
      <x:c r="D31" s="1923"/>
      <x:c r="E31" s="1923"/>
      <x:c r="F31" s="1923"/>
      <x:c r="G31" s="1923"/>
      <x:c r="H31" s="1923"/>
      <x:c r="I31" s="1923"/>
      <x:c r="J31" s="1923"/>
      <x:c r="K31" s="1923"/>
      <x:c r="L31" s="1923"/>
      <x:c r="M31" s="1923"/>
      <x:c r="AA31" t="n">
        <x:v>5</x:v>
      </x:c>
      <x:c r="AB31" t="str">
        <x:f>IF(ISNUMBER('Résultats détaillés'!T34),'Résultats détaillés'!T34,"")</x:f>
      </x:c>
      <x:c r="AC31" t="n">
        <x:f>IF(AND(ISNUMBER(AB31),AB31&gt;=5),AB31*100+7,0)</x:f>
        <x:v>0</x:v>
      </x:c>
      <x:c r="AD31" t="str">
        <x:f>IF(ISBLANK('Résultats détaillés'!B34),"",'Résultats détaillés'!B34)</x:f>
        <x:v>5.1</x:v>
      </x:c>
      <x:c r="AE31" t="str">
        <x:f>IF(ISBLANK('Résultats détaillés'!C34),"",'Résultats détaillés'!C34)</x:f>
        <x:v>Concevoir les services numériques en réponse aux besoins sociaux des étudiants et des personnels : précarité, éloignement, handicap.</x:v>
      </x:c>
      <x:c r="AF31" t="str">
        <x:f>IF(ISBLANK('Résultats détaillés'!E34),"",'Résultats détaillés'!E34)</x:f>
      </x:c>
      <x:c r="AG31" t="str">
        <x:f>IF(ISBLANK('Résultats détaillés'!F34),"",'Résultats détaillés'!F34)</x:f>
      </x:c>
      <x:c r="AH31" t="n">
        <x:f>IF(ISNUMBER('Résultats détaillés'!H34),IF(AND('Résultats détaillés'!H34&gt;=1,'Résultats détaillés'!H34&lt;=4,MOD('Résultats détaillés'!H34,1)=0),'Résultats détaillés'!H34,0),0)</x:f>
        <x:v>0</x:v>
      </x:c>
      <x:c r="AI31" t="str">
        <x:f>IF(ISBLANK('Résultats détaillés'!W34),"",'Résultats détaillés'!W34)</x:f>
      </x:c>
      <x:c r="AJ31" t="n">
        <x:f>IF(LEN(TRIM(AI31))&gt;0,1,0)</x:f>
        <x:v>0</x:v>
      </x:c>
      <x:c r="AK31" t="n">
        <x:f>IF(LEN(TRIM('Résultats détaillés'!G34))&gt;0,1,0)</x:f>
        <x:v>0</x:v>
      </x:c>
      <x:c r="AL31" t="n">
        <x:f>IF(OR(IF(LEN('Résultats détaillés'!E34)=0,FALSE,NOT(IF(ISNUMBER('Résultats détaillés'!E34),AND('Résultats détaillés'!E34&gt;=0,'Résultats détaillés'!E34&lt;=3,MOD('Résultats détaillés'!E34,1)=0),FALSE))),IF(LEN('Résultats détaillés'!F34)=0,FALSE,NOT(IF(ISNUMBER('Résultats détaillés'!F34),AND('Résultats détaillés'!F34&gt;=1,'Résultats détaillés'!F34&lt;=4,MOD('Résultats détaillés'!F34,1)=0),FALSE))),IF(LEN('Résultats détaillés'!H34)=0,FALSE,NOT(IF(ISNUMBER('Résultats détaillés'!H34),AND('Résultats détaillés'!H34&gt;=1,'Résultats détaillés'!H34&lt;=4,MOD('Résultats détaillés'!H34,1)=0),FALSE)))),1,0)</x:f>
        <x:v>0</x:v>
      </x:c>
      <x:c r="AM31" t="n">
        <x:f>IF(AND(ISNUMBER(AB31),AB31&gt;0,AK31=0),1,0)</x:f>
        <x:v>0</x:v>
      </x:c>
      <x:c r="AN31" t="n">
        <x:v>34</x:v>
      </x:c>
      <x:c r="AO31" t="n">
        <x:f>IF(AND(ISNUMBER(AB31),AB31&gt;0),1,0)</x:f>
        <x:v>0</x:v>
      </x:c>
      <x:c r="AP31" t="n">
        <x:f>IF(AND(AC31&gt;0,AH31=0),1,0)</x:f>
        <x:v>0</x:v>
      </x:c>
      <x:c r="AQ31" t="n">
        <x:f>IF(AND(AC31&gt;0,AJ31=0),1,0)</x:f>
        <x:v>0</x:v>
      </x:c>
      <x:c r="AR31" t="n">
        <x:f>IF(ISNUMBER(AB31),1,0)</x:f>
        <x:v>0</x:v>
      </x:c>
    </x:row>
    <x:row r="32" s="1211" customFormat="1" ht="24" customHeight="1">
      <x:c r="A32"/>
      <x:c r="B32" s="1923"/>
      <x:c r="C32" s="1923"/>
      <x:c r="D32" s="1923"/>
      <x:c r="E32" s="1923"/>
      <x:c r="F32" s="1923"/>
      <x:c r="G32" s="1923"/>
      <x:c r="H32" s="1923"/>
      <x:c r="I32" s="1923"/>
      <x:c r="J32" s="1923"/>
      <x:c r="K32" s="1923"/>
      <x:c r="L32" s="1923"/>
      <x:c r="M32" s="1923"/>
      <x:c r="AA32" t="n">
        <x:v>5</x:v>
      </x:c>
      <x:c r="AB32" t="str">
        <x:f>IF(ISNUMBER('Résultats détaillés'!T35),'Résultats détaillés'!T35,"")</x:f>
      </x:c>
      <x:c r="AC32" t="n">
        <x:f>IF(AND(ISNUMBER(AB32),AB32&gt;=5),AB32*100+6,0)</x:f>
        <x:v>0</x:v>
      </x:c>
      <x:c r="AD32" t="str">
        <x:f>IF(ISBLANK('Résultats détaillés'!B35),"",'Résultats détaillés'!B35)</x:f>
        <x:v>5.2</x:v>
      </x:c>
      <x:c r="AE32" t="str">
        <x:f>IF(ISBLANK('Résultats détaillés'!C35),"",'Résultats détaillés'!C35)</x:f>
        <x:v>Faire connaître et soutenir les initiatives des personnels et des étudiants qui encouragent la coopération entre services et le bien-être au travail et aux études.</x:v>
      </x:c>
      <x:c r="AF32" t="str">
        <x:f>IF(ISBLANK('Résultats détaillés'!E35),"",'Résultats détaillés'!E35)</x:f>
      </x:c>
      <x:c r="AG32" t="str">
        <x:f>IF(ISBLANK('Résultats détaillés'!F35),"",'Résultats détaillés'!F35)</x:f>
      </x:c>
      <x:c r="AH32" t="n">
        <x:f>IF(ISNUMBER('Résultats détaillés'!H35),IF(AND('Résultats détaillés'!H35&gt;=1,'Résultats détaillés'!H35&lt;=4,MOD('Résultats détaillés'!H35,1)=0),'Résultats détaillés'!H35,0),0)</x:f>
        <x:v>0</x:v>
      </x:c>
      <x:c r="AI32" t="str">
        <x:f>IF(ISBLANK('Résultats détaillés'!W35),"",'Résultats détaillés'!W35)</x:f>
      </x:c>
      <x:c r="AJ32" t="n">
        <x:f>IF(LEN(TRIM(AI32))&gt;0,1,0)</x:f>
        <x:v>0</x:v>
      </x:c>
      <x:c r="AK32" t="n">
        <x:f>IF(LEN(TRIM('Résultats détaillés'!G35))&gt;0,1,0)</x:f>
        <x:v>0</x:v>
      </x:c>
      <x:c r="AL32" t="n">
        <x:f>IF(OR(IF(LEN('Résultats détaillés'!E35)=0,FALSE,NOT(IF(ISNUMBER('Résultats détaillés'!E35),AND('Résultats détaillés'!E35&gt;=0,'Résultats détaillés'!E35&lt;=3,MOD('Résultats détaillés'!E35,1)=0),FALSE))),IF(LEN('Résultats détaillés'!F35)=0,FALSE,NOT(IF(ISNUMBER('Résultats détaillés'!F35),AND('Résultats détaillés'!F35&gt;=1,'Résultats détaillés'!F35&lt;=4,MOD('Résultats détaillés'!F35,1)=0),FALSE))),IF(LEN('Résultats détaillés'!H35)=0,FALSE,NOT(IF(ISNUMBER('Résultats détaillés'!H35),AND('Résultats détaillés'!H35&gt;=1,'Résultats détaillés'!H35&lt;=4,MOD('Résultats détaillés'!H35,1)=0),FALSE)))),1,0)</x:f>
        <x:v>0</x:v>
      </x:c>
      <x:c r="AM32" t="n">
        <x:f>IF(AND(ISNUMBER(AB32),AB32&gt;0,AK32=0),1,0)</x:f>
        <x:v>0</x:v>
      </x:c>
      <x:c r="AN32" t="n">
        <x:v>35</x:v>
      </x:c>
      <x:c r="AO32" t="n">
        <x:f>IF(AND(ISNUMBER(AB32),AB32&gt;0),1,0)</x:f>
        <x:v>0</x:v>
      </x:c>
      <x:c r="AP32" t="n">
        <x:f>IF(AND(AC32&gt;0,AH32=0),1,0)</x:f>
        <x:v>0</x:v>
      </x:c>
      <x:c r="AQ32" t="n">
        <x:f>IF(AND(AC32&gt;0,AJ32=0),1,0)</x:f>
        <x:v>0</x:v>
      </x:c>
      <x:c r="AR32" t="n">
        <x:f>IF(ISNUMBER(AB32),1,0)</x:f>
        <x:v>0</x:v>
      </x:c>
    </x:row>
    <x:row r="33" s="1211" customFormat="1" ht="24" customHeight="1">
      <x:c r="A33"/>
      <x:c r="B33" s="1923"/>
      <x:c r="C33" s="1923"/>
      <x:c r="D33" s="1923"/>
      <x:c r="E33" s="1923"/>
      <x:c r="F33" s="1923"/>
      <x:c r="G33" s="1923"/>
      <x:c r="H33" s="1923"/>
      <x:c r="I33" s="1923"/>
      <x:c r="J33" s="1923"/>
      <x:c r="K33" s="1923"/>
      <x:c r="L33" s="1923"/>
      <x:c r="M33" s="1923"/>
      <x:c r="AA33" t="n">
        <x:v>5</x:v>
      </x:c>
      <x:c r="AB33" t="str">
        <x:f>IF(ISNUMBER('Résultats détaillés'!T36),'Résultats détaillés'!T36,"")</x:f>
      </x:c>
      <x:c r="AC33" t="n">
        <x:f>IF(AND(ISNUMBER(AB33),AB33&gt;=5),AB33*100+5,0)</x:f>
        <x:v>0</x:v>
      </x:c>
      <x:c r="AD33" t="str">
        <x:f>IF(ISBLANK('Résultats détaillés'!B36),"",'Résultats détaillés'!B36)</x:f>
        <x:v>5.3</x:v>
      </x:c>
      <x:c r="AE33" t="str">
        <x:f>IF(ISBLANK('Résultats détaillés'!C36),"",'Résultats détaillés'!C36)</x:f>
        <x:v>Associer les étudiants, les personnels, les chercheurs et les partenaires du territoire aux choix numériques, en s'appuyant sur leur expertise.</x:v>
      </x:c>
      <x:c r="AF33" t="str">
        <x:f>IF(ISBLANK('Résultats détaillés'!E36),"",'Résultats détaillés'!E36)</x:f>
      </x:c>
      <x:c r="AG33" t="str">
        <x:f>IF(ISBLANK('Résultats détaillés'!F36),"",'Résultats détaillés'!F36)</x:f>
      </x:c>
      <x:c r="AH33" t="n">
        <x:f>IF(ISNUMBER('Résultats détaillés'!H36),IF(AND('Résultats détaillés'!H36&gt;=1,'Résultats détaillés'!H36&lt;=4,MOD('Résultats détaillés'!H36,1)=0),'Résultats détaillés'!H36,0),0)</x:f>
        <x:v>0</x:v>
      </x:c>
      <x:c r="AI33" t="str">
        <x:f>IF(ISBLANK('Résultats détaillés'!W36),"",'Résultats détaillés'!W36)</x:f>
      </x:c>
      <x:c r="AJ33" t="n">
        <x:f>IF(LEN(TRIM(AI33))&gt;0,1,0)</x:f>
        <x:v>0</x:v>
      </x:c>
      <x:c r="AK33" t="n">
        <x:f>IF(LEN(TRIM('Résultats détaillés'!G36))&gt;0,1,0)</x:f>
        <x:v>0</x:v>
      </x:c>
      <x:c r="AL33" t="n">
        <x:f>IF(OR(IF(LEN('Résultats détaillés'!E36)=0,FALSE,NOT(IF(ISNUMBER('Résultats détaillés'!E36),AND('Résultats détaillés'!E36&gt;=0,'Résultats détaillés'!E36&lt;=3,MOD('Résultats détaillés'!E36,1)=0),FALSE))),IF(LEN('Résultats détaillés'!F36)=0,FALSE,NOT(IF(ISNUMBER('Résultats détaillés'!F36),AND('Résultats détaillés'!F36&gt;=1,'Résultats détaillés'!F36&lt;=4,MOD('Résultats détaillés'!F36,1)=0),FALSE))),IF(LEN('Résultats détaillés'!H36)=0,FALSE,NOT(IF(ISNUMBER('Résultats détaillés'!H36),AND('Résultats détaillés'!H36&gt;=1,'Résultats détaillés'!H36&lt;=4,MOD('Résultats détaillés'!H36,1)=0),FALSE)))),1,0)</x:f>
        <x:v>0</x:v>
      </x:c>
      <x:c r="AM33" t="n">
        <x:f>IF(AND(ISNUMBER(AB33),AB33&gt;0,AK33=0),1,0)</x:f>
        <x:v>0</x:v>
      </x:c>
      <x:c r="AN33" t="n">
        <x:v>36</x:v>
      </x:c>
      <x:c r="AO33" t="n">
        <x:f>IF(AND(ISNUMBER(AB33),AB33&gt;0),1,0)</x:f>
        <x:v>0</x:v>
      </x:c>
      <x:c r="AP33" t="n">
        <x:f>IF(AND(AC33&gt;0,AH33=0),1,0)</x:f>
        <x:v>0</x:v>
      </x:c>
      <x:c r="AQ33" t="n">
        <x:f>IF(AND(AC33&gt;0,AJ33=0),1,0)</x:f>
        <x:v>0</x:v>
      </x:c>
      <x:c r="AR33" t="n">
        <x:f>IF(ISNUMBER(AB33),1,0)</x:f>
        <x:v>0</x:v>
      </x:c>
    </x:row>
    <x:row r="34" s="1211" customFormat="1" ht="24" customHeight="1">
      <x:c r="A34"/>
      <x:c r="B34" s="1923"/>
      <x:c r="C34" s="1923"/>
      <x:c r="D34" s="1923"/>
      <x:c r="E34" s="1923"/>
      <x:c r="F34" s="1923"/>
      <x:c r="G34" s="1923"/>
      <x:c r="H34" s="1923"/>
      <x:c r="I34" s="1923"/>
      <x:c r="J34" s="1923"/>
      <x:c r="K34" s="1923"/>
      <x:c r="L34" s="1923"/>
      <x:c r="M34" s="1923"/>
      <x:c r="AA34" t="n">
        <x:v>5</x:v>
      </x:c>
      <x:c r="AB34" t="str">
        <x:f>IF(ISNUMBER('Résultats détaillés'!T37),'Résultats détaillés'!T37,"")</x:f>
      </x:c>
      <x:c r="AC34" t="n">
        <x:f>IF(AND(ISNUMBER(AB34),AB34&gt;=5),AB34*100+4,0)</x:f>
        <x:v>0</x:v>
      </x:c>
      <x:c r="AD34" t="str">
        <x:f>IF(ISBLANK('Résultats détaillés'!B37),"",'Résultats détaillés'!B37)</x:f>
        <x:v>5.4</x:v>
      </x:c>
      <x:c r="AE34" t="str">
        <x:f>IF(ISBLANK('Résultats détaillés'!C37),"",'Résultats détaillés'!C37)</x:f>
        <x:v>Former des diplômés capables d'innover pour mieux vivre ensemble et préserver les écosystèmes, en intégrant le numérique responsable dans les formations.</x:v>
      </x:c>
      <x:c r="AF34" t="str">
        <x:f>IF(ISBLANK('Résultats détaillés'!E37),"",'Résultats détaillés'!E37)</x:f>
      </x:c>
      <x:c r="AG34" t="str">
        <x:f>IF(ISBLANK('Résultats détaillés'!F37),"",'Résultats détaillés'!F37)</x:f>
      </x:c>
      <x:c r="AH34" t="n">
        <x:f>IF(ISNUMBER('Résultats détaillés'!H37),IF(AND('Résultats détaillés'!H37&gt;=1,'Résultats détaillés'!H37&lt;=4,MOD('Résultats détaillés'!H37,1)=0),'Résultats détaillés'!H37,0),0)</x:f>
        <x:v>0</x:v>
      </x:c>
      <x:c r="AI34" t="str">
        <x:f>IF(ISBLANK('Résultats détaillés'!W37),"",'Résultats détaillés'!W37)</x:f>
      </x:c>
      <x:c r="AJ34" t="n">
        <x:f>IF(LEN(TRIM(AI34))&gt;0,1,0)</x:f>
        <x:v>0</x:v>
      </x:c>
      <x:c r="AK34" t="n">
        <x:f>IF(LEN(TRIM('Résultats détaillés'!G37))&gt;0,1,0)</x:f>
        <x:v>0</x:v>
      </x:c>
      <x:c r="AL34" t="n">
        <x:f>IF(OR(IF(LEN('Résultats détaillés'!E37)=0,FALSE,NOT(IF(ISNUMBER('Résultats détaillés'!E37),AND('Résultats détaillés'!E37&gt;=0,'Résultats détaillés'!E37&lt;=3,MOD('Résultats détaillés'!E37,1)=0),FALSE))),IF(LEN('Résultats détaillés'!F37)=0,FALSE,NOT(IF(ISNUMBER('Résultats détaillés'!F37),AND('Résultats détaillés'!F37&gt;=1,'Résultats détaillés'!F37&lt;=4,MOD('Résultats détaillés'!F37,1)=0),FALSE))),IF(LEN('Résultats détaillés'!H37)=0,FALSE,NOT(IF(ISNUMBER('Résultats détaillés'!H37),AND('Résultats détaillés'!H37&gt;=1,'Résultats détaillés'!H37&lt;=4,MOD('Résultats détaillés'!H37,1)=0),FALSE)))),1,0)</x:f>
        <x:v>0</x:v>
      </x:c>
      <x:c r="AM34" t="n">
        <x:f>IF(AND(ISNUMBER(AB34),AB34&gt;0,AK34=0),1,0)</x:f>
        <x:v>0</x:v>
      </x:c>
      <x:c r="AN34" t="n">
        <x:v>37</x:v>
      </x:c>
      <x:c r="AO34" t="n">
        <x:f>IF(AND(ISNUMBER(AB34),AB34&gt;0),1,0)</x:f>
        <x:v>0</x:v>
      </x:c>
      <x:c r="AP34" t="n">
        <x:f>IF(AND(AC34&gt;0,AH34=0),1,0)</x:f>
        <x:v>0</x:v>
      </x:c>
      <x:c r="AQ34" t="n">
        <x:f>IF(AND(AC34&gt;0,AJ34=0),1,0)</x:f>
        <x:v>0</x:v>
      </x:c>
      <x:c r="AR34" t="n">
        <x:f>IF(ISNUMBER(AB34),1,0)</x:f>
        <x:v>0</x:v>
      </x:c>
    </x:row>
    <x:row r="35" s="1211" customFormat="1" ht="24" customHeight="1">
      <x:c r="A35"/>
      <x:c r="B35" s="1923"/>
      <x:c r="C35" s="1923"/>
      <x:c r="D35" s="1923"/>
      <x:c r="E35" s="1923"/>
      <x:c r="F35" s="1923"/>
      <x:c r="G35" s="1923"/>
      <x:c r="H35" s="1923"/>
      <x:c r="I35" s="1923"/>
      <x:c r="J35" s="1923"/>
      <x:c r="K35" s="1923"/>
      <x:c r="L35" s="1923"/>
      <x:c r="M35" s="1923"/>
      <x:c r="AA35" t="n">
        <x:v>5</x:v>
      </x:c>
      <x:c r="AB35" t="str">
        <x:f>IF(ISNUMBER('Résultats détaillés'!T38),'Résultats détaillés'!T38,"")</x:f>
      </x:c>
      <x:c r="AC35" t="n">
        <x:f>IF(AND(ISNUMBER(AB35),AB35&gt;=5),AB35*100+3,0)</x:f>
        <x:v>0</x:v>
      </x:c>
      <x:c r="AD35" t="str">
        <x:f>IF(ISBLANK('Résultats détaillés'!B38),"",'Résultats détaillés'!B38)</x:f>
        <x:v>5.5</x:v>
      </x:c>
      <x:c r="AE35" t="str">
        <x:f>IF(ISBLANK('Résultats détaillés'!C38),"",'Résultats détaillés'!C38)</x:f>
        <x:v>Suivre les résultats de la démarche avec quelques indicateurs, communs avec le plan de transition et le label DD&amp;RS.</x:v>
      </x:c>
      <x:c r="AF35" t="str">
        <x:f>IF(ISBLANK('Résultats détaillés'!E38),"",'Résultats détaillés'!E38)</x:f>
      </x:c>
      <x:c r="AG35" t="str">
        <x:f>IF(ISBLANK('Résultats détaillés'!F38),"",'Résultats détaillés'!F38)</x:f>
      </x:c>
      <x:c r="AH35" t="n">
        <x:f>IF(ISNUMBER('Résultats détaillés'!H38),IF(AND('Résultats détaillés'!H38&gt;=1,'Résultats détaillés'!H38&lt;=4,MOD('Résultats détaillés'!H38,1)=0),'Résultats détaillés'!H38,0),0)</x:f>
        <x:v>0</x:v>
      </x:c>
      <x:c r="AI35" t="str">
        <x:f>IF(ISBLANK('Résultats détaillés'!W38),"",'Résultats détaillés'!W38)</x:f>
      </x:c>
      <x:c r="AJ35" t="n">
        <x:f>IF(LEN(TRIM(AI35))&gt;0,1,0)</x:f>
        <x:v>0</x:v>
      </x:c>
      <x:c r="AK35" t="n">
        <x:f>IF(LEN(TRIM('Résultats détaillés'!G38))&gt;0,1,0)</x:f>
        <x:v>0</x:v>
      </x:c>
      <x:c r="AL35" t="n">
        <x:f>IF(OR(IF(LEN('Résultats détaillés'!E38)=0,FALSE,NOT(IF(ISNUMBER('Résultats détaillés'!E38),AND('Résultats détaillés'!E38&gt;=0,'Résultats détaillés'!E38&lt;=3,MOD('Résultats détaillés'!E38,1)=0),FALSE))),IF(LEN('Résultats détaillés'!F38)=0,FALSE,NOT(IF(ISNUMBER('Résultats détaillés'!F38),AND('Résultats détaillés'!F38&gt;=1,'Résultats détaillés'!F38&lt;=4,MOD('Résultats détaillés'!F38,1)=0),FALSE))),IF(LEN('Résultats détaillés'!H38)=0,FALSE,NOT(IF(ISNUMBER('Résultats détaillés'!H38),AND('Résultats détaillés'!H38&gt;=1,'Résultats détaillés'!H38&lt;=4,MOD('Résultats détaillés'!H38,1)=0),FALSE)))),1,0)</x:f>
        <x:v>0</x:v>
      </x:c>
      <x:c r="AM35" t="n">
        <x:f>IF(AND(ISNUMBER(AB35),AB35&gt;0,AK35=0),1,0)</x:f>
        <x:v>0</x:v>
      </x:c>
      <x:c r="AN35" t="n">
        <x:v>38</x:v>
      </x:c>
      <x:c r="AO35" t="n">
        <x:f>IF(AND(ISNUMBER(AB35),AB35&gt;0),1,0)</x:f>
        <x:v>0</x:v>
      </x:c>
      <x:c r="AP35" t="n">
        <x:f>IF(AND(AC35&gt;0,AH35=0),1,0)</x:f>
        <x:v>0</x:v>
      </x:c>
      <x:c r="AQ35" t="n">
        <x:f>IF(AND(AC35&gt;0,AJ35=0),1,0)</x:f>
        <x:v>0</x:v>
      </x:c>
      <x:c r="AR35" t="n">
        <x:f>IF(ISNUMBER(AB35),1,0)</x:f>
        <x:v>0</x:v>
      </x:c>
    </x:row>
    <x:row r="36" s="1211" customFormat="1" ht="24" customHeight="1">
      <x:c r="A36"/>
      <x:c r="B36" s="1923"/>
      <x:c r="C36" s="1923"/>
      <x:c r="D36" s="1923"/>
      <x:c r="E36" s="1923"/>
      <x:c r="F36" s="1923"/>
      <x:c r="G36" s="1923"/>
      <x:c r="H36" s="1923"/>
      <x:c r="I36" s="1923"/>
      <x:c r="J36" s="1923"/>
      <x:c r="K36" s="1923"/>
      <x:c r="L36" s="1923"/>
      <x:c r="M36" s="1923"/>
      <x:c r="AA36" t="n">
        <x:v>5</x:v>
      </x:c>
      <x:c r="AB36" t="str">
        <x:f>IF(ISNUMBER('Résultats détaillés'!T39),'Résultats détaillés'!T39,"")</x:f>
      </x:c>
      <x:c r="AC36" t="n">
        <x:f>IF(AND(ISNUMBER(AB36),AB36&gt;=5),AB36*100+2,0)</x:f>
        <x:v>0</x:v>
      </x:c>
      <x:c r="AD36" t="str">
        <x:f>IF(ISBLANK('Résultats détaillés'!B39),"",'Résultats détaillés'!B39)</x:f>
        <x:v>5.6</x:v>
      </x:c>
      <x:c r="AE36" t="str">
        <x:f>IF(ISBLANK('Résultats détaillés'!C39),"",'Résultats détaillés'!C39)</x:f>
        <x:v>Proposer des améliorations pour un numérique responsable, y compris des solutions sans outil numérique, comme des cours ou des examens sans écran.</x:v>
      </x:c>
      <x:c r="AF36" t="str">
        <x:f>IF(ISBLANK('Résultats détaillés'!E39),"",'Résultats détaillés'!E39)</x:f>
      </x:c>
      <x:c r="AG36" t="str">
        <x:f>IF(ISBLANK('Résultats détaillés'!F39),"",'Résultats détaillés'!F39)</x:f>
      </x:c>
      <x:c r="AH36" t="n">
        <x:f>IF(ISNUMBER('Résultats détaillés'!H39),IF(AND('Résultats détaillés'!H39&gt;=1,'Résultats détaillés'!H39&lt;=4,MOD('Résultats détaillés'!H39,1)=0),'Résultats détaillés'!H39,0),0)</x:f>
        <x:v>0</x:v>
      </x:c>
      <x:c r="AI36" t="str">
        <x:f>IF(ISBLANK('Résultats détaillés'!W39),"",'Résultats détaillés'!W39)</x:f>
      </x:c>
      <x:c r="AJ36" t="n">
        <x:f>IF(LEN(TRIM(AI36))&gt;0,1,0)</x:f>
        <x:v>0</x:v>
      </x:c>
      <x:c r="AK36" t="n">
        <x:f>IF(LEN(TRIM('Résultats détaillés'!G39))&gt;0,1,0)</x:f>
        <x:v>0</x:v>
      </x:c>
      <x:c r="AL36" t="n">
        <x:f>IF(OR(IF(LEN('Résultats détaillés'!E39)=0,FALSE,NOT(IF(ISNUMBER('Résultats détaillés'!E39),AND('Résultats détaillés'!E39&gt;=0,'Résultats détaillés'!E39&lt;=3,MOD('Résultats détaillés'!E39,1)=0),FALSE))),IF(LEN('Résultats détaillés'!F39)=0,FALSE,NOT(IF(ISNUMBER('Résultats détaillés'!F39),AND('Résultats détaillés'!F39&gt;=1,'Résultats détaillés'!F39&lt;=4,MOD('Résultats détaillés'!F39,1)=0),FALSE))),IF(LEN('Résultats détaillés'!H39)=0,FALSE,NOT(IF(ISNUMBER('Résultats détaillés'!H39),AND('Résultats détaillés'!H39&gt;=1,'Résultats détaillés'!H39&lt;=4,MOD('Résultats détaillés'!H39,1)=0),FALSE)))),1,0)</x:f>
        <x:v>0</x:v>
      </x:c>
      <x:c r="AM36" t="n">
        <x:f>IF(AND(ISNUMBER(AB36),AB36&gt;0,AK36=0),1,0)</x:f>
        <x:v>0</x:v>
      </x:c>
      <x:c r="AN36" t="n">
        <x:v>39</x:v>
      </x:c>
      <x:c r="AO36" t="n">
        <x:f>IF(AND(ISNUMBER(AB36),AB36&gt;0),1,0)</x:f>
        <x:v>0</x:v>
      </x:c>
      <x:c r="AP36" t="n">
        <x:f>IF(AND(AC36&gt;0,AH36=0),1,0)</x:f>
        <x:v>0</x:v>
      </x:c>
      <x:c r="AQ36" t="n">
        <x:f>IF(AND(AC36&gt;0,AJ36=0),1,0)</x:f>
        <x:v>0</x:v>
      </x:c>
      <x:c r="AR36" t="n">
        <x:f>IF(ISNUMBER(AB36),1,0)</x:f>
        <x:v>0</x:v>
      </x:c>
    </x:row>
    <x:row r="37" s="1211" customFormat="1" ht="30" customHeight="1">
      <x:c r="A37"/>
      <x:c r="B37" s="1950" t="str">
        <x:v>Comprendre les notes et les besoins</x:v>
      </x:c>
      <x:c r="C37" s="1951"/>
      <x:c r="D37" s="1951"/>
      <x:c r="E37" s="1951"/>
      <x:c r="F37" s="1951"/>
      <x:c r="G37" s="1951"/>
      <x:c r="H37" s="1951"/>
      <x:c r="I37" s="1951"/>
      <x:c r="J37" s="1951"/>
      <x:c r="K37" s="1951"/>
      <x:c r="L37" s="1951"/>
      <x:c r="M37" s="1952"/>
      <x:c r="AA37" t="n">
        <x:v>5</x:v>
      </x:c>
      <x:c r="AB37" t="str">
        <x:f>IF(ISNUMBER('Résultats détaillés'!T40),'Résultats détaillés'!T40,"")</x:f>
      </x:c>
      <x:c r="AC37" t="n">
        <x:f>IF(AND(ISNUMBER(AB37),AB37&gt;=5),AB37*100+1,0)</x:f>
        <x:v>0</x:v>
      </x:c>
      <x:c r="AD37" t="str">
        <x:f>IF(ISBLANK('Résultats détaillés'!B40),"",'Résultats détaillés'!B40)</x:f>
        <x:v>5.7</x:v>
      </x:c>
      <x:c r="AE37" t="str">
        <x:f>IF(ISBLANK('Résultats détaillés'!C40),"",'Résultats détaillés'!C40)</x:f>
        <x:v>Décider avec les enseignants, les chercheurs, les personnels et les étudiants comment utiliser l'intelligence artificielle. Les former à ses limites et préserver le sens de l'apprentissage et de la recherche.</x:v>
      </x:c>
      <x:c r="AF37" t="str">
        <x:f>IF(ISBLANK('Résultats détaillés'!E40),"",'Résultats détaillés'!E40)</x:f>
      </x:c>
      <x:c r="AG37" t="str">
        <x:f>IF(ISBLANK('Résultats détaillés'!F40),"",'Résultats détaillés'!F40)</x:f>
      </x:c>
      <x:c r="AH37" t="n">
        <x:f>IF(ISNUMBER('Résultats détaillés'!H40),IF(AND('Résultats détaillés'!H40&gt;=1,'Résultats détaillés'!H40&lt;=4,MOD('Résultats détaillés'!H40,1)=0),'Résultats détaillés'!H40,0),0)</x:f>
        <x:v>0</x:v>
      </x:c>
      <x:c r="AI37" t="str">
        <x:f>IF(ISBLANK('Résultats détaillés'!W40),"",'Résultats détaillés'!W40)</x:f>
      </x:c>
      <x:c r="AJ37" t="n">
        <x:f>IF(LEN(TRIM(AI37))&gt;0,1,0)</x:f>
        <x:v>0</x:v>
      </x:c>
      <x:c r="AK37" t="n">
        <x:f>IF(LEN(TRIM('Résultats détaillés'!G40))&gt;0,1,0)</x:f>
        <x:v>0</x:v>
      </x:c>
      <x:c r="AL37" t="n">
        <x:f>IF(OR(IF(LEN('Résultats détaillés'!E40)=0,FALSE,NOT(IF(ISNUMBER('Résultats détaillés'!E40),AND('Résultats détaillés'!E40&gt;=0,'Résultats détaillés'!E40&lt;=3,MOD('Résultats détaillés'!E40,1)=0),FALSE))),IF(LEN('Résultats détaillés'!F40)=0,FALSE,NOT(IF(ISNUMBER('Résultats détaillés'!F40),AND('Résultats détaillés'!F40&gt;=1,'Résultats détaillés'!F40&lt;=4,MOD('Résultats détaillés'!F40,1)=0),FALSE))),IF(LEN('Résultats détaillés'!H40)=0,FALSE,NOT(IF(ISNUMBER('Résultats détaillés'!H40),AND('Résultats détaillés'!H40&gt;=1,'Résultats détaillés'!H40&lt;=4,MOD('Résultats détaillés'!H40,1)=0),FALSE)))),1,0)</x:f>
        <x:v>0</x:v>
      </x:c>
      <x:c r="AM37" t="n">
        <x:f>IF(AND(ISNUMBER(AB37),AB37&gt;0,AK37=0),1,0)</x:f>
        <x:v>0</x:v>
      </x:c>
      <x:c r="AN37" t="n">
        <x:v>40</x:v>
      </x:c>
      <x:c r="AO37" t="n">
        <x:f>IF(AND(ISNUMBER(AB37),AB37&gt;0),1,0)</x:f>
        <x:v>0</x:v>
      </x:c>
      <x:c r="AP37" t="n">
        <x:f>IF(AND(AC37&gt;0,AH37=0),1,0)</x:f>
        <x:v>0</x:v>
      </x:c>
      <x:c r="AQ37" t="n">
        <x:f>IF(AND(AC37&gt;0,AJ37=0),1,0)</x:f>
        <x:v>0</x:v>
      </x:c>
      <x:c r="AR37" t="n">
        <x:f>IF(ISNUMBER(AB37),1,0)</x:f>
        <x:v>0</x:v>
      </x:c>
    </x:row>
    <x:row r="38" s="1211" customFormat="1" ht="24" customHeight="1">
      <x:c r="A38"/>
      <x:c r="B38" s="1940" t="str">
        <x:v>Importance et niveau atteint</x:v>
      </x:c>
      <x:c r="C38" s="1940"/>
      <x:c r="D38" s="1940"/>
      <x:c r="E38" s="1940"/>
      <x:c r="F38" s="1940"/>
      <x:c r="G38" s="1940"/>
      <x:c r="H38" s="1923"/>
      <x:c r="I38" s="1945" t="str">
        <x:v>Compétences nécessaires pour les priorités</x:v>
      </x:c>
      <x:c r="J38" s="1945"/>
      <x:c r="K38" s="1945"/>
      <x:c r="L38" s="1945"/>
      <x:c r="M38" s="1945"/>
    </x:row>
    <x:row r="39" s="1211" customFormat="1" ht="38" customHeight="1">
      <x:c r="A39"/>
      <x:c r="B39" s="1991" t="str">
        <x:v>Importance</x:v>
      </x:c>
      <x:c r="C39" s="1991" t="str">
        <x:v>1. Pas du tout</x:v>
      </x:c>
      <x:c r="D39" s="1991" t="str">
        <x:v>2. En partie</x:v>
      </x:c>
      <x:c r="E39" s="1991" t="str">
        <x:v>3. En bonne voie</x:v>
      </x:c>
      <x:c r="F39" s="1991" t="str">
        <x:v>4. Atteinte</x:v>
      </x:c>
      <x:c r="G39" s="1991" t="str">
        <x:v>Total</x:v>
      </x:c>
      <x:c r="H39" s="1923"/>
      <x:c r="I39" s="2009" t="str">
        <x:v>Équipe à mobiliser</x:v>
      </x:c>
      <x:c r="J39" s="2010"/>
      <x:c r="K39" s="2010"/>
      <x:c r="L39" s="2010"/>
      <x:c r="M39" s="2011" t="str">
        <x:v>Cibles</x:v>
      </x:c>
    </x:row>
    <x:row r="40" s="1211" customFormat="1" ht="30" customHeight="1">
      <x:c r="A40"/>
      <x:c r="B40" s="1992" t="str">
        <x:v>3. Très importante</x:v>
      </x:c>
      <x:c r="C40" s="1999" t="n">
        <x:f>COUNTIFS($AO$6:$AO$37,1,$AF$6:$AF$37,3,$AG$6:$AG$37,1)</x:f>
        <x:v>0</x:v>
      </x:c>
      <x:c r="D40" s="2000" t="n">
        <x:f>COUNTIFS($AO$6:$AO$37,1,$AF$6:$AF$37,3,$AG$6:$AG$37,2)</x:f>
        <x:v>0</x:v>
      </x:c>
      <x:c r="E40" s="2001" t="n">
        <x:f>COUNTIFS($AO$6:$AO$37,1,$AF$6:$AF$37,3,$AG$6:$AG$37,3)</x:f>
        <x:v>0</x:v>
      </x:c>
      <x:c r="F40" s="2002" t="n">
        <x:f>COUNTIFS($AO$6:$AO$37,1,$AF$6:$AF$37,3,$AG$6:$AG$37,4)</x:f>
        <x:v>0</x:v>
      </x:c>
      <x:c r="G40" s="2003" t="n">
        <x:f>SUM(C40:F40)</x:f>
        <x:v>0</x:v>
      </x:c>
      <x:c r="H40" s="1923"/>
      <x:c r="I40" s="2012" t="str">
        <x:v>Équipe NR / RSE</x:v>
      </x:c>
      <x:c r="J40" s="2008"/>
      <x:c r="K40" s="2008"/>
      <x:c r="L40" s="2008"/>
      <x:c r="M40" s="2018" t="n">
        <x:f>COUNTIFS($AC$6:$AC$37,"&gt;0",$AH$6:$AH$37,1)</x:f>
        <x:v>0</x:v>
      </x:c>
    </x:row>
    <x:row r="41" s="1211" customFormat="1" ht="30" customHeight="1">
      <x:c r="A41"/>
      <x:c r="B41" s="1992" t="str">
        <x:v>2. Importante</x:v>
      </x:c>
      <x:c r="C41" s="2000" t="n">
        <x:f>COUNTIFS($AO$6:$AO$37,1,$AF$6:$AF$37,2,$AG$6:$AG$37,1)</x:f>
        <x:v>0</x:v>
      </x:c>
      <x:c r="D41" s="2001" t="n">
        <x:f>COUNTIFS($AO$6:$AO$37,1,$AF$6:$AF$37,2,$AG$6:$AG$37,2)</x:f>
        <x:v>0</x:v>
      </x:c>
      <x:c r="E41" s="2002" t="n">
        <x:f>COUNTIFS($AO$6:$AO$37,1,$AF$6:$AF$37,2,$AG$6:$AG$37,3)</x:f>
        <x:v>0</x:v>
      </x:c>
      <x:c r="F41" s="2004" t="n">
        <x:f>COUNTIFS($AO$6:$AO$37,1,$AF$6:$AF$37,2,$AG$6:$AG$37,4)</x:f>
        <x:v>0</x:v>
      </x:c>
      <x:c r="G41" s="2003" t="n">
        <x:f>SUM(C41:F41)</x:f>
        <x:v>0</x:v>
      </x:c>
      <x:c r="H41" s="1923"/>
      <x:c r="I41" s="2014" t="str">
        <x:v>NR / RSE et informatique (DSI)</x:v>
      </x:c>
      <x:c r="J41" s="1931"/>
      <x:c r="K41" s="1931"/>
      <x:c r="L41" s="1931"/>
      <x:c r="M41" s="2018" t="n">
        <x:f>COUNTIFS($AC$6:$AC$37,"&gt;0",$AH$6:$AH$37,2)</x:f>
        <x:v>0</x:v>
      </x:c>
    </x:row>
    <x:row r="42" s="1211" customFormat="1" ht="30" customHeight="1">
      <x:c r="A42"/>
      <x:c r="B42" s="1992" t="str">
        <x:v>1. Peu importante</x:v>
      </x:c>
      <x:c r="C42" s="2005" t="n">
        <x:f>COUNTIFS($AO$6:$AO$37,1,$AF$6:$AF$37,1,$AG$6:$AG$37,1)</x:f>
        <x:v>0</x:v>
      </x:c>
      <x:c r="D42" s="2005" t="n">
        <x:f>COUNTIFS($AO$6:$AO$37,1,$AF$6:$AF$37,1,$AG$6:$AG$37,2)</x:f>
        <x:v>0</x:v>
      </x:c>
      <x:c r="E42" s="2004" t="n">
        <x:f>COUNTIFS($AO$6:$AO$37,1,$AF$6:$AF$37,1,$AG$6:$AG$37,3)</x:f>
        <x:v>0</x:v>
      </x:c>
      <x:c r="F42" s="2004" t="n">
        <x:f>COUNTIFS($AO$6:$AO$37,1,$AF$6:$AF$37,1,$AG$6:$AG$37,4)</x:f>
        <x:v>0</x:v>
      </x:c>
      <x:c r="G42" s="2003" t="n">
        <x:f>SUM(C42:F42)</x:f>
        <x:v>0</x:v>
      </x:c>
      <x:c r="H42" s="1923"/>
      <x:c r="I42" s="2012" t="str">
        <x:v>NR / RSE et équipe hors DSI</x:v>
      </x:c>
      <x:c r="J42" s="2008"/>
      <x:c r="K42" s="2008"/>
      <x:c r="L42" s="2008"/>
      <x:c r="M42" s="2018" t="n">
        <x:f>COUNTIFS($AC$6:$AC$37,"&gt;0",$AH$6:$AH$37,3)</x:f>
        <x:v>0</x:v>
      </x:c>
    </x:row>
    <x:row r="43" s="1211" customFormat="1" ht="30" customHeight="1">
      <x:c r="A43"/>
      <x:c r="B43" s="1955" t="str">
        <x:v>Total</x:v>
      </x:c>
      <x:c r="C43" s="2006" t="n">
        <x:f>SUM(C40:C42)</x:f>
        <x:v>0</x:v>
      </x:c>
      <x:c r="D43" s="2006" t="n">
        <x:f>SUM(D40:D42)</x:f>
        <x:v>0</x:v>
      </x:c>
      <x:c r="E43" s="2006" t="n">
        <x:f>SUM(E40:E42)</x:f>
        <x:v>0</x:v>
      </x:c>
      <x:c r="F43" s="2006" t="n">
        <x:f>SUM(F40:F42)</x:f>
        <x:v>0</x:v>
      </x:c>
      <x:c r="G43" s="2006" t="n">
        <x:f>SUM(G40:G42)</x:f>
        <x:v>0</x:v>
      </x:c>
      <x:c r="H43" s="1923"/>
      <x:c r="I43" s="2014" t="str">
        <x:v>Intervention extérieure</x:v>
      </x:c>
      <x:c r="J43" s="1931"/>
      <x:c r="K43" s="1931"/>
      <x:c r="L43" s="1931"/>
      <x:c r="M43" s="2018" t="n">
        <x:f>COUNTIFS($AC$6:$AC$37,"&gt;0",$AH$6:$AH$37,4)</x:f>
        <x:v>0</x:v>
      </x:c>
    </x:row>
    <x:row r="44" s="1211" customFormat="1" ht="30" customHeight="1">
      <x:c r="A44"/>
      <x:c r="B44" s="1923"/>
      <x:c r="C44" s="1923"/>
      <x:c r="D44" s="1923"/>
      <x:c r="E44" s="1923"/>
      <x:c r="F44" s="1923"/>
      <x:c r="G44" s="1923"/>
      <x:c r="H44" s="1923"/>
      <x:c r="I44" s="2015" t="str">
        <x:v>À préciser</x:v>
      </x:c>
      <x:c r="J44" s="2016"/>
      <x:c r="K44" s="2016"/>
      <x:c r="L44" s="2016"/>
      <x:c r="M44" s="2019" t="n">
        <x:f>COUNTIFS($AC$6:$AC$37,"&gt;0",$AH$6:$AH$37,0)</x:f>
        <x:v>0</x:v>
      </x:c>
    </x:row>
    <x:row r="45" s="1211" customFormat="1" ht="24" customHeight="1">
      <x:c r="A45"/>
      <x:c r="B45" s="1949" t="str">
        <x:v>La matrice compte les cibles applicables évaluées. Les couleurs suivent les niveaux de priorité du document.</x:v>
      </x:c>
      <x:c r="C45" s="1949"/>
      <x:c r="D45" s="1949"/>
      <x:c r="E45" s="1949"/>
      <x:c r="F45" s="1949"/>
      <x:c r="G45" s="1949"/>
      <x:c r="H45" s="2020"/>
      <x:c r="I45" s="1949" t="str">
        <x:v>NR : numérique responsable. RSE : responsabilité sociétale. Ce tableau concerne les urgentes et les prioritaires.</x:v>
      </x:c>
      <x:c r="J45" s="1949"/>
      <x:c r="K45" s="1949"/>
      <x:c r="L45" s="1949"/>
      <x:c r="M45" s="1949"/>
    </x:row>
    <x:row r="46" s="1211" customFormat="1" ht="24" customHeight="1">
      <x:c r="A46"/>
      <x:c r="B46" s="1949"/>
      <x:c r="C46" s="1949"/>
      <x:c r="D46" s="1949"/>
      <x:c r="E46" s="1949"/>
      <x:c r="F46" s="1949"/>
      <x:c r="G46" s="1949"/>
      <x:c r="H46" s="2020"/>
      <x:c r="I46" s="1949"/>
      <x:c r="J46" s="1949"/>
      <x:c r="K46" s="1949"/>
      <x:c r="L46" s="1949"/>
      <x:c r="M46" s="1949"/>
    </x:row>
    <x:row r="47" s="1211" customFormat="1" ht="24" customHeight="1">
      <x:c r="A47"/>
      <x:c r="B47" s="1923"/>
      <x:c r="C47" s="1923"/>
      <x:c r="D47" s="1923"/>
      <x:c r="E47" s="1923"/>
      <x:c r="F47" s="1923"/>
      <x:c r="G47" s="1923"/>
      <x:c r="H47" s="1923"/>
      <x:c r="I47" s="1923"/>
      <x:c r="J47" s="1923"/>
      <x:c r="K47" s="1923"/>
      <x:c r="L47" s="1923"/>
      <x:c r="M47" s="1923"/>
    </x:row>
    <x:row r="48" s="1211" customFormat="1" ht="30" customHeight="1">
      <x:c r="A48"/>
      <x:c r="B48" s="1950" t="str">
        <x:v>Informations à compléter</x:v>
      </x:c>
      <x:c r="C48" s="1951"/>
      <x:c r="D48" s="1951"/>
      <x:c r="E48" s="1951"/>
      <x:c r="F48" s="1951"/>
      <x:c r="G48" s="1951"/>
      <x:c r="H48" s="1951"/>
      <x:c r="I48" s="1951"/>
      <x:c r="J48" s="1951"/>
      <x:c r="K48" s="1951"/>
      <x:c r="L48" s="1951"/>
      <x:c r="M48" s="1952"/>
    </x:row>
    <x:row r="49" s="1211" customFormat="1" ht="24" customHeight="1">
      <x:c r="A49"/>
      <x:c r="B49" s="1926" t="str">
        <x:v>Point à vérifier</x:v>
      </x:c>
      <x:c r="C49" s="1926"/>
      <x:c r="D49" s="1926"/>
      <x:c r="E49" s="1926"/>
      <x:c r="F49" s="1926"/>
      <x:c r="G49" s="1953" t="str">
        <x:v>Cibles</x:v>
      </x:c>
      <x:c r="H49" s="1926" t="str">
        <x:v>Comment lire ce nombre</x:v>
      </x:c>
      <x:c r="I49" s="1926"/>
      <x:c r="J49" s="1926"/>
      <x:c r="K49" s="1926"/>
      <x:c r="L49" s="1926"/>
      <x:c r="M49" s="1926"/>
    </x:row>
    <x:row r="50" s="1211" customFormat="1" ht="32" customHeight="1">
      <x:c r="A50"/>
      <x:c r="B50" s="2021" t="str">
        <x:v>Évaluation à compléter</x:v>
      </x:c>
      <x:c r="C50" s="2021"/>
      <x:c r="D50" s="2021"/>
      <x:c r="E50" s="2021"/>
      <x:c r="F50" s="2021"/>
      <x:c r="G50" s="2023" t="n">
        <x:f>E16</x:f>
        <x:v>32</x:v>
      </x:c>
      <x:c r="H50" s="2021" t="str">
        <x:v>Une priorité ne peut pas encore être calculée.</x:v>
      </x:c>
      <x:c r="I50" s="2021"/>
      <x:c r="J50" s="2021"/>
      <x:c r="K50" s="2021"/>
      <x:c r="L50" s="2021"/>
      <x:c r="M50" s="2021"/>
    </x:row>
    <x:row r="51" s="1211" customFormat="1" ht="32" customHeight="1">
      <x:c r="A51"/>
      <x:c r="B51" s="1931" t="str">
        <x:v>Notes hors échelle</x:v>
      </x:c>
      <x:c r="C51" s="1931"/>
      <x:c r="D51" s="1931"/>
      <x:c r="E51" s="1931"/>
      <x:c r="F51" s="1931"/>
      <x:c r="G51" s="1971" t="n">
        <x:f>SUM($AL$6:$AL$37)</x:f>
        <x:v>0</x:v>
      </x:c>
      <x:c r="H51" s="1931" t="str">
        <x:v>Au moins une note saisie ne respecte pas les choix proposés.</x:v>
      </x:c>
      <x:c r="I51" s="1931"/>
      <x:c r="J51" s="1931"/>
      <x:c r="K51" s="1931"/>
      <x:c r="L51" s="1931"/>
      <x:c r="M51" s="1931"/>
    </x:row>
    <x:row r="52" s="1211" customFormat="1" ht="32" customHeight="1">
      <x:c r="A52"/>
      <x:c r="B52" s="2021" t="str">
        <x:v>Justification du niveau actuel absente</x:v>
      </x:c>
      <x:c r="C52" s="2021"/>
      <x:c r="D52" s="2021"/>
      <x:c r="E52" s="2021"/>
      <x:c r="F52" s="2021"/>
      <x:c r="G52" s="2023" t="n">
        <x:f>SUM($AM$6:$AM$37)</x:f>
        <x:v>0</x:v>
      </x:c>
      <x:c r="H52" s="2021" t="str">
        <x:v>Cibles applicables évaluées sans explication de la note.</x:v>
      </x:c>
      <x:c r="I52" s="2021"/>
      <x:c r="J52" s="2021"/>
      <x:c r="K52" s="2021"/>
      <x:c r="L52" s="2021"/>
      <x:c r="M52" s="2021"/>
    </x:row>
    <x:row r="53" s="1211" customFormat="1" ht="32" customHeight="1">
      <x:c r="A53"/>
      <x:c r="B53" s="1931" t="str">
        <x:v>Compétences à préciser sur les priorités</x:v>
      </x:c>
      <x:c r="C53" s="1931"/>
      <x:c r="D53" s="1931"/>
      <x:c r="E53" s="1931"/>
      <x:c r="F53" s="1931"/>
      <x:c r="G53" s="1971" t="n">
        <x:f>SUM($AP$6:$AP$37)</x:f>
        <x:v>0</x:v>
      </x:c>
      <x:c r="H53" s="1931" t="str">
        <x:v>Cibles urgentes ou prioritaires sans choix de compétences valide.</x:v>
      </x:c>
      <x:c r="I53" s="1931"/>
      <x:c r="J53" s="1931"/>
      <x:c r="K53" s="1931"/>
      <x:c r="L53" s="1931"/>
      <x:c r="M53" s="1931"/>
    </x:row>
    <x:row r="54" s="1211" customFormat="1" ht="32" customHeight="1">
      <x:c r="A54"/>
      <x:c r="B54" s="2021" t="str">
        <x:v>Action à proposer sur les priorités</x:v>
      </x:c>
      <x:c r="C54" s="2021"/>
      <x:c r="D54" s="2021"/>
      <x:c r="E54" s="2021"/>
      <x:c r="F54" s="2021"/>
      <x:c r="G54" s="2023" t="n">
        <x:f>SUM($AQ$6:$AQ$37)</x:f>
        <x:v>0</x:v>
      </x:c>
      <x:c r="H54" s="2021" t="str">
        <x:v>Cibles urgentes ou prioritaires sans proposition écrite.</x:v>
      </x:c>
      <x:c r="I54" s="2021"/>
      <x:c r="J54" s="2021"/>
      <x:c r="K54" s="2021"/>
      <x:c r="L54" s="2021"/>
      <x:c r="M54" s="2021"/>
    </x:row>
    <x:row r="55" s="1211" customFormat="1" ht="24" customHeight="1">
      <x:c r="A55"/>
      <x:c r="B55" s="1923"/>
      <x:c r="C55" s="1923"/>
      <x:c r="D55" s="1923"/>
      <x:c r="E55" s="1923"/>
      <x:c r="F55" s="1923"/>
      <x:c r="G55" s="1923"/>
      <x:c r="H55" s="1923"/>
      <x:c r="I55" s="1923"/>
      <x:c r="J55" s="1923"/>
      <x:c r="K55" s="1923"/>
      <x:c r="L55" s="1923"/>
      <x:c r="M55" s="1923"/>
    </x:row>
    <x:row r="56" s="1211" customFormat="1" ht="24" customHeight="1">
      <x:c r="A56"/>
      <x:c r="B56" s="1949" t="str">
        <x:v>Une cellule de taux vide signifie qu’aucune cible ne permet encore de calculer ce taux. Une importance de 0 indique une cible non applicable.</x:v>
      </x:c>
      <x:c r="C56" s="1949"/>
      <x:c r="D56" s="1949"/>
      <x:c r="E56" s="1949"/>
      <x:c r="F56" s="1949"/>
      <x:c r="G56" s="1949"/>
      <x:c r="H56" s="1949"/>
      <x:c r="I56" s="1949"/>
      <x:c r="J56" s="1949"/>
      <x:c r="K56" s="1949"/>
      <x:c r="L56" s="1949"/>
      <x:c r="M56" s="1949"/>
    </x:row>
    <x:row r="57" s="1211" customFormat="1" ht="24" customHeight="1">
      <x:c r="A57"/>
      <x:c r="B57" s="1923"/>
      <x:c r="C57" s="1923"/>
      <x:c r="D57" s="1923"/>
      <x:c r="E57" s="1923"/>
      <x:c r="F57" s="1923"/>
      <x:c r="G57" s="1923"/>
      <x:c r="H57" s="1923"/>
      <x:c r="I57" s="1923"/>
      <x:c r="J57" s="1923"/>
      <x:c r="K57" s="1923"/>
      <x:c r="L57" s="1923"/>
      <x:c r="M57" s="1923"/>
    </x:row>
    <x:row r="58" s="1211" customFormat="1" ht="30" customHeight="1">
      <x:c r="A58"/>
      <x:c r="B58" s="2024" t="str">
        <x:v>Cibles à traiter en premier</x:v>
      </x:c>
      <x:c r="C58" s="2025"/>
      <x:c r="D58" s="2025"/>
      <x:c r="E58" s="2025"/>
      <x:c r="F58" s="2025"/>
      <x:c r="G58" s="2025"/>
      <x:c r="H58" s="2025"/>
      <x:c r="I58" s="2025"/>
      <x:c r="J58" s="2025"/>
      <x:c r="K58" s="2025"/>
      <x:c r="L58" s="2025"/>
      <x:c r="M58" s="2026"/>
    </x:row>
    <x:row r="59" s="1211" customFormat="1" ht="24" customHeight="1">
      <x:c r="A59"/>
      <x:c r="B59" s="1931" t="str">
        <x:f>IF(H16+I16=0,IF(D16=0,"La liste apparaîtra après la saisie des notes.","Aucune cible urgente ou prioritaire parmi les cibles évaluées."),"Les "&amp;MIN(10,H16+I16)&amp;" premières cibles sur "&amp;(H16+I16)&amp;" urgentes ou prioritaires. Ordre : urgence, puis numéro de cible.")</x:f>
        <x:v>La liste apparaîtra après la saisie des notes.</x:v>
      </x:c>
      <x:c r="C59" s="1931"/>
      <x:c r="D59" s="1931"/>
      <x:c r="E59" s="1931"/>
      <x:c r="F59" s="1931"/>
      <x:c r="G59" s="1931"/>
      <x:c r="H59" s="1931"/>
      <x:c r="I59" s="1931"/>
      <x:c r="J59" s="1931"/>
      <x:c r="K59" s="1931"/>
      <x:c r="L59" s="1931"/>
      <x:c r="M59" s="1931"/>
    </x:row>
    <x:row r="60" s="1211" customFormat="1" ht="40" customHeight="1">
      <x:c r="A60"/>
      <x:c r="B60" s="1926" t="str">
        <x:v>Cible</x:v>
      </x:c>
      <x:c r="C60" s="1926" t="str">
        <x:v>Ce que l’on cherche à faire</x:v>
      </x:c>
      <x:c r="D60" s="1926"/>
      <x:c r="E60" s="1926"/>
      <x:c r="F60" s="1926"/>
      <x:c r="G60" s="1926" t="str">
        <x:v>Priorité</x:v>
      </x:c>
      <x:c r="H60" s="1926" t="str">
        <x:v>Niveau / 4</x:v>
      </x:c>
      <x:c r="I60" s="1926" t="str">
        <x:v>Compétences</x:v>
      </x:c>
      <x:c r="J60" s="1926" t="str">
        <x:v>Action proposée (extrait)</x:v>
      </x:c>
      <x:c r="K60" s="1926"/>
      <x:c r="L60" s="1926"/>
      <x:c r="M60" s="1926"/>
    </x:row>
    <x:row r="61" s="1211" customFormat="1" ht="112" customHeight="1">
      <x:c r="B61" s="2034" t="str">
        <x:f>IF(ISNUMBER($AS61),INDEX($AD$6:$AD$37,$AS61),"")</x:f>
      </x:c>
      <x:c r="C61" s="2035" t="str">
        <x:f>IF(ISNUMBER($AS61),INDEX($AE$6:$AE$37,$AS61),"")</x:f>
      </x:c>
      <x:c r="D61" s="2035"/>
      <x:c r="E61" s="2035"/>
      <x:c r="F61" s="2035"/>
      <x:c r="G61" s="2036" t="str">
        <x:f>IF(ISNUMBER($AS61),IF(INDEX($AB$6:$AB$37,$AS61)=6,"Urgente","Prioritaire"),"")</x:f>
      </x:c>
      <x:c r="H61" s="2036" t="str">
        <x:f>IF(ISNUMBER($AS61),INDEX($AG$6:$AG$37,$AS61),"")</x:f>
      </x:c>
      <x:c r="I61" s="2036" t="str">
        <x:f>IF(ISNUMBER($AS61),IF(INDEX($AH$6:$AH$37,$AS61)=0,"À préciser",CHOOSE(INDEX($AH$6:$AH$37,$AS61),"NR / RSE","Avec DSI","Hors DSI","Externe")),"")</x:f>
      </x:c>
      <x:c r="J61" s="2035" t="str">
        <x:f>IF(ISNUMBER($AS61),IF(INDEX($AJ$6:$AJ$37,$AS61)=0,"À proposer",LEFT(INDEX($AI$6:$AI$37,$AS61),180)&amp;IF(LEN(INDEX($AI$6:$AI$37,$AS61))&gt;180,"…","")),"")</x:f>
      </x:c>
      <x:c r="K61" s="2035"/>
      <x:c r="L61" s="2035"/>
      <x:c r="M61" s="2037"/>
      <x:c r="AS61" t="str">
        <x:f>IF(1&gt;$H$16+$I$16,"",MATCH(LARGE($AC$6:$AC$37,1),$AC$6:$AC$37,0))</x:f>
      </x:c>
    </x:row>
    <x:row r="62" s="1211" customFormat="1" ht="112" customHeight="1">
      <x:c r="B62" s="2030" t="str">
        <x:f>IF(ISNUMBER($AS62),INDEX($AD$6:$AD$37,$AS62),"")</x:f>
      </x:c>
      <x:c r="C62" s="2031" t="str">
        <x:f>IF(ISNUMBER($AS62),INDEX($AE$6:$AE$37,$AS62),"")</x:f>
      </x:c>
      <x:c r="D62" s="2031"/>
      <x:c r="E62" s="2031"/>
      <x:c r="F62" s="2031"/>
      <x:c r="G62" s="2032" t="str">
        <x:f>IF(ISNUMBER($AS62),IF(INDEX($AB$6:$AB$37,$AS62)=6,"Urgente","Prioritaire"),"")</x:f>
      </x:c>
      <x:c r="H62" s="2032" t="str">
        <x:f>IF(ISNUMBER($AS62),INDEX($AG$6:$AG$37,$AS62),"")</x:f>
      </x:c>
      <x:c r="I62" s="2032" t="str">
        <x:f>IF(ISNUMBER($AS62),IF(INDEX($AH$6:$AH$37,$AS62)=0,"À préciser",CHOOSE(INDEX($AH$6:$AH$37,$AS62),"NR / RSE","Avec DSI","Hors DSI","Externe")),"")</x:f>
      </x:c>
      <x:c r="J62" s="2031" t="str">
        <x:f>IF(ISNUMBER($AS62),IF(INDEX($AJ$6:$AJ$37,$AS62)=0,"À proposer",LEFT(INDEX($AI$6:$AI$37,$AS62),180)&amp;IF(LEN(INDEX($AI$6:$AI$37,$AS62))&gt;180,"…","")),"")</x:f>
      </x:c>
      <x:c r="K62" s="2031"/>
      <x:c r="L62" s="2031"/>
      <x:c r="M62" s="2033"/>
      <x:c r="AS62" t="str">
        <x:f>IF(2&gt;$H$16+$I$16,"",MATCH(LARGE($AC$6:$AC$37,2),$AC$6:$AC$37,0))</x:f>
      </x:c>
    </x:row>
    <x:row r="63" s="1211" customFormat="1" ht="112" customHeight="1">
      <x:c r="B63" s="2034" t="str">
        <x:f>IF(ISNUMBER($AS63),INDEX($AD$6:$AD$37,$AS63),"")</x:f>
      </x:c>
      <x:c r="C63" s="2035" t="str">
        <x:f>IF(ISNUMBER($AS63),INDEX($AE$6:$AE$37,$AS63),"")</x:f>
      </x:c>
      <x:c r="D63" s="2035"/>
      <x:c r="E63" s="2035"/>
      <x:c r="F63" s="2035"/>
      <x:c r="G63" s="2036" t="str">
        <x:f>IF(ISNUMBER($AS63),IF(INDEX($AB$6:$AB$37,$AS63)=6,"Urgente","Prioritaire"),"")</x:f>
      </x:c>
      <x:c r="H63" s="2036" t="str">
        <x:f>IF(ISNUMBER($AS63),INDEX($AG$6:$AG$37,$AS63),"")</x:f>
      </x:c>
      <x:c r="I63" s="2036" t="str">
        <x:f>IF(ISNUMBER($AS63),IF(INDEX($AH$6:$AH$37,$AS63)=0,"À préciser",CHOOSE(INDEX($AH$6:$AH$37,$AS63),"NR / RSE","Avec DSI","Hors DSI","Externe")),"")</x:f>
      </x:c>
      <x:c r="J63" s="2035" t="str">
        <x:f>IF(ISNUMBER($AS63),IF(INDEX($AJ$6:$AJ$37,$AS63)=0,"À proposer",LEFT(INDEX($AI$6:$AI$37,$AS63),180)&amp;IF(LEN(INDEX($AI$6:$AI$37,$AS63))&gt;180,"…","")),"")</x:f>
      </x:c>
      <x:c r="K63" s="2035"/>
      <x:c r="L63" s="2035"/>
      <x:c r="M63" s="2037"/>
      <x:c r="AS63" t="str">
        <x:f>IF(3&gt;$H$16+$I$16,"",MATCH(LARGE($AC$6:$AC$37,3),$AC$6:$AC$37,0))</x:f>
      </x:c>
    </x:row>
    <x:row r="64" s="1211" customFormat="1" ht="112" customHeight="1">
      <x:c r="B64" s="2030" t="str">
        <x:f>IF(ISNUMBER($AS64),INDEX($AD$6:$AD$37,$AS64),"")</x:f>
      </x:c>
      <x:c r="C64" s="2031" t="str">
        <x:f>IF(ISNUMBER($AS64),INDEX($AE$6:$AE$37,$AS64),"")</x:f>
      </x:c>
      <x:c r="D64" s="2031"/>
      <x:c r="E64" s="2031"/>
      <x:c r="F64" s="2031"/>
      <x:c r="G64" s="2032" t="str">
        <x:f>IF(ISNUMBER($AS64),IF(INDEX($AB$6:$AB$37,$AS64)=6,"Urgente","Prioritaire"),"")</x:f>
      </x:c>
      <x:c r="H64" s="2032" t="str">
        <x:f>IF(ISNUMBER($AS64),INDEX($AG$6:$AG$37,$AS64),"")</x:f>
      </x:c>
      <x:c r="I64" s="2032" t="str">
        <x:f>IF(ISNUMBER($AS64),IF(INDEX($AH$6:$AH$37,$AS64)=0,"À préciser",CHOOSE(INDEX($AH$6:$AH$37,$AS64),"NR / RSE","Avec DSI","Hors DSI","Externe")),"")</x:f>
      </x:c>
      <x:c r="J64" s="2031" t="str">
        <x:f>IF(ISNUMBER($AS64),IF(INDEX($AJ$6:$AJ$37,$AS64)=0,"À proposer",LEFT(INDEX($AI$6:$AI$37,$AS64),180)&amp;IF(LEN(INDEX($AI$6:$AI$37,$AS64))&gt;180,"…","")),"")</x:f>
      </x:c>
      <x:c r="K64" s="2031"/>
      <x:c r="L64" s="2031"/>
      <x:c r="M64" s="2033"/>
      <x:c r="AS64" t="str">
        <x:f>IF(4&gt;$H$16+$I$16,"",MATCH(LARGE($AC$6:$AC$37,4),$AC$6:$AC$37,0))</x:f>
      </x:c>
    </x:row>
    <x:row r="65" s="1211" customFormat="1" ht="112" customHeight="1">
      <x:c r="B65" s="2034" t="str">
        <x:f>IF(ISNUMBER($AS65),INDEX($AD$6:$AD$37,$AS65),"")</x:f>
      </x:c>
      <x:c r="C65" s="2035" t="str">
        <x:f>IF(ISNUMBER($AS65),INDEX($AE$6:$AE$37,$AS65),"")</x:f>
      </x:c>
      <x:c r="D65" s="2035"/>
      <x:c r="E65" s="2035"/>
      <x:c r="F65" s="2035"/>
      <x:c r="G65" s="2036" t="str">
        <x:f>IF(ISNUMBER($AS65),IF(INDEX($AB$6:$AB$37,$AS65)=6,"Urgente","Prioritaire"),"")</x:f>
      </x:c>
      <x:c r="H65" s="2036" t="str">
        <x:f>IF(ISNUMBER($AS65),INDEX($AG$6:$AG$37,$AS65),"")</x:f>
      </x:c>
      <x:c r="I65" s="2036" t="str">
        <x:f>IF(ISNUMBER($AS65),IF(INDEX($AH$6:$AH$37,$AS65)=0,"À préciser",CHOOSE(INDEX($AH$6:$AH$37,$AS65),"NR / RSE","Avec DSI","Hors DSI","Externe")),"")</x:f>
      </x:c>
      <x:c r="J65" s="2035" t="str">
        <x:f>IF(ISNUMBER($AS65),IF(INDEX($AJ$6:$AJ$37,$AS65)=0,"À proposer",LEFT(INDEX($AI$6:$AI$37,$AS65),180)&amp;IF(LEN(INDEX($AI$6:$AI$37,$AS65))&gt;180,"…","")),"")</x:f>
      </x:c>
      <x:c r="K65" s="2035"/>
      <x:c r="L65" s="2035"/>
      <x:c r="M65" s="2037"/>
      <x:c r="AS65" t="str">
        <x:f>IF(5&gt;$H$16+$I$16,"",MATCH(LARGE($AC$6:$AC$37,5),$AC$6:$AC$37,0))</x:f>
      </x:c>
    </x:row>
    <x:row r="66" s="1211" customFormat="1" ht="112" customHeight="1">
      <x:c r="B66" s="2030" t="str">
        <x:f>IF(ISNUMBER($AS66),INDEX($AD$6:$AD$37,$AS66),"")</x:f>
      </x:c>
      <x:c r="C66" s="2031" t="str">
        <x:f>IF(ISNUMBER($AS66),INDEX($AE$6:$AE$37,$AS66),"")</x:f>
      </x:c>
      <x:c r="D66" s="2031"/>
      <x:c r="E66" s="2031"/>
      <x:c r="F66" s="2031"/>
      <x:c r="G66" s="2032" t="str">
        <x:f>IF(ISNUMBER($AS66),IF(INDEX($AB$6:$AB$37,$AS66)=6,"Urgente","Prioritaire"),"")</x:f>
      </x:c>
      <x:c r="H66" s="2032" t="str">
        <x:f>IF(ISNUMBER($AS66),INDEX($AG$6:$AG$37,$AS66),"")</x:f>
      </x:c>
      <x:c r="I66" s="2032" t="str">
        <x:f>IF(ISNUMBER($AS66),IF(INDEX($AH$6:$AH$37,$AS66)=0,"À préciser",CHOOSE(INDEX($AH$6:$AH$37,$AS66),"NR / RSE","Avec DSI","Hors DSI","Externe")),"")</x:f>
      </x:c>
      <x:c r="J66" s="2031" t="str">
        <x:f>IF(ISNUMBER($AS66),IF(INDEX($AJ$6:$AJ$37,$AS66)=0,"À proposer",LEFT(INDEX($AI$6:$AI$37,$AS66),180)&amp;IF(LEN(INDEX($AI$6:$AI$37,$AS66))&gt;180,"…","")),"")</x:f>
      </x:c>
      <x:c r="K66" s="2031"/>
      <x:c r="L66" s="2031"/>
      <x:c r="M66" s="2033"/>
      <x:c r="AS66" t="str">
        <x:f>IF(6&gt;$H$16+$I$16,"",MATCH(LARGE($AC$6:$AC$37,6),$AC$6:$AC$37,0))</x:f>
      </x:c>
    </x:row>
    <x:row r="67" s="1211" customFormat="1" ht="112" customHeight="1">
      <x:c r="B67" s="2034" t="str">
        <x:f>IF(ISNUMBER($AS67),INDEX($AD$6:$AD$37,$AS67),"")</x:f>
      </x:c>
      <x:c r="C67" s="2035" t="str">
        <x:f>IF(ISNUMBER($AS67),INDEX($AE$6:$AE$37,$AS67),"")</x:f>
      </x:c>
      <x:c r="D67" s="2035"/>
      <x:c r="E67" s="2035"/>
      <x:c r="F67" s="2035"/>
      <x:c r="G67" s="2036" t="str">
        <x:f>IF(ISNUMBER($AS67),IF(INDEX($AB$6:$AB$37,$AS67)=6,"Urgente","Prioritaire"),"")</x:f>
      </x:c>
      <x:c r="H67" s="2036" t="str">
        <x:f>IF(ISNUMBER($AS67),INDEX($AG$6:$AG$37,$AS67),"")</x:f>
      </x:c>
      <x:c r="I67" s="2036" t="str">
        <x:f>IF(ISNUMBER($AS67),IF(INDEX($AH$6:$AH$37,$AS67)=0,"À préciser",CHOOSE(INDEX($AH$6:$AH$37,$AS67),"NR / RSE","Avec DSI","Hors DSI","Externe")),"")</x:f>
      </x:c>
      <x:c r="J67" s="2035" t="str">
        <x:f>IF(ISNUMBER($AS67),IF(INDEX($AJ$6:$AJ$37,$AS67)=0,"À proposer",LEFT(INDEX($AI$6:$AI$37,$AS67),180)&amp;IF(LEN(INDEX($AI$6:$AI$37,$AS67))&gt;180,"…","")),"")</x:f>
      </x:c>
      <x:c r="K67" s="2035"/>
      <x:c r="L67" s="2035"/>
      <x:c r="M67" s="2037"/>
      <x:c r="AS67" t="str">
        <x:f>IF(7&gt;$H$16+$I$16,"",MATCH(LARGE($AC$6:$AC$37,7),$AC$6:$AC$37,0))</x:f>
      </x:c>
    </x:row>
    <x:row r="68" s="1211" customFormat="1" ht="112" customHeight="1">
      <x:c r="B68" s="2030" t="str">
        <x:f>IF(ISNUMBER($AS68),INDEX($AD$6:$AD$37,$AS68),"")</x:f>
      </x:c>
      <x:c r="C68" s="2031" t="str">
        <x:f>IF(ISNUMBER($AS68),INDEX($AE$6:$AE$37,$AS68),"")</x:f>
      </x:c>
      <x:c r="D68" s="2031"/>
      <x:c r="E68" s="2031"/>
      <x:c r="F68" s="2031"/>
      <x:c r="G68" s="2032" t="str">
        <x:f>IF(ISNUMBER($AS68),IF(INDEX($AB$6:$AB$37,$AS68)=6,"Urgente","Prioritaire"),"")</x:f>
      </x:c>
      <x:c r="H68" s="2032" t="str">
        <x:f>IF(ISNUMBER($AS68),INDEX($AG$6:$AG$37,$AS68),"")</x:f>
      </x:c>
      <x:c r="I68" s="2032" t="str">
        <x:f>IF(ISNUMBER($AS68),IF(INDEX($AH$6:$AH$37,$AS68)=0,"À préciser",CHOOSE(INDEX($AH$6:$AH$37,$AS68),"NR / RSE","Avec DSI","Hors DSI","Externe")),"")</x:f>
      </x:c>
      <x:c r="J68" s="2031" t="str">
        <x:f>IF(ISNUMBER($AS68),IF(INDEX($AJ$6:$AJ$37,$AS68)=0,"À proposer",LEFT(INDEX($AI$6:$AI$37,$AS68),180)&amp;IF(LEN(INDEX($AI$6:$AI$37,$AS68))&gt;180,"…","")),"")</x:f>
      </x:c>
      <x:c r="K68" s="2031"/>
      <x:c r="L68" s="2031"/>
      <x:c r="M68" s="2033"/>
      <x:c r="AS68" t="str">
        <x:f>IF(8&gt;$H$16+$I$16,"",MATCH(LARGE($AC$6:$AC$37,8),$AC$6:$AC$37,0))</x:f>
      </x:c>
    </x:row>
    <x:row r="69" s="1211" customFormat="1" ht="112" customHeight="1">
      <x:c r="B69" s="2034" t="str">
        <x:f>IF(ISNUMBER($AS69),INDEX($AD$6:$AD$37,$AS69),"")</x:f>
      </x:c>
      <x:c r="C69" s="2035" t="str">
        <x:f>IF(ISNUMBER($AS69),INDEX($AE$6:$AE$37,$AS69),"")</x:f>
      </x:c>
      <x:c r="D69" s="2035"/>
      <x:c r="E69" s="2035"/>
      <x:c r="F69" s="2035"/>
      <x:c r="G69" s="2036" t="str">
        <x:f>IF(ISNUMBER($AS69),IF(INDEX($AB$6:$AB$37,$AS69)=6,"Urgente","Prioritaire"),"")</x:f>
      </x:c>
      <x:c r="H69" s="2036" t="str">
        <x:f>IF(ISNUMBER($AS69),INDEX($AG$6:$AG$37,$AS69),"")</x:f>
      </x:c>
      <x:c r="I69" s="2036" t="str">
        <x:f>IF(ISNUMBER($AS69),IF(INDEX($AH$6:$AH$37,$AS69)=0,"À préciser",CHOOSE(INDEX($AH$6:$AH$37,$AS69),"NR / RSE","Avec DSI","Hors DSI","Externe")),"")</x:f>
      </x:c>
      <x:c r="J69" s="2035" t="str">
        <x:f>IF(ISNUMBER($AS69),IF(INDEX($AJ$6:$AJ$37,$AS69)=0,"À proposer",LEFT(INDEX($AI$6:$AI$37,$AS69),180)&amp;IF(LEN(INDEX($AI$6:$AI$37,$AS69))&gt;180,"…","")),"")</x:f>
      </x:c>
      <x:c r="K69" s="2035"/>
      <x:c r="L69" s="2035"/>
      <x:c r="M69" s="2037"/>
      <x:c r="AS69" t="str">
        <x:f>IF(9&gt;$H$16+$I$16,"",MATCH(LARGE($AC$6:$AC$37,9),$AC$6:$AC$37,0))</x:f>
      </x:c>
    </x:row>
    <x:row r="70" s="1211" customFormat="1" ht="112" customHeight="1">
      <x:c r="B70" s="2030" t="str">
        <x:f>IF(ISNUMBER($AS70),INDEX($AD$6:$AD$37,$AS70),"")</x:f>
      </x:c>
      <x:c r="C70" s="2031" t="str">
        <x:f>IF(ISNUMBER($AS70),INDEX($AE$6:$AE$37,$AS70),"")</x:f>
      </x:c>
      <x:c r="D70" s="2031"/>
      <x:c r="E70" s="2031"/>
      <x:c r="F70" s="2031"/>
      <x:c r="G70" s="2032" t="str">
        <x:f>IF(ISNUMBER($AS70),IF(INDEX($AB$6:$AB$37,$AS70)=6,"Urgente","Prioritaire"),"")</x:f>
      </x:c>
      <x:c r="H70" s="2032" t="str">
        <x:f>IF(ISNUMBER($AS70),INDEX($AG$6:$AG$37,$AS70),"")</x:f>
      </x:c>
      <x:c r="I70" s="2032" t="str">
        <x:f>IF(ISNUMBER($AS70),IF(INDEX($AH$6:$AH$37,$AS70)=0,"À préciser",CHOOSE(INDEX($AH$6:$AH$37,$AS70),"NR / RSE","Avec DSI","Hors DSI","Externe")),"")</x:f>
      </x:c>
      <x:c r="J70" s="2031" t="str">
        <x:f>IF(ISNUMBER($AS70),IF(INDEX($AJ$6:$AJ$37,$AS70)=0,"À proposer",LEFT(INDEX($AI$6:$AI$37,$AS70),180)&amp;IF(LEN(INDEX($AI$6:$AI$37,$AS70))&gt;180,"…","")),"")</x:f>
      </x:c>
      <x:c r="K70" s="2031"/>
      <x:c r="L70" s="2031"/>
      <x:c r="M70" s="2033"/>
      <x:c r="AS70" t="str">
        <x:f>IF(10&gt;$H$16+$I$16,"",MATCH(LARGE($AC$6:$AC$37,10),$AC$6:$AC$37,0))</x:f>
      </x:c>
    </x:row>
    <x:row r="71" s="1211" customFormat="1" ht="24" customHeight="1">
      <x:c r="B71" s="1923"/>
      <x:c r="C71" s="1923"/>
      <x:c r="D71" s="1923"/>
      <x:c r="E71" s="1923"/>
      <x:c r="F71" s="1923"/>
      <x:c r="G71" s="1923"/>
      <x:c r="H71" s="1923"/>
      <x:c r="I71" s="1923"/>
      <x:c r="J71" s="1923"/>
      <x:c r="K71" s="1923"/>
      <x:c r="L71" s="1923"/>
      <x:c r="M71" s="1923"/>
    </x:row>
    <x:row r="72" s="1211" customFormat="1" ht="24" customHeight="1">
      <x:c r="B72" s="1949" t="str">
        <x:v>Les actions sont abrégées ici. Consulter l’onglet ONR de la cible pour lire le texte complet et préparer la mise en œuvre.</x:v>
      </x:c>
      <x:c r="C72" s="1949"/>
      <x:c r="D72" s="1949"/>
      <x:c r="E72" s="1949"/>
      <x:c r="F72" s="1949"/>
      <x:c r="G72" s="1949"/>
      <x:c r="H72" s="1949"/>
      <x:c r="I72" s="1949"/>
      <x:c r="J72" s="1949"/>
      <x:c r="K72" s="1949"/>
      <x:c r="L72" s="1949"/>
      <x:c r="M72" s="1949"/>
    </x:row>
    <x:row r="73" s="1211" customFormat="1" ht="24" customHeight="1">
      <x:c r="B73" s="1949" t="str">
        <x:v>Au-delà de dix priorités, consulter « Résultats détaillés ». Les égalités de priorité sont classées par numéro, sans différence d’importance.</x:v>
      </x:c>
      <x:c r="C73" s="1949"/>
      <x:c r="D73" s="1949"/>
      <x:c r="E73" s="1949"/>
      <x:c r="F73" s="1949"/>
      <x:c r="G73" s="1949"/>
      <x:c r="H73" s="1949"/>
      <x:c r="I73" s="1949"/>
      <x:c r="J73" s="1949"/>
      <x:c r="K73" s="1949"/>
      <x:c r="L73" s="1949"/>
      <x:c r="M73" s="1949"/>
    </x:row>
    <x:row r="74" s="1211" customFormat="1" ht="24" customHeight="1">
      <x:c r="B74" s="1923"/>
      <x:c r="C74" s="1923"/>
      <x:c r="D74" s="1923"/>
      <x:c r="E74" s="1923"/>
      <x:c r="F74" s="1923"/>
      <x:c r="G74" s="1923"/>
      <x:c r="H74" s="1923"/>
      <x:c r="I74" s="1923"/>
      <x:c r="J74" s="1923"/>
      <x:c r="K74" s="1923"/>
      <x:c r="L74" s="1923"/>
      <x:c r="M74" s="1923"/>
    </x:row>
    <x:row r="75" s="1211" customFormat="1"/>
    <x:row r="76" s="1211" customFormat="1"/>
    <x:row r="77" s="1211" customFormat="1"/>
    <x:row r="78" s="1211" customFormat="1"/>
    <x:row r="79" s="1211" customFormat="1"/>
    <x:row r="80" s="1211" customFormat="1"/>
    <x:row r="81" s="1211" customFormat="1"/>
    <x:row r="82" s="1211" customFormat="1"/>
    <x:row r="83" s="1211" customFormat="1"/>
    <x:row r="84" s="1211" customFormat="1"/>
    <x:row r="85" s="1211" customFormat="1"/>
    <x:row r="86" s="1211" customFormat="1"/>
    <x:row r="87" s="1211" customFormat="1"/>
    <x:row r="88" s="1211" customFormat="1"/>
    <x:row r="89" s="1211" customFormat="1"/>
    <x:row r="90" s="1211" customFormat="1"/>
    <x:row r="91" s="1211" customFormat="1"/>
    <x:row r="92" s="1211" customFormat="1"/>
    <x:row r="93" s="1211" customFormat="1"/>
    <x:row r="94" s="1211" customFormat="1"/>
    <x:row r="95" s="1211" customFormat="1"/>
    <x:row r="96" s="1211" customFormat="1"/>
    <x:row r="97" s="1211" customFormat="1"/>
    <x:row r="98" s="1211" customFormat="1"/>
    <x:row r="99" s="1211" customFormat="1"/>
    <x:row r="100" s="1211" customFormat="1"/>
    <x:row r="101" s="1211" customFormat="1"/>
    <x:row r="102" s="1211" customFormat="1"/>
    <x:row r="103" s="1211" customFormat="1"/>
    <x:row r="104" s="1211" customFormat="1"/>
    <x:row r="105" s="1211" customFormat="1"/>
    <x:row r="106" s="1211" customFormat="1"/>
    <x:row r="107" s="1211" customFormat="1"/>
    <x:row r="108" s="1211" customFormat="1"/>
    <x:row r="109" s="1211" customFormat="1"/>
    <x:row r="110" s="1211" customFormat="1"/>
    <x:row r="111" s="1211" customFormat="1"/>
    <x:row r="112" s="1211" customFormat="1"/>
    <x:row r="113" s="1211" customFormat="1"/>
    <x:row r="114" s="1211" customFormat="1"/>
    <x:row r="115" s="1211" customFormat="1"/>
    <x:row r="116" s="1211" customFormat="1"/>
    <x:row r="117" s="1211" customFormat="1"/>
    <x:row r="118" s="1211" customFormat="1"/>
    <x:row r="119" s="1211" customFormat="1"/>
    <x:row r="120" s="1211" customFormat="1"/>
    <x:row r="121" s="1211" customFormat="1"/>
    <x:row r="122" s="1211" customFormat="1"/>
    <x:row r="123" s="1211" customFormat="1"/>
    <x:row r="124" s="1211" customFormat="1"/>
    <x:row r="125" s="1211" customFormat="1"/>
    <x:row r="126" s="1211" customFormat="1"/>
    <x:row r="127" s="1211" customFormat="1"/>
    <x:row r="128" s="1211" customFormat="1"/>
    <x:row r="129" s="1211" customFormat="1"/>
    <x:row r="130" s="1211" customFormat="1"/>
    <x:row r="131" s="1211" customFormat="1"/>
    <x:row r="132" s="1211" customFormat="1"/>
    <x:row r="133" s="1211" customFormat="1"/>
    <x:row r="134" s="1211" customFormat="1"/>
    <x:row r="135" s="1211" customFormat="1"/>
    <x:row r="136" s="1211" customFormat="1"/>
    <x:row r="137" s="1211" customFormat="1"/>
    <x:row r="138" s="1211" customFormat="1"/>
    <x:row r="139" s="1211" customFormat="1"/>
    <x:row r="140" s="1211" customFormat="1"/>
    <x:row r="141" s="1211" customFormat="1"/>
    <x:row r="142" s="1211" customFormat="1"/>
    <x:row r="143" s="1211" customFormat="1"/>
    <x:row r="144" s="1211" customFormat="1"/>
    <x:row r="145" s="1211" customFormat="1"/>
    <x:row r="146" s="1211" customFormat="1"/>
    <x:row r="147" s="1211" customFormat="1"/>
    <x:row r="148" s="1211" customFormat="1"/>
    <x:row r="149" s="1211" customFormat="1"/>
    <x:row r="150" s="1211" customFormat="1"/>
    <x:row r="151" s="1211" customFormat="1"/>
    <x:row r="152" s="1211" customFormat="1"/>
    <x:row r="153" s="1211" customFormat="1"/>
    <x:row r="154" s="1211" customFormat="1"/>
    <x:row r="155" s="1211" customFormat="1"/>
    <x:row r="156" s="1211" customFormat="1"/>
    <x:row r="157" s="1211" customFormat="1"/>
    <x:row r="158" s="1211" customFormat="1"/>
    <x:row r="159" s="1211" customFormat="1"/>
    <x:row r="160" s="1211" customFormat="1"/>
    <x:row r="161" s="1211" customFormat="1"/>
    <x:row r="162" s="1211" customFormat="1"/>
    <x:row r="163" s="1211" customFormat="1"/>
    <x:row r="164" s="1211" customFormat="1"/>
    <x:row r="165" s="1211" customFormat="1"/>
    <x:row r="166" s="1211" customFormat="1"/>
    <x:row r="167" s="1211" customFormat="1"/>
    <x:row r="168" s="1211" customFormat="1"/>
    <x:row r="169" s="1211" customFormat="1"/>
    <x:row r="170" s="1211" customFormat="1"/>
    <x:row r="171" s="1211" customFormat="1"/>
    <x:row r="172" s="1211" customFormat="1"/>
    <x:row r="173" s="1211" customFormat="1"/>
    <x:row r="174" s="1211" customFormat="1"/>
    <x:row r="175" s="1211" customFormat="1"/>
    <x:row r="176" s="1211" customFormat="1"/>
    <x:row r="177" s="1211" customFormat="1"/>
    <x:row r="178" s="1211" customFormat="1"/>
    <x:row r="179" s="1211" customFormat="1"/>
    <x:row r="180" s="1211" customFormat="1"/>
    <x:row r="181" s="1211" customFormat="1"/>
    <x:row r="182" s="1211" customFormat="1"/>
    <x:row r="183" s="1211" customFormat="1"/>
    <x:row r="184" s="1211" customFormat="1"/>
    <x:row r="185" s="1211" customFormat="1"/>
    <x:row r="186" s="1211" customFormat="1"/>
    <x:row r="187" s="1211" customFormat="1"/>
    <x:row r="188" s="1211" customFormat="1"/>
    <x:row r="189" s="1211" customFormat="1"/>
    <x:row r="190" s="1211" customFormat="1"/>
    <x:row r="191" s="1211" customFormat="1"/>
    <x:row r="192" s="1211" customFormat="1"/>
    <x:row r="193" s="1211" customFormat="1"/>
    <x:row r="194" s="1211" customFormat="1"/>
    <x:row r="195" s="1211" customFormat="1"/>
    <x:row r="196" s="1211" customFormat="1"/>
    <x:row r="197" s="1211" customFormat="1"/>
    <x:row r="198" s="1211" customFormat="1"/>
    <x:row r="199" s="1211" customFormat="1"/>
    <x:row r="200" s="1211" customFormat="1"/>
    <x:row r="201" s="1211" customFormat="1"/>
    <x:row r="202" s="1211" customFormat="1"/>
    <x:row r="203" s="1211" customFormat="1"/>
    <x:row r="204" s="1211" customFormat="1"/>
    <x:row r="205" s="1211" customFormat="1"/>
    <x:row r="206" s="1211" customFormat="1"/>
    <x:row r="207" s="1211" customFormat="1"/>
    <x:row r="208" s="1211" customFormat="1"/>
    <x:row r="209" s="1211" customFormat="1"/>
    <x:row r="210" s="1211" customFormat="1"/>
    <x:row r="211" s="1211" customFormat="1"/>
    <x:row r="212" s="1211" customFormat="1"/>
    <x:row r="213" s="1211" customFormat="1"/>
    <x:row r="214" s="1211" customFormat="1"/>
    <x:row r="215" s="1211" customFormat="1"/>
    <x:row r="216" s="1211" customFormat="1"/>
    <x:row r="217" s="1211" customFormat="1"/>
    <x:row r="218" s="1211" customFormat="1"/>
    <x:row r="219" s="1211" customFormat="1"/>
    <x:row r="220" s="1211" customFormat="1"/>
    <x:row r="221" s="1211" customFormat="1"/>
    <x:row r="222" s="1211" customFormat="1"/>
    <x:row r="223" s="1211" customFormat="1"/>
    <x:row r="224" s="1211" customFormat="1"/>
    <x:row r="225" s="1211" customFormat="1"/>
    <x:row r="226" s="1211" customFormat="1"/>
    <x:row r="227" s="1211" customFormat="1"/>
    <x:row r="228" s="1211" customFormat="1"/>
    <x:row r="229" s="1211" customFormat="1"/>
    <x:row r="230" s="1211" customFormat="1"/>
    <x:row r="231" s="1211" customFormat="1"/>
    <x:row r="232" s="1211" customFormat="1"/>
    <x:row r="233" s="1211" customFormat="1"/>
    <x:row r="234" s="1211" customFormat="1"/>
    <x:row r="235" s="1211" customFormat="1"/>
    <x:row r="236" s="1211" customFormat="1"/>
    <x:row r="237" s="1211" customFormat="1"/>
    <x:row r="238" s="1211" customFormat="1"/>
    <x:row r="239" s="1211" customFormat="1"/>
    <x:row r="240" s="1211" customFormat="1"/>
    <x:row r="241" s="1211" customFormat="1"/>
    <x:row r="242" s="1211" customFormat="1"/>
    <x:row r="243" s="1211" customFormat="1"/>
    <x:row r="244" s="1211" customFormat="1"/>
    <x:row r="245" s="1211" customFormat="1"/>
    <x:row r="246" s="1211" customFormat="1"/>
    <x:row r="247" s="1211" customFormat="1"/>
    <x:row r="248" s="1211" customFormat="1"/>
    <x:row r="249" s="1211" customFormat="1"/>
    <x:row r="250" s="1211" customFormat="1"/>
    <x:row r="251" s="1211" customFormat="1"/>
    <x:row r="252" s="1211" customFormat="1"/>
    <x:row r="253" s="1211" customFormat="1"/>
    <x:row r="254" s="1211" customFormat="1"/>
    <x:row r="255" s="1211" customFormat="1"/>
    <x:row r="256" s="1211" customFormat="1"/>
    <x:row r="257" s="1211" customFormat="1"/>
    <x:row r="258" s="1211" customFormat="1"/>
    <x:row r="259" s="1211" customFormat="1"/>
    <x:row r="260" s="1211" customFormat="1"/>
    <x:row r="261" s="1211" customFormat="1"/>
    <x:row r="262" s="1211" customFormat="1"/>
    <x:row r="263" s="1211" customFormat="1"/>
    <x:row r="264" s="1211" customFormat="1"/>
    <x:row r="265" s="1211" customFormat="1"/>
    <x:row r="266" s="1211" customFormat="1"/>
    <x:row r="267" s="1211" customFormat="1"/>
    <x:row r="268" s="1211" customFormat="1"/>
    <x:row r="269" s="1211" customFormat="1"/>
    <x:row r="270" s="1211" customFormat="1"/>
    <x:row r="271" s="1211" customFormat="1"/>
    <x:row r="272" s="1211" customFormat="1"/>
    <x:row r="273" s="1211" customFormat="1"/>
    <x:row r="274" s="1211" customFormat="1"/>
    <x:row r="275" s="1211" customFormat="1"/>
    <x:row r="276" s="1211" customFormat="1"/>
    <x:row r="277" s="1211" customFormat="1"/>
    <x:row r="278" s="1211" customFormat="1"/>
    <x:row r="279" s="1211" customFormat="1"/>
    <x:row r="280" s="1211" customFormat="1"/>
    <x:row r="281" s="1211" customFormat="1"/>
    <x:row r="282" s="1211" customFormat="1"/>
    <x:row r="283" s="1211" customFormat="1"/>
    <x:row r="284" s="1211" customFormat="1"/>
    <x:row r="285" s="1211" customFormat="1"/>
    <x:row r="286" s="1211" customFormat="1"/>
    <x:row r="287" s="1211" customFormat="1"/>
    <x:row r="288" s="1211" customFormat="1"/>
    <x:row r="289" s="1211" customFormat="1"/>
    <x:row r="290" s="1211" customFormat="1"/>
    <x:row r="291" s="1211" customFormat="1"/>
    <x:row r="292" s="1211" customFormat="1"/>
    <x:row r="293" s="1211" customFormat="1"/>
    <x:row r="294" s="1211" customFormat="1"/>
    <x:row r="295" s="1211" customFormat="1"/>
    <x:row r="296" s="1211" customFormat="1"/>
    <x:row r="297" s="1211" customFormat="1"/>
    <x:row r="298" s="1211" customFormat="1"/>
    <x:row r="299" s="1211" customFormat="1"/>
    <x:row r="300" s="1211" customFormat="1"/>
    <x:row r="301" s="1211" customFormat="1"/>
    <x:row r="302" s="1211" customFormat="1"/>
    <x:row r="303" s="1211" customFormat="1"/>
    <x:row r="304" s="1211" customFormat="1"/>
    <x:row r="305" s="1211" customFormat="1"/>
    <x:row r="306" s="1211" customFormat="1"/>
    <x:row r="307" s="1211" customFormat="1"/>
    <x:row r="308" s="1211" customFormat="1"/>
    <x:row r="309" s="1211" customFormat="1"/>
    <x:row r="310" s="1211" customFormat="1"/>
    <x:row r="311" s="1211" customFormat="1"/>
    <x:row r="312" s="1211" customFormat="1"/>
    <x:row r="313" s="1211" customFormat="1"/>
    <x:row r="314" s="1211" customFormat="1"/>
    <x:row r="315" s="1211" customFormat="1"/>
    <x:row r="316" s="1211" customFormat="1"/>
    <x:row r="317" s="1211" customFormat="1"/>
    <x:row r="318" s="1211" customFormat="1"/>
    <x:row r="319" s="1211" customFormat="1"/>
    <x:row r="320" s="1211" customFormat="1"/>
    <x:row r="321" s="1211" customFormat="1"/>
    <x:row r="322" s="1211" customFormat="1"/>
    <x:row r="323" s="1211" customFormat="1"/>
    <x:row r="324" s="1211" customFormat="1"/>
    <x:row r="325" s="1211" customFormat="1"/>
    <x:row r="326" s="1211" customFormat="1"/>
    <x:row r="327" s="1211" customFormat="1"/>
    <x:row r="328" s="1211" customFormat="1"/>
    <x:row r="329" s="1211" customFormat="1"/>
    <x:row r="330" s="1211" customFormat="1"/>
    <x:row r="331" s="1211" customFormat="1"/>
    <x:row r="332" s="1211" customFormat="1"/>
    <x:row r="333" s="1211" customFormat="1"/>
    <x:row r="334" s="1211" customFormat="1"/>
    <x:row r="335" s="1211" customFormat="1"/>
    <x:row r="336" s="1211" customFormat="1"/>
    <x:row r="337" s="1211" customFormat="1"/>
    <x:row r="338" s="1211" customFormat="1"/>
    <x:row r="339" s="1211" customFormat="1"/>
    <x:row r="340" s="1211" customFormat="1"/>
    <x:row r="341" s="1211" customFormat="1"/>
    <x:row r="342" s="1211" customFormat="1"/>
    <x:row r="343" s="1211" customFormat="1"/>
    <x:row r="344" s="1211" customFormat="1"/>
    <x:row r="345" s="1211" customFormat="1"/>
    <x:row r="346" s="1211" customFormat="1"/>
    <x:row r="347" s="1211" customFormat="1"/>
    <x:row r="348" s="1211" customFormat="1"/>
    <x:row r="349" s="1211" customFormat="1"/>
    <x:row r="350" s="1211" customFormat="1"/>
    <x:row r="351" s="1211" customFormat="1"/>
    <x:row r="352" s="1211" customFormat="1"/>
    <x:row r="353" s="1211" customFormat="1"/>
    <x:row r="354" s="1211" customFormat="1"/>
    <x:row r="355" s="1211" customFormat="1"/>
    <x:row r="356" s="1211" customFormat="1"/>
    <x:row r="357" s="1211" customFormat="1"/>
    <x:row r="358" s="1211" customFormat="1"/>
    <x:row r="359" s="1211" customFormat="1"/>
    <x:row r="360" s="1211" customFormat="1"/>
    <x:row r="361" s="1211" customFormat="1"/>
    <x:row r="362" s="1211" customFormat="1"/>
    <x:row r="363" s="1211" customFormat="1"/>
    <x:row r="364" s="1211" customFormat="1"/>
    <x:row r="365" s="1211" customFormat="1"/>
    <x:row r="366" s="1211" customFormat="1"/>
    <x:row r="367" s="1211" customFormat="1"/>
    <x:row r="368" s="1211" customFormat="1"/>
    <x:row r="369" s="1211" customFormat="1"/>
    <x:row r="370" s="1211" customFormat="1"/>
    <x:row r="371" s="1211" customFormat="1"/>
    <x:row r="372" s="1211" customFormat="1"/>
    <x:row r="373" s="1211" customFormat="1"/>
    <x:row r="374" s="1211" customFormat="1"/>
    <x:row r="375" s="1211" customFormat="1"/>
    <x:row r="376" s="1211" customFormat="1"/>
    <x:row r="377" s="1211" customFormat="1"/>
    <x:row r="378" s="1211" customFormat="1"/>
    <x:row r="379" s="1211" customFormat="1"/>
    <x:row r="380" s="1211" customFormat="1"/>
    <x:row r="381" s="1211" customFormat="1"/>
    <x:row r="382" s="1211" customFormat="1"/>
    <x:row r="383" s="1211" customFormat="1"/>
    <x:row r="384" s="1211" customFormat="1"/>
    <x:row r="385" s="1211" customFormat="1"/>
    <x:row r="386" s="1211" customFormat="1"/>
    <x:row r="387" s="1211" customFormat="1"/>
    <x:row r="388" s="1211" customFormat="1"/>
    <x:row r="389" s="1211" customFormat="1"/>
    <x:row r="390" s="1211" customFormat="1"/>
    <x:row r="391" s="1211" customFormat="1"/>
    <x:row r="392" s="1211" customFormat="1"/>
    <x:row r="393" s="1211" customFormat="1"/>
    <x:row r="394" s="1211" customFormat="1"/>
    <x:row r="395" s="1211" customFormat="1"/>
    <x:row r="396" s="1211" customFormat="1"/>
    <x:row r="397" s="1211" customFormat="1"/>
    <x:row r="398" s="1211" customFormat="1"/>
    <x:row r="399" s="1211" customFormat="1"/>
    <x:row r="400" s="1211" customFormat="1"/>
    <x:row r="401" s="1211" customFormat="1"/>
    <x:row r="402" s="1211" customFormat="1"/>
    <x:row r="403" s="1211" customFormat="1"/>
    <x:row r="404" s="1211" customFormat="1"/>
    <x:row r="405" s="1211" customFormat="1"/>
    <x:row r="406" s="1211" customFormat="1"/>
    <x:row r="407" s="1211" customFormat="1"/>
    <x:row r="408" s="1211" customFormat="1"/>
    <x:row r="409" s="1211" customFormat="1"/>
    <x:row r="410" s="1211" customFormat="1"/>
    <x:row r="411" s="1211" customFormat="1"/>
    <x:row r="412" s="1211" customFormat="1"/>
    <x:row r="413" s="1211" customFormat="1"/>
    <x:row r="414" s="1211" customFormat="1"/>
    <x:row r="415" s="1211" customFormat="1"/>
    <x:row r="416" s="1211" customFormat="1"/>
    <x:row r="417" s="1211" customFormat="1"/>
    <x:row r="418" s="1211" customFormat="1"/>
    <x:row r="419" s="1211" customFormat="1"/>
    <x:row r="420" s="1211" customFormat="1"/>
    <x:row r="421" s="1211" customFormat="1"/>
    <x:row r="422" s="1211" customFormat="1"/>
    <x:row r="423" s="1211" customFormat="1"/>
    <x:row r="424" s="1211" customFormat="1"/>
    <x:row r="425" s="1211" customFormat="1"/>
    <x:row r="426" s="1211" customFormat="1"/>
    <x:row r="427" s="1211" customFormat="1"/>
    <x:row r="428" s="1211" customFormat="1"/>
    <x:row r="429" s="1211" customFormat="1"/>
    <x:row r="430" s="1211" customFormat="1"/>
    <x:row r="431" s="1211" customFormat="1"/>
    <x:row r="432" s="1211" customFormat="1"/>
    <x:row r="433" s="1211" customFormat="1"/>
    <x:row r="434" s="1211" customFormat="1"/>
    <x:row r="435" s="1211" customFormat="1"/>
    <x:row r="436" s="1211" customFormat="1"/>
    <x:row r="437" s="1211" customFormat="1"/>
    <x:row r="438" s="1211" customFormat="1"/>
    <x:row r="439" s="1211" customFormat="1"/>
    <x:row r="440" s="1211" customFormat="1"/>
    <x:row r="441" s="1211" customFormat="1"/>
    <x:row r="442" s="1211" customFormat="1"/>
    <x:row r="443" s="1211" customFormat="1"/>
    <x:row r="444" s="1211" customFormat="1"/>
    <x:row r="445" s="1211" customFormat="1"/>
    <x:row r="446" s="1211" customFormat="1"/>
    <x:row r="447" s="1211" customFormat="1"/>
    <x:row r="448" s="1211" customFormat="1"/>
    <x:row r="449" s="1211" customFormat="1"/>
    <x:row r="450" s="1211" customFormat="1"/>
    <x:row r="451" s="1211" customFormat="1"/>
    <x:row r="452" s="1211" customFormat="1"/>
    <x:row r="453" s="1211" customFormat="1"/>
    <x:row r="454" s="1211" customFormat="1"/>
    <x:row r="455" s="1211" customFormat="1"/>
    <x:row r="456" s="1211" customFormat="1"/>
    <x:row r="457" s="1211" customFormat="1"/>
    <x:row r="458" s="1211" customFormat="1"/>
    <x:row r="459" s="1211" customFormat="1"/>
    <x:row r="460" s="1211" customFormat="1"/>
    <x:row r="461" s="1211" customFormat="1"/>
    <x:row r="462" s="1211" customFormat="1"/>
    <x:row r="463" s="1211" customFormat="1"/>
    <x:row r="464" s="1211" customFormat="1"/>
    <x:row r="465" s="1211" customFormat="1"/>
    <x:row r="466" s="1211" customFormat="1"/>
    <x:row r="467" s="1211" customFormat="1"/>
    <x:row r="468" s="1211" customFormat="1"/>
    <x:row r="469" s="1211" customFormat="1"/>
    <x:row r="470" s="1211" customFormat="1"/>
    <x:row r="471" s="1211" customFormat="1"/>
    <x:row r="472" s="1211" customFormat="1"/>
    <x:row r="473" s="1211" customFormat="1"/>
    <x:row r="474" s="1211" customFormat="1"/>
    <x:row r="475" s="1211" customFormat="1"/>
    <x:row r="476" s="1211" customFormat="1"/>
    <x:row r="477" s="1211" customFormat="1"/>
    <x:row r="478" s="1211" customFormat="1"/>
    <x:row r="479" s="1211" customFormat="1"/>
    <x:row r="480" s="1211" customFormat="1"/>
    <x:row r="481" s="1211" customFormat="1"/>
    <x:row r="482" s="1211" customFormat="1"/>
    <x:row r="483" s="1211" customFormat="1"/>
    <x:row r="484" s="1211" customFormat="1"/>
    <x:row r="485" s="1211" customFormat="1"/>
    <x:row r="486" s="1211" customFormat="1"/>
    <x:row r="487" s="1211" customFormat="1"/>
    <x:row r="488" s="1211" customFormat="1"/>
    <x:row r="489" s="1211" customFormat="1"/>
    <x:row r="490" s="1211" customFormat="1"/>
    <x:row r="491" s="1211" customFormat="1"/>
    <x:row r="492" s="1211" customFormat="1"/>
    <x:row r="493" s="1211" customFormat="1"/>
    <x:row r="494" s="1211" customFormat="1"/>
    <x:row r="495" s="1211" customFormat="1"/>
    <x:row r="496" s="1211" customFormat="1"/>
    <x:row r="497" s="1211" customFormat="1"/>
    <x:row r="498" s="1211" customFormat="1"/>
    <x:row r="499" s="1211" customFormat="1"/>
    <x:row r="500" s="1211" customFormat="1"/>
    <x:row r="501" s="1211" customFormat="1"/>
    <x:row r="502" s="1211" customFormat="1"/>
    <x:row r="503" s="1211" customFormat="1"/>
    <x:row r="504" s="1211" customFormat="1"/>
    <x:row r="505" s="1211" customFormat="1"/>
    <x:row r="506" s="1211" customFormat="1"/>
    <x:row r="507" s="1211" customFormat="1"/>
    <x:row r="508" s="1211" customFormat="1"/>
    <x:row r="509" s="1211" customFormat="1"/>
    <x:row r="510" s="1211" customFormat="1"/>
    <x:row r="511" s="1211" customFormat="1"/>
    <x:row r="512" s="1211" customFormat="1"/>
    <x:row r="513" s="1211" customFormat="1"/>
    <x:row r="514" s="1211" customFormat="1"/>
    <x:row r="515" s="1211" customFormat="1"/>
    <x:row r="516" s="1211" customFormat="1"/>
    <x:row r="517" s="1211" customFormat="1"/>
    <x:row r="518" s="1211" customFormat="1"/>
    <x:row r="519" s="1211" customFormat="1"/>
    <x:row r="520" s="1211" customFormat="1"/>
    <x:row r="521" s="1211" customFormat="1"/>
    <x:row r="522" s="1211" customFormat="1"/>
    <x:row r="523" s="1211" customFormat="1"/>
    <x:row r="524" s="1211" customFormat="1"/>
    <x:row r="525" s="1211" customFormat="1"/>
    <x:row r="526" s="1211" customFormat="1"/>
    <x:row r="527" s="1211" customFormat="1"/>
    <x:row r="528" s="1211" customFormat="1"/>
    <x:row r="529" s="1211" customFormat="1"/>
    <x:row r="530" s="1211" customFormat="1"/>
    <x:row r="531" s="1211" customFormat="1"/>
    <x:row r="532" s="1211" customFormat="1"/>
    <x:row r="533" s="1211" customFormat="1"/>
    <x:row r="534" s="1211" customFormat="1"/>
    <x:row r="535" s="1211" customFormat="1"/>
    <x:row r="536" s="1211" customFormat="1"/>
    <x:row r="537" s="1211" customFormat="1"/>
    <x:row r="538" s="1211" customFormat="1"/>
    <x:row r="539" s="1211" customFormat="1"/>
    <x:row r="540" s="1211" customFormat="1"/>
    <x:row r="541" s="1211" customFormat="1"/>
    <x:row r="542" s="1211" customFormat="1"/>
    <x:row r="543" s="1211" customFormat="1"/>
    <x:row r="544" s="1211" customFormat="1"/>
    <x:row r="545" s="1211" customFormat="1"/>
    <x:row r="546" s="1211" customFormat="1"/>
    <x:row r="547" s="1211" customFormat="1"/>
    <x:row r="548" s="1211" customFormat="1"/>
    <x:row r="549" s="1211" customFormat="1"/>
    <x:row r="550" s="1211" customFormat="1"/>
    <x:row r="551" s="1211" customFormat="1"/>
    <x:row r="552" s="1211" customFormat="1"/>
    <x:row r="553" s="1211" customFormat="1"/>
    <x:row r="554" s="1211" customFormat="1"/>
    <x:row r="555" s="1211" customFormat="1"/>
    <x:row r="556" s="1211" customFormat="1"/>
    <x:row r="557" s="1211" customFormat="1"/>
    <x:row r="558" s="1211" customFormat="1"/>
    <x:row r="559" s="1211" customFormat="1"/>
    <x:row r="560" s="1211" customFormat="1"/>
    <x:row r="561" s="1211" customFormat="1"/>
    <x:row r="562" s="1211" customFormat="1"/>
    <x:row r="563" s="1211" customFormat="1"/>
    <x:row r="564" s="1211" customFormat="1"/>
    <x:row r="565" s="1211" customFormat="1"/>
    <x:row r="566" s="1211" customFormat="1"/>
    <x:row r="567" s="1211" customFormat="1"/>
    <x:row r="568" s="1211" customFormat="1"/>
    <x:row r="569" s="1211" customFormat="1"/>
    <x:row r="570" s="1211" customFormat="1"/>
    <x:row r="571" s="1211" customFormat="1"/>
    <x:row r="572" s="1211" customFormat="1"/>
    <x:row r="573" s="1211" customFormat="1"/>
    <x:row r="574" s="1211" customFormat="1"/>
    <x:row r="575" s="1211" customFormat="1"/>
    <x:row r="576" s="1211" customFormat="1"/>
    <x:row r="577" s="1211" customFormat="1"/>
    <x:row r="578" s="1211" customFormat="1"/>
    <x:row r="579" s="1211" customFormat="1"/>
    <x:row r="580" s="1211" customFormat="1"/>
    <x:row r="581" s="1211" customFormat="1"/>
    <x:row r="582" s="1211" customFormat="1"/>
    <x:row r="583" s="1211" customFormat="1"/>
    <x:row r="584" s="1211" customFormat="1"/>
    <x:row r="585" s="1211" customFormat="1"/>
    <x:row r="586" s="1211" customFormat="1"/>
    <x:row r="587" s="1211" customFormat="1"/>
    <x:row r="588" s="1211" customFormat="1"/>
    <x:row r="589" s="1211" customFormat="1"/>
    <x:row r="590" s="1211" customFormat="1"/>
    <x:row r="591" s="1211" customFormat="1"/>
    <x:row r="592" s="1211" customFormat="1"/>
    <x:row r="593" s="1211" customFormat="1"/>
    <x:row r="594" s="1211" customFormat="1"/>
    <x:row r="595" s="1211" customFormat="1"/>
    <x:row r="596" s="1211" customFormat="1"/>
    <x:row r="597" s="1211" customFormat="1"/>
    <x:row r="598" s="1211" customFormat="1"/>
    <x:row r="599" s="1211" customFormat="1"/>
    <x:row r="600" s="1211" customFormat="1"/>
    <x:row r="601" s="1211" customFormat="1"/>
    <x:row r="602" s="1211" customFormat="1"/>
    <x:row r="603" s="1211" customFormat="1"/>
    <x:row r="604" s="1211" customFormat="1"/>
    <x:row r="605" s="1211" customFormat="1"/>
    <x:row r="606" s="1211" customFormat="1"/>
    <x:row r="607" s="1211" customFormat="1"/>
    <x:row r="608" s="1211" customFormat="1"/>
    <x:row r="609" s="1211" customFormat="1"/>
    <x:row r="610" s="1211" customFormat="1"/>
    <x:row r="611" s="1211" customFormat="1"/>
    <x:row r="612" s="1211" customFormat="1"/>
    <x:row r="613" s="1211" customFormat="1"/>
    <x:row r="614" s="1211" customFormat="1"/>
    <x:row r="615" s="1211" customFormat="1"/>
    <x:row r="616" s="1211" customFormat="1"/>
    <x:row r="617" s="1211" customFormat="1"/>
    <x:row r="618" s="1211" customFormat="1"/>
    <x:row r="619" s="1211" customFormat="1"/>
    <x:row r="620" s="1211" customFormat="1"/>
    <x:row r="621" s="1211" customFormat="1"/>
    <x:row r="622" s="1211" customFormat="1"/>
    <x:row r="623" s="1211" customFormat="1"/>
    <x:row r="624" s="1211" customFormat="1"/>
    <x:row r="625" s="1211" customFormat="1"/>
    <x:row r="626" s="1211" customFormat="1"/>
    <x:row r="627" s="1211" customFormat="1"/>
    <x:row r="628" s="1211" customFormat="1"/>
    <x:row r="629" s="1211" customFormat="1"/>
    <x:row r="630" s="1211" customFormat="1"/>
    <x:row r="631" s="1211" customFormat="1"/>
    <x:row r="632" s="1211" customFormat="1"/>
    <x:row r="633" s="1211" customFormat="1"/>
    <x:row r="634" s="1211" customFormat="1"/>
    <x:row r="635" s="1211" customFormat="1"/>
    <x:row r="636" s="1211" customFormat="1"/>
    <x:row r="637" s="1211" customFormat="1"/>
    <x:row r="638" s="1211" customFormat="1"/>
    <x:row r="639" s="1211" customFormat="1"/>
    <x:row r="640" s="1211" customFormat="1"/>
    <x:row r="641" s="1211" customFormat="1"/>
    <x:row r="642" s="1211" customFormat="1"/>
    <x:row r="643" s="1211" customFormat="1"/>
    <x:row r="644" s="1211" customFormat="1"/>
    <x:row r="645" s="1211" customFormat="1"/>
    <x:row r="646" s="1211" customFormat="1"/>
    <x:row r="647" s="1211" customFormat="1"/>
    <x:row r="648" s="1211" customFormat="1"/>
    <x:row r="649" s="1211" customFormat="1"/>
    <x:row r="650" s="1211" customFormat="1"/>
    <x:row r="651" s="1211" customFormat="1"/>
    <x:row r="652" s="1211" customFormat="1"/>
    <x:row r="653" s="1211" customFormat="1"/>
    <x:row r="654" s="1211" customFormat="1"/>
    <x:row r="655" s="1211" customFormat="1"/>
    <x:row r="656" s="1211" customFormat="1"/>
    <x:row r="657" s="1211" customFormat="1"/>
    <x:row r="658" s="1211" customFormat="1"/>
    <x:row r="659" s="1211" customFormat="1"/>
    <x:row r="660" s="1211" customFormat="1"/>
    <x:row r="661" s="1211" customFormat="1"/>
    <x:row r="662" s="1211" customFormat="1"/>
    <x:row r="663" s="1211" customFormat="1"/>
    <x:row r="664" s="1211" customFormat="1"/>
    <x:row r="665" s="1211" customFormat="1"/>
    <x:row r="666" s="1211" customFormat="1"/>
    <x:row r="667" s="1211" customFormat="1"/>
    <x:row r="668" s="1211" customFormat="1"/>
    <x:row r="669" s="1211" customFormat="1"/>
    <x:row r="670" s="1211" customFormat="1"/>
    <x:row r="671" s="1211" customFormat="1"/>
    <x:row r="672" s="1211" customFormat="1"/>
    <x:row r="673" s="1211" customFormat="1"/>
    <x:row r="674" s="1211" customFormat="1"/>
    <x:row r="675" s="1211" customFormat="1"/>
    <x:row r="676" s="1211" customFormat="1"/>
    <x:row r="677" s="1211" customFormat="1"/>
    <x:row r="678" s="1211" customFormat="1"/>
    <x:row r="679" s="1211" customFormat="1"/>
    <x:row r="680" s="1211" customFormat="1"/>
    <x:row r="681" s="1211" customFormat="1"/>
    <x:row r="682" s="1211" customFormat="1"/>
    <x:row r="683" s="1211" customFormat="1"/>
    <x:row r="684" s="1211" customFormat="1"/>
    <x:row r="685" s="1211" customFormat="1"/>
    <x:row r="686" s="1211" customFormat="1"/>
    <x:row r="687" s="1211" customFormat="1"/>
    <x:row r="688" s="1211" customFormat="1"/>
    <x:row r="689" s="1211" customFormat="1"/>
    <x:row r="690" s="1211" customFormat="1"/>
    <x:row r="691" s="1211" customFormat="1"/>
    <x:row r="692" s="1211" customFormat="1"/>
    <x:row r="693" s="1211" customFormat="1"/>
    <x:row r="694" s="1211" customFormat="1"/>
    <x:row r="695" s="1211" customFormat="1"/>
    <x:row r="696" s="1211" customFormat="1"/>
    <x:row r="697" s="1211" customFormat="1"/>
    <x:row r="698" s="1211" customFormat="1"/>
    <x:row r="699" s="1211" customFormat="1"/>
    <x:row r="700" s="1211" customFormat="1"/>
    <x:row r="701" s="1211" customFormat="1"/>
    <x:row r="702" s="1211" customFormat="1"/>
    <x:row r="703" s="1211" customFormat="1"/>
    <x:row r="704" s="1211" customFormat="1"/>
    <x:row r="705" s="1211" customFormat="1"/>
    <x:row r="706" s="1211" customFormat="1"/>
    <x:row r="707" s="1211" customFormat="1"/>
    <x:row r="708" s="1211" customFormat="1"/>
    <x:row r="709" s="1211" customFormat="1"/>
    <x:row r="710" s="1211" customFormat="1"/>
    <x:row r="711" s="1211" customFormat="1"/>
    <x:row r="712" s="1211" customFormat="1"/>
    <x:row r="713" s="1211" customFormat="1"/>
    <x:row r="714" s="1211" customFormat="1"/>
    <x:row r="715" s="1211" customFormat="1"/>
    <x:row r="716" s="1211" customFormat="1"/>
    <x:row r="717" s="1211" customFormat="1"/>
    <x:row r="718" s="1211" customFormat="1"/>
    <x:row r="719" s="1211" customFormat="1"/>
    <x:row r="720" s="1211" customFormat="1"/>
    <x:row r="721" s="1211" customFormat="1"/>
    <x:row r="722" s="1211" customFormat="1"/>
    <x:row r="723" s="1211" customFormat="1"/>
    <x:row r="724" s="1211" customFormat="1"/>
    <x:row r="725" s="1211" customFormat="1"/>
    <x:row r="726" s="1211" customFormat="1"/>
    <x:row r="727" s="1211" customFormat="1"/>
    <x:row r="728" s="1211" customFormat="1"/>
    <x:row r="729" s="1211" customFormat="1"/>
    <x:row r="730" s="1211" customFormat="1"/>
    <x:row r="731" s="1211" customFormat="1"/>
    <x:row r="732" s="1211" customFormat="1"/>
    <x:row r="733" s="1211" customFormat="1"/>
    <x:row r="734" s="1211" customFormat="1"/>
    <x:row r="735" s="1211" customFormat="1"/>
    <x:row r="736" s="1211" customFormat="1"/>
    <x:row r="737" s="1211" customFormat="1"/>
    <x:row r="738" s="1211" customFormat="1"/>
    <x:row r="739" s="1211" customFormat="1"/>
    <x:row r="740" s="1211" customFormat="1"/>
    <x:row r="741" s="1211" customFormat="1"/>
    <x:row r="742" s="1211" customFormat="1"/>
    <x:row r="743" s="1211" customFormat="1"/>
    <x:row r="744" s="1211" customFormat="1"/>
    <x:row r="745" s="1211" customFormat="1"/>
    <x:row r="746" s="1211" customFormat="1"/>
    <x:row r="747" s="1211" customFormat="1"/>
    <x:row r="748" s="1211" customFormat="1"/>
    <x:row r="749" s="1211" customFormat="1"/>
    <x:row r="750" s="1211" customFormat="1"/>
    <x:row r="751" s="1211" customFormat="1"/>
    <x:row r="752" s="1211" customFormat="1"/>
    <x:row r="753" s="1211" customFormat="1"/>
    <x:row r="754" s="1211" customFormat="1"/>
    <x:row r="755" s="1211" customFormat="1"/>
    <x:row r="756" s="1211" customFormat="1"/>
    <x:row r="757" s="1211" customFormat="1"/>
    <x:row r="758" s="1211" customFormat="1"/>
    <x:row r="759" s="1211" customFormat="1"/>
    <x:row r="760" s="1211" customFormat="1"/>
    <x:row r="761" s="1211" customFormat="1"/>
    <x:row r="762" s="1211" customFormat="1"/>
    <x:row r="763" s="1211" customFormat="1"/>
    <x:row r="764" s="1211" customFormat="1"/>
    <x:row r="765" s="1211" customFormat="1"/>
    <x:row r="766" s="1211" customFormat="1"/>
    <x:row r="767" s="1211" customFormat="1"/>
    <x:row r="768" s="1211" customFormat="1"/>
    <x:row r="769" s="1211" customFormat="1"/>
    <x:row r="770" s="1211" customFormat="1"/>
    <x:row r="771" s="1211" customFormat="1"/>
    <x:row r="772" s="1211" customFormat="1"/>
    <x:row r="773" s="1211" customFormat="1"/>
    <x:row r="774" s="1211" customFormat="1"/>
    <x:row r="775" s="1211" customFormat="1"/>
    <x:row r="776" s="1211" customFormat="1"/>
    <x:row r="777" s="1211" customFormat="1"/>
    <x:row r="778" s="1211" customFormat="1"/>
    <x:row r="779" s="1211" customFormat="1"/>
    <x:row r="780" s="1211" customFormat="1"/>
    <x:row r="781" s="1211" customFormat="1"/>
    <x:row r="782" s="1211" customFormat="1"/>
    <x:row r="783" s="1211" customFormat="1"/>
    <x:row r="784" s="1211" customFormat="1"/>
    <x:row r="785" s="1211" customFormat="1"/>
    <x:row r="786" s="1211" customFormat="1"/>
    <x:row r="787" s="1211" customFormat="1"/>
    <x:row r="788" s="1211" customFormat="1"/>
    <x:row r="789" s="1211" customFormat="1"/>
    <x:row r="790" s="1211" customFormat="1"/>
    <x:row r="791" s="1211" customFormat="1"/>
    <x:row r="792" s="1211" customFormat="1"/>
    <x:row r="793" s="1211" customFormat="1"/>
    <x:row r="794" s="1211" customFormat="1"/>
    <x:row r="795" s="1211" customFormat="1"/>
    <x:row r="796" s="1211" customFormat="1"/>
    <x:row r="797" s="1211" customFormat="1"/>
    <x:row r="798" s="1211" customFormat="1"/>
    <x:row r="799" s="1211" customFormat="1"/>
    <x:row r="800" s="1211" customFormat="1"/>
    <x:row r="801" s="1211" customFormat="1"/>
    <x:row r="802" s="1211" customFormat="1"/>
    <x:row r="803" s="1211" customFormat="1"/>
    <x:row r="804" s="1211" customFormat="1"/>
    <x:row r="805" s="1211" customFormat="1"/>
    <x:row r="806" s="1211" customFormat="1"/>
    <x:row r="807" s="1211" customFormat="1"/>
    <x:row r="808" s="1211" customFormat="1"/>
    <x:row r="809" s="1211" customFormat="1"/>
    <x:row r="810" s="1211" customFormat="1"/>
    <x:row r="811" s="1211" customFormat="1"/>
    <x:row r="812" s="1211" customFormat="1"/>
    <x:row r="813" s="1211" customFormat="1"/>
    <x:row r="814" s="1211" customFormat="1"/>
    <x:row r="815" s="1211" customFormat="1"/>
    <x:row r="816" s="1211" customFormat="1"/>
    <x:row r="817" s="1211" customFormat="1"/>
    <x:row r="818" s="1211" customFormat="1"/>
    <x:row r="819" s="1211" customFormat="1"/>
    <x:row r="820" s="1211" customFormat="1"/>
    <x:row r="821" s="1211" customFormat="1"/>
    <x:row r="822" s="1211" customFormat="1"/>
    <x:row r="823" s="1211" customFormat="1"/>
    <x:row r="824" s="1211" customFormat="1"/>
    <x:row r="825" s="1211" customFormat="1"/>
    <x:row r="826" s="1211" customFormat="1"/>
    <x:row r="827" s="1211" customFormat="1"/>
    <x:row r="828" s="1211" customFormat="1"/>
    <x:row r="829" s="1211" customFormat="1"/>
    <x:row r="830" s="1211" customFormat="1"/>
    <x:row r="831" s="1211" customFormat="1"/>
    <x:row r="832" s="1211" customFormat="1"/>
    <x:row r="833" s="1211" customFormat="1"/>
    <x:row r="834" s="1211" customFormat="1"/>
    <x:row r="835" s="1211" customFormat="1"/>
    <x:row r="836" s="1211" customFormat="1"/>
    <x:row r="837" s="1211" customFormat="1"/>
    <x:row r="838" s="1211" customFormat="1"/>
    <x:row r="839" s="1211" customFormat="1"/>
    <x:row r="840" s="1211" customFormat="1"/>
    <x:row r="841" s="1211" customFormat="1"/>
    <x:row r="842" s="1211" customFormat="1"/>
    <x:row r="843" s="1211" customFormat="1"/>
    <x:row r="844" s="1211" customFormat="1"/>
    <x:row r="845" s="1211" customFormat="1"/>
    <x:row r="846" s="1211" customFormat="1"/>
    <x:row r="847" s="1211" customFormat="1"/>
    <x:row r="848" s="1211" customFormat="1"/>
    <x:row r="849" s="1211" customFormat="1"/>
    <x:row r="850" s="1211" customFormat="1"/>
    <x:row r="851" s="1211" customFormat="1"/>
    <x:row r="852" s="1211" customFormat="1"/>
    <x:row r="853" s="1211" customFormat="1"/>
    <x:row r="854" s="1211" customFormat="1"/>
    <x:row r="855" s="1211" customFormat="1"/>
    <x:row r="856" s="1211" customFormat="1"/>
    <x:row r="857" s="1211" customFormat="1"/>
    <x:row r="858" s="1211" customFormat="1"/>
    <x:row r="859" s="1211" customFormat="1"/>
    <x:row r="860" s="1211" customFormat="1"/>
    <x:row r="861" s="1211" customFormat="1"/>
    <x:row r="862" s="1211" customFormat="1"/>
    <x:row r="863" s="1211" customFormat="1"/>
    <x:row r="864" s="1211" customFormat="1"/>
    <x:row r="865" s="1211" customFormat="1"/>
    <x:row r="866" s="1211" customFormat="1"/>
    <x:row r="867" s="1211" customFormat="1"/>
    <x:row r="868" s="1211" customFormat="1"/>
    <x:row r="869" s="1211" customFormat="1"/>
    <x:row r="870" s="1211" customFormat="1"/>
    <x:row r="871" s="1211" customFormat="1"/>
    <x:row r="872" s="1211" customFormat="1"/>
    <x:row r="873" s="1211" customFormat="1"/>
    <x:row r="874" s="1211" customFormat="1"/>
    <x:row r="875" s="1211" customFormat="1"/>
    <x:row r="876" s="1211" customFormat="1"/>
    <x:row r="877" s="1211" customFormat="1"/>
    <x:row r="878" s="1211" customFormat="1"/>
    <x:row r="879" s="1211" customFormat="1"/>
    <x:row r="880" s="1211" customFormat="1"/>
    <x:row r="881" s="1211" customFormat="1"/>
    <x:row r="882" s="1211" customFormat="1"/>
    <x:row r="883" s="1211" customFormat="1"/>
    <x:row r="884" s="1211" customFormat="1"/>
    <x:row r="885" s="1211" customFormat="1"/>
    <x:row r="886" s="1211" customFormat="1"/>
    <x:row r="887" s="1211" customFormat="1"/>
    <x:row r="888" s="1211" customFormat="1"/>
    <x:row r="889" s="1211" customFormat="1"/>
    <x:row r="890" s="1211" customFormat="1"/>
    <x:row r="891" s="1211" customFormat="1"/>
    <x:row r="892" s="1211" customFormat="1"/>
    <x:row r="893" s="1211" customFormat="1"/>
    <x:row r="894" s="1211" customFormat="1"/>
    <x:row r="895" s="1211" customFormat="1"/>
    <x:row r="896" s="1211" customFormat="1"/>
    <x:row r="897" s="1211" customFormat="1"/>
    <x:row r="898" s="1211" customFormat="1"/>
    <x:row r="899" s="1211" customFormat="1"/>
    <x:row r="900" s="1211" customFormat="1"/>
    <x:row r="901" s="1211" customFormat="1"/>
    <x:row r="902" s="1211" customFormat="1"/>
    <x:row r="903" s="1211" customFormat="1"/>
    <x:row r="904" s="1211" customFormat="1"/>
    <x:row r="905" s="1211" customFormat="1"/>
    <x:row r="906" s="1211" customFormat="1"/>
    <x:row r="907" s="1211" customFormat="1"/>
    <x:row r="908" s="1211" customFormat="1"/>
    <x:row r="909" s="1211" customFormat="1"/>
    <x:row r="910" s="1211" customFormat="1"/>
    <x:row r="911" s="1211" customFormat="1"/>
    <x:row r="912" s="1211" customFormat="1"/>
    <x:row r="913" s="1211" customFormat="1"/>
    <x:row r="914" s="1211" customFormat="1"/>
    <x:row r="915" s="1211" customFormat="1"/>
    <x:row r="916" s="1211" customFormat="1"/>
    <x:row r="917" s="1211" customFormat="1"/>
    <x:row r="918" s="1211" customFormat="1"/>
    <x:row r="919" s="1211" customFormat="1"/>
    <x:row r="920" s="1211" customFormat="1"/>
    <x:row r="921" s="1211" customFormat="1"/>
    <x:row r="922" s="1211" customFormat="1"/>
    <x:row r="923" s="1211" customFormat="1"/>
    <x:row r="924" s="1211" customFormat="1"/>
    <x:row r="925" s="1211" customFormat="1"/>
    <x:row r="926" s="1211" customFormat="1"/>
    <x:row r="927" s="1211" customFormat="1"/>
    <x:row r="928" s="1211" customFormat="1"/>
    <x:row r="929" s="1211" customFormat="1"/>
    <x:row r="930" s="1211" customFormat="1"/>
    <x:row r="931" s="1211" customFormat="1"/>
    <x:row r="932" s="1211" customFormat="1"/>
    <x:row r="933" s="1211" customFormat="1"/>
    <x:row r="934" s="1211" customFormat="1"/>
    <x:row r="935" s="1211" customFormat="1"/>
    <x:row r="936" s="1211" customFormat="1"/>
    <x:row r="937" s="1211" customFormat="1"/>
    <x:row r="938" s="1211" customFormat="1"/>
    <x:row r="939" s="1211" customFormat="1"/>
    <x:row r="940" s="1211" customFormat="1"/>
    <x:row r="941" s="1211" customFormat="1"/>
    <x:row r="942" s="1211" customFormat="1"/>
    <x:row r="943" s="1211" customFormat="1"/>
    <x:row r="944" s="1211" customFormat="1"/>
    <x:row r="945" s="1211" customFormat="1"/>
    <x:row r="946" s="1211" customFormat="1"/>
    <x:row r="947" s="1211" customFormat="1"/>
    <x:row r="948" s="1211" customFormat="1"/>
    <x:row r="949" s="1211" customFormat="1"/>
    <x:row r="950" s="1211" customFormat="1"/>
    <x:row r="951" s="1211" customFormat="1"/>
    <x:row r="952" s="1211" customFormat="1"/>
    <x:row r="953" s="1211" customFormat="1"/>
    <x:row r="954" s="1211" customFormat="1"/>
    <x:row r="955" s="1211" customFormat="1"/>
    <x:row r="956" s="1211" customFormat="1"/>
    <x:row r="957" s="1211" customFormat="1"/>
    <x:row r="958" s="1211" customFormat="1"/>
    <x:row r="959" s="1211" customFormat="1"/>
    <x:row r="960" s="1211" customFormat="1"/>
    <x:row r="961" s="1211" customFormat="1"/>
    <x:row r="962" s="1211" customFormat="1"/>
    <x:row r="963" s="1211" customFormat="1"/>
    <x:row r="964" s="1211" customFormat="1"/>
    <x:row r="965" s="1211" customFormat="1"/>
    <x:row r="966" s="1211" customFormat="1"/>
    <x:row r="967" s="1211" customFormat="1"/>
    <x:row r="968" s="1211" customFormat="1"/>
    <x:row r="969" s="1211" customFormat="1"/>
    <x:row r="970" s="1211" customFormat="1"/>
    <x:row r="971" s="1211" customFormat="1"/>
    <x:row r="972" s="1211" customFormat="1"/>
    <x:row r="973" s="1211" customFormat="1"/>
    <x:row r="974" s="1211" customFormat="1"/>
    <x:row r="975" s="1211" customFormat="1"/>
    <x:row r="976" s="1211" customFormat="1"/>
    <x:row r="977" s="1211" customFormat="1"/>
    <x:row r="978" s="1211" customFormat="1"/>
    <x:row r="979" s="1211" customFormat="1"/>
    <x:row r="980" s="1211" customFormat="1"/>
    <x:row r="981" s="1211" customFormat="1"/>
    <x:row r="982" s="1211" customFormat="1"/>
    <x:row r="983" s="1211" customFormat="1"/>
    <x:row r="984" s="1211" customFormat="1"/>
    <x:row r="985" s="1211" customFormat="1"/>
    <x:row r="986" s="1211" customFormat="1"/>
    <x:row r="987" s="1211" customFormat="1"/>
    <x:row r="988" s="1211" customFormat="1"/>
    <x:row r="989" s="1211" customFormat="1"/>
    <x:row r="990" s="1211" customFormat="1"/>
    <x:row r="991" s="1211" customFormat="1"/>
    <x:row r="992" s="1211" customFormat="1"/>
    <x:row r="993" s="1211" customFormat="1"/>
    <x:row r="994" s="1211" customFormat="1"/>
    <x:row r="995" s="1211" customFormat="1"/>
    <x:row r="996" s="1211" customFormat="1"/>
    <x:row r="997" s="1211" customFormat="1"/>
    <x:row r="998" s="1211" customFormat="1"/>
    <x:row r="999" s="1211" customFormat="1"/>
    <x:row r="1000" s="1211" customFormat="1"/>
    <x:row r="1001" s="1211" customFormat="1"/>
    <x:row r="1002" s="1211" customFormat="1"/>
    <x:row r="1003" s="1211" customFormat="1"/>
    <x:row r="1004" s="1211" customFormat="1"/>
    <x:row r="1005" s="1211" customFormat="1"/>
    <x:row r="1006" s="1211" customFormat="1"/>
    <x:row r="1007" s="1211" customFormat="1"/>
    <x:row r="1008" s="1211" customFormat="1"/>
    <x:row r="1009" s="1211" customFormat="1"/>
    <x:row r="1010" s="1211" customFormat="1"/>
    <x:row r="1011" s="1211" customFormat="1"/>
    <x:row r="1012" s="1211" customFormat="1"/>
    <x:row r="1013" s="1211" customFormat="1"/>
    <x:row r="1014" s="1211" customFormat="1"/>
    <x:row r="1015" s="1211" customFormat="1"/>
    <x:row r="1016" s="1211" customFormat="1"/>
    <x:row r="1017" s="1211" customFormat="1"/>
    <x:row r="1018" s="1211" customFormat="1"/>
    <x:row r="1019" s="1211" customFormat="1"/>
    <x:row r="1020" s="1211" customFormat="1"/>
    <x:row r="1021" s="1211" customFormat="1"/>
    <x:row r="1022" s="1211" customFormat="1"/>
    <x:row r="1023" s="1211" customFormat="1"/>
    <x:row r="1024" s="1211" customFormat="1"/>
    <x:row r="1025" s="1211" customFormat="1"/>
    <x:row r="1026" s="1211" customFormat="1"/>
    <x:row r="1027" s="1211" customFormat="1"/>
    <x:row r="1028" s="1211" customFormat="1"/>
    <x:row r="1029" s="1211" customFormat="1"/>
    <x:row r="1030" s="1211" customFormat="1"/>
    <x:row r="1031" s="1211" customFormat="1"/>
    <x:row r="1032" s="1211" customFormat="1"/>
    <x:row r="1033" s="1211" customFormat="1"/>
    <x:row r="1034" s="1211" customFormat="1"/>
    <x:row r="1035" s="1211" customFormat="1"/>
    <x:row r="1036" s="1211" customFormat="1"/>
    <x:row r="1037" s="1211" customFormat="1"/>
    <x:row r="1038" s="1211" customFormat="1"/>
    <x:row r="1039" s="1211" customFormat="1"/>
    <x:row r="1040" s="1211" customFormat="1"/>
    <x:row r="1041" s="1211" customFormat="1"/>
    <x:row r="1042" s="1211" customFormat="1"/>
    <x:row r="1043" s="1211" customFormat="1"/>
    <x:row r="1044" s="1211" customFormat="1"/>
    <x:row r="1045" s="1211" customFormat="1"/>
    <x:row r="1046" s="1211" customFormat="1"/>
    <x:row r="1047" s="1211" customFormat="1"/>
    <x:row r="1048" s="1211" customFormat="1"/>
    <x:row r="1049" s="1211" customFormat="1"/>
    <x:row r="1050" s="1211" customFormat="1"/>
    <x:row r="1051" s="1211" customFormat="1"/>
    <x:row r="1052" s="1211" customFormat="1"/>
    <x:row r="1053" s="1211" customFormat="1"/>
    <x:row r="1054" s="1211" customFormat="1"/>
    <x:row r="1055" s="1211" customFormat="1"/>
    <x:row r="1056" s="1211" customFormat="1"/>
    <x:row r="1057" s="1211" customFormat="1"/>
    <x:row r="1058" s="1211" customFormat="1"/>
    <x:row r="1059" s="1211" customFormat="1"/>
    <x:row r="1060" s="1211" customFormat="1"/>
    <x:row r="1061" s="1211" customFormat="1"/>
    <x:row r="1062" s="1211" customFormat="1"/>
    <x:row r="1063" s="1211" customFormat="1"/>
    <x:row r="1064" s="1211" customFormat="1"/>
    <x:row r="1065" s="1211" customFormat="1"/>
    <x:row r="1066" s="1211" customFormat="1"/>
    <x:row r="1067" s="1211" customFormat="1"/>
    <x:row r="1068" s="1211" customFormat="1"/>
    <x:row r="1069" s="1211" customFormat="1"/>
    <x:row r="1070" s="1211" customFormat="1"/>
    <x:row r="1071" s="1211" customFormat="1"/>
    <x:row r="1072" s="1211" customFormat="1"/>
    <x:row r="1073" s="1211" customFormat="1"/>
    <x:row r="1074" s="1211" customFormat="1"/>
    <x:row r="1075" s="1211" customFormat="1"/>
    <x:row r="1076" s="1211" customFormat="1"/>
    <x:row r="1077" s="1211" customFormat="1"/>
    <x:row r="1078" s="1211" customFormat="1"/>
    <x:row r="1079" s="1211" customFormat="1"/>
    <x:row r="1080" s="1211" customFormat="1"/>
    <x:row r="1081" s="1211" customFormat="1"/>
    <x:row r="1082" s="1211" customFormat="1"/>
    <x:row r="1083" s="1211" customFormat="1"/>
    <x:row r="1084" s="1211" customFormat="1"/>
    <x:row r="1085" s="1211" customFormat="1"/>
    <x:row r="1086" s="1211" customFormat="1"/>
    <x:row r="1087" s="1211" customFormat="1"/>
    <x:row r="1088" s="1211" customFormat="1"/>
    <x:row r="1089" s="1211" customFormat="1"/>
    <x:row r="1090" s="1211" customFormat="1"/>
    <x:row r="1091" s="1211" customFormat="1"/>
    <x:row r="1092" s="1211" customFormat="1"/>
    <x:row r="1093" s="1211" customFormat="1"/>
    <x:row r="1094" s="1211" customFormat="1"/>
    <x:row r="1095" s="1211" customFormat="1"/>
    <x:row r="1096" s="1211" customFormat="1"/>
    <x:row r="1097" s="1211" customFormat="1"/>
    <x:row r="1098" s="1211" customFormat="1"/>
    <x:row r="1099" s="1211" customFormat="1"/>
    <x:row r="1100" s="1211" customFormat="1"/>
    <x:row r="1101" s="1211" customFormat="1"/>
    <x:row r="1102" s="1211" customFormat="1"/>
    <x:row r="1103" s="1211" customFormat="1"/>
    <x:row r="1104" s="1211" customFormat="1"/>
    <x:row r="1105" s="1211" customFormat="1"/>
    <x:row r="1106" s="1211" customFormat="1"/>
    <x:row r="1107" s="1211" customFormat="1"/>
    <x:row r="1108" s="1211" customFormat="1"/>
    <x:row r="1109" s="1211" customFormat="1"/>
    <x:row r="1110" s="1211" customFormat="1"/>
    <x:row r="1111" s="1211" customFormat="1"/>
    <x:row r="1112" s="1211" customFormat="1"/>
    <x:row r="1113" s="1211" customFormat="1"/>
    <x:row r="1114" s="1211" customFormat="1"/>
    <x:row r="1115" s="1211" customFormat="1"/>
    <x:row r="1116" s="1211" customFormat="1"/>
    <x:row r="1117" s="1211" customFormat="1"/>
    <x:row r="1118" s="1211" customFormat="1"/>
    <x:row r="1119" s="1211" customFormat="1"/>
    <x:row r="1120" s="1211" customFormat="1"/>
    <x:row r="1121" s="1211" customFormat="1"/>
    <x:row r="1122" s="1211" customFormat="1"/>
    <x:row r="1123" s="1211" customFormat="1"/>
    <x:row r="1124" s="1211" customFormat="1"/>
    <x:row r="1125" s="1211" customFormat="1"/>
    <x:row r="1126" s="1211" customFormat="1"/>
    <x:row r="1127" s="1211" customFormat="1"/>
    <x:row r="1128" s="1211" customFormat="1"/>
    <x:row r="1129" s="1211" customFormat="1"/>
    <x:row r="1130" s="1211" customFormat="1"/>
    <x:row r="1131" s="1211" customFormat="1"/>
    <x:row r="1132" s="1211" customFormat="1"/>
    <x:row r="1133" s="1211" customFormat="1"/>
    <x:row r="1134" s="1211" customFormat="1"/>
    <x:row r="1135" s="1211" customFormat="1"/>
    <x:row r="1136" s="1211" customFormat="1"/>
    <x:row r="1137" s="1211" customFormat="1"/>
    <x:row r="1138" s="1211" customFormat="1"/>
    <x:row r="1139" s="1211" customFormat="1"/>
    <x:row r="1140" s="1211" customFormat="1"/>
    <x:row r="1141" s="1211" customFormat="1"/>
    <x:row r="1142" s="1211" customFormat="1"/>
    <x:row r="1143" s="1211" customFormat="1"/>
    <x:row r="1144" s="1211" customFormat="1"/>
    <x:row r="1145" s="1211" customFormat="1"/>
    <x:row r="1146" s="1211" customFormat="1"/>
    <x:row r="1147" s="1211" customFormat="1"/>
    <x:row r="1148" s="1211" customFormat="1"/>
    <x:row r="1149" s="1211" customFormat="1"/>
    <x:row r="1150" s="1211" customFormat="1"/>
    <x:row r="1151" s="1211" customFormat="1"/>
    <x:row r="1152" s="1211" customFormat="1"/>
    <x:row r="1153" s="1211" customFormat="1"/>
    <x:row r="1154" s="1211" customFormat="1"/>
    <x:row r="1155" s="1211" customFormat="1"/>
    <x:row r="1156" s="1211" customFormat="1"/>
    <x:row r="1157" s="1211" customFormat="1"/>
    <x:row r="1158" s="1211" customFormat="1"/>
    <x:row r="1159" s="1211" customFormat="1"/>
    <x:row r="1160" s="1211" customFormat="1"/>
    <x:row r="1161" s="1211" customFormat="1"/>
    <x:row r="1162" s="1211" customFormat="1"/>
    <x:row r="1163" s="1211" customFormat="1"/>
    <x:row r="1164" s="1211" customFormat="1"/>
    <x:row r="1165" s="1211" customFormat="1"/>
    <x:row r="1166" s="1211" customFormat="1"/>
    <x:row r="1167" s="1211" customFormat="1"/>
    <x:row r="1168" s="1211" customFormat="1"/>
    <x:row r="1169" s="1211" customFormat="1"/>
    <x:row r="1170" s="1211" customFormat="1"/>
    <x:row r="1171" s="1211" customFormat="1"/>
    <x:row r="1172" s="1211" customFormat="1"/>
    <x:row r="1173" s="1211" customFormat="1"/>
    <x:row r="1174" s="1211" customFormat="1"/>
    <x:row r="1175" s="1211" customFormat="1"/>
    <x:row r="1176" s="1211" customFormat="1"/>
    <x:row r="1177" s="1211" customFormat="1"/>
    <x:row r="1178" s="1211" customFormat="1"/>
    <x:row r="1179" s="1211" customFormat="1"/>
    <x:row r="1180" s="1211" customFormat="1"/>
    <x:row r="1181" s="1211" customFormat="1"/>
    <x:row r="1182" s="1211" customFormat="1"/>
    <x:row r="1183" s="1211" customFormat="1"/>
    <x:row r="1184" s="1211" customFormat="1"/>
    <x:row r="1185" s="1211" customFormat="1"/>
    <x:row r="1186" s="1211" customFormat="1"/>
    <x:row r="1187" s="1211" customFormat="1"/>
    <x:row r="1188" s="1211" customFormat="1"/>
    <x:row r="1189" s="1211" customFormat="1"/>
    <x:row r="1190" s="1211" customFormat="1"/>
    <x:row r="1191" s="1211" customFormat="1"/>
    <x:row r="1192" s="1211" customFormat="1"/>
    <x:row r="1193" s="1211" customFormat="1"/>
    <x:row r="1194" s="1211" customFormat="1"/>
    <x:row r="1195" s="1211" customFormat="1"/>
    <x:row r="1196" s="1211" customFormat="1"/>
    <x:row r="1197" s="1211" customFormat="1"/>
    <x:row r="1198" s="1211" customFormat="1"/>
    <x:row r="1199" s="1211" customFormat="1"/>
    <x:row r="1200" s="1211" customFormat="1"/>
    <x:row r="1201" s="1211" customFormat="1"/>
    <x:row r="1202" s="1211" customFormat="1"/>
    <x:row r="1203" s="1211" customFormat="1"/>
    <x:row r="1204" s="1211" customFormat="1"/>
    <x:row r="1205" s="1211" customFormat="1"/>
    <x:row r="1206" s="1211" customFormat="1"/>
    <x:row r="1207" s="1211" customFormat="1"/>
    <x:row r="1208" s="1211" customFormat="1"/>
    <x:row r="1209" s="1211" customFormat="1"/>
    <x:row r="1210" s="1211" customFormat="1"/>
    <x:row r="1211" s="1211" customFormat="1"/>
    <x:row r="1212" s="1211" customFormat="1"/>
    <x:row r="1213" s="1211" customFormat="1"/>
    <x:row r="1214" s="1211" customFormat="1"/>
    <x:row r="1215" s="1211" customFormat="1"/>
    <x:row r="1216" s="1211" customFormat="1"/>
    <x:row r="1217" s="1211" customFormat="1"/>
    <x:row r="1218" s="1211" customFormat="1"/>
    <x:row r="1219" s="1211" customFormat="1"/>
    <x:row r="1220" s="1211" customFormat="1"/>
    <x:row r="1221" s="1211" customFormat="1"/>
    <x:row r="1222" s="1211" customFormat="1"/>
    <x:row r="1223" s="1211" customFormat="1"/>
    <x:row r="1224" s="1211" customFormat="1"/>
    <x:row r="1225" s="1211" customFormat="1"/>
    <x:row r="1226" s="1211" customFormat="1"/>
    <x:row r="1227" s="1211" customFormat="1"/>
    <x:row r="1228" s="1211" customFormat="1"/>
    <x:row r="1229" s="1211" customFormat="1"/>
    <x:row r="1230" s="1211" customFormat="1"/>
    <x:row r="1231" s="1211" customFormat="1"/>
    <x:row r="1232" s="1211" customFormat="1"/>
    <x:row r="1233" s="1211" customFormat="1"/>
    <x:row r="1234" s="1211" customFormat="1"/>
    <x:row r="1235" s="1211" customFormat="1"/>
    <x:row r="1236" s="1211" customFormat="1"/>
    <x:row r="1237" s="1211" customFormat="1"/>
    <x:row r="1238" s="1211" customFormat="1"/>
    <x:row r="1239" s="1211" customFormat="1"/>
    <x:row r="1240" s="1211" customFormat="1"/>
    <x:row r="1241" s="1211" customFormat="1"/>
    <x:row r="1242" s="1211" customFormat="1"/>
    <x:row r="1243" s="1211" customFormat="1"/>
    <x:row r="1244" s="1211" customFormat="1"/>
    <x:row r="1245" s="1211" customFormat="1"/>
    <x:row r="1246" s="1211" customFormat="1"/>
    <x:row r="1247" s="1211" customFormat="1"/>
    <x:row r="1248" s="1211" customFormat="1"/>
    <x:row r="1249" s="1211" customFormat="1"/>
    <x:row r="1250" s="1211" customFormat="1"/>
    <x:row r="1251" s="1211" customFormat="1"/>
    <x:row r="1252" s="1211" customFormat="1"/>
    <x:row r="1253" s="1211" customFormat="1"/>
    <x:row r="1254" s="1211" customFormat="1"/>
    <x:row r="1255" s="1211" customFormat="1"/>
    <x:row r="1256" s="1211" customFormat="1"/>
    <x:row r="1257" s="1211" customFormat="1"/>
    <x:row r="1258" s="1211" customFormat="1"/>
    <x:row r="1259" s="1211" customFormat="1"/>
    <x:row r="1260" s="1211" customFormat="1"/>
    <x:row r="1261" s="1211" customFormat="1"/>
    <x:row r="1262" s="1211" customFormat="1"/>
    <x:row r="1263" s="1211" customFormat="1"/>
    <x:row r="1264" s="1211" customFormat="1"/>
    <x:row r="1265" s="1211" customFormat="1"/>
    <x:row r="1266" s="1211" customFormat="1"/>
    <x:row r="1267" s="1211" customFormat="1"/>
    <x:row r="1268" s="1211" customFormat="1"/>
    <x:row r="1269" s="1211" customFormat="1"/>
    <x:row r="1270" s="1211" customFormat="1"/>
    <x:row r="1271" s="1211" customFormat="1"/>
    <x:row r="1272" s="1211" customFormat="1"/>
    <x:row r="1273" s="1211" customFormat="1"/>
    <x:row r="1274" s="1211" customFormat="1"/>
    <x:row r="1275" s="1211" customFormat="1"/>
    <x:row r="1276" s="1211" customFormat="1"/>
    <x:row r="1277" s="1211" customFormat="1"/>
    <x:row r="1278" s="1211" customFormat="1"/>
    <x:row r="1279" s="1211" customFormat="1"/>
    <x:row r="1280" s="1211" customFormat="1"/>
    <x:row r="1281" s="1211" customFormat="1"/>
    <x:row r="1282" s="1211" customFormat="1"/>
    <x:row r="1283" s="1211" customFormat="1"/>
    <x:row r="1284" s="1211" customFormat="1"/>
    <x:row r="1285" s="1211" customFormat="1"/>
    <x:row r="1286" s="1211" customFormat="1"/>
    <x:row r="1287" s="1211" customFormat="1"/>
    <x:row r="1288" s="1211" customFormat="1"/>
    <x:row r="1289" s="1211" customFormat="1"/>
    <x:row r="1290" s="1211" customFormat="1"/>
    <x:row r="1291" s="1211" customFormat="1"/>
    <x:row r="1292" s="1211" customFormat="1"/>
    <x:row r="1293" s="1211" customFormat="1"/>
    <x:row r="1294" s="1211" customFormat="1"/>
    <x:row r="1295" s="1211" customFormat="1"/>
    <x:row r="1296" s="1211" customFormat="1"/>
    <x:row r="1297" s="1211" customFormat="1"/>
    <x:row r="1298" s="1211" customFormat="1"/>
    <x:row r="1299" s="1211" customFormat="1"/>
    <x:row r="1300" s="1211" customFormat="1"/>
    <x:row r="1301" s="1211" customFormat="1"/>
    <x:row r="1302" s="1211" customFormat="1"/>
    <x:row r="1303" s="1211" customFormat="1"/>
    <x:row r="1304" s="1211" customFormat="1"/>
    <x:row r="1305" s="1211" customFormat="1"/>
    <x:row r="1306" s="1211" customFormat="1"/>
    <x:row r="1307" s="1211" customFormat="1"/>
    <x:row r="1308" s="1211" customFormat="1"/>
    <x:row r="1309" s="1211" customFormat="1"/>
    <x:row r="1310" s="1211" customFormat="1"/>
    <x:row r="1311" s="1211" customFormat="1"/>
    <x:row r="1312" s="1211" customFormat="1"/>
    <x:row r="1313" s="1211" customFormat="1"/>
    <x:row r="1314" s="1211" customFormat="1"/>
    <x:row r="1315" s="1211" customFormat="1"/>
    <x:row r="1316" s="1211" customFormat="1"/>
    <x:row r="1317" s="1211" customFormat="1"/>
    <x:row r="1318" s="1211" customFormat="1"/>
    <x:row r="1319" s="1211" customFormat="1"/>
    <x:row r="1320" s="1211" customFormat="1"/>
    <x:row r="1321" s="1211" customFormat="1"/>
    <x:row r="1322" s="1211" customFormat="1"/>
    <x:row r="1323" s="1211" customFormat="1"/>
    <x:row r="1324" s="1211" customFormat="1"/>
    <x:row r="1325" s="1211" customFormat="1"/>
    <x:row r="1326" s="1211" customFormat="1"/>
    <x:row r="1327" s="1211" customFormat="1"/>
    <x:row r="1328" s="1211" customFormat="1"/>
    <x:row r="1329" s="1211" customFormat="1"/>
    <x:row r="1330" s="1211" customFormat="1"/>
    <x:row r="1331" s="1211" customFormat="1"/>
    <x:row r="1332" s="1211" customFormat="1"/>
    <x:row r="1333" s="1211" customFormat="1"/>
    <x:row r="1334" s="1211" customFormat="1"/>
    <x:row r="1335" s="1211" customFormat="1"/>
    <x:row r="1336" s="1211" customFormat="1"/>
    <x:row r="1337" s="1211" customFormat="1"/>
    <x:row r="1338" s="1211" customFormat="1"/>
    <x:row r="1339" s="1211" customFormat="1"/>
    <x:row r="1340" s="1211" customFormat="1"/>
    <x:row r="1341" s="1211" customFormat="1"/>
    <x:row r="1342" s="1211" customFormat="1"/>
    <x:row r="1343" s="1211" customFormat="1"/>
    <x:row r="1344" s="1211" customFormat="1"/>
    <x:row r="1345" s="1211" customFormat="1"/>
    <x:row r="1346" s="1211" customFormat="1"/>
    <x:row r="1347" s="1211" customFormat="1"/>
    <x:row r="1348" s="1211" customFormat="1"/>
    <x:row r="1349" s="1211" customFormat="1"/>
    <x:row r="1350" s="1211" customFormat="1"/>
    <x:row r="1351" s="1211" customFormat="1"/>
    <x:row r="1352" s="1211" customFormat="1"/>
    <x:row r="1353" s="1211" customFormat="1"/>
    <x:row r="1354" s="1211" customFormat="1"/>
    <x:row r="1355" s="1211" customFormat="1"/>
    <x:row r="1356" s="1211" customFormat="1"/>
    <x:row r="1357" s="1211" customFormat="1"/>
    <x:row r="1358" s="1211" customFormat="1"/>
    <x:row r="1359" s="1211" customFormat="1"/>
    <x:row r="1360" s="1211" customFormat="1"/>
    <x:row r="1361" s="1211" customFormat="1"/>
    <x:row r="1362" s="1211" customFormat="1"/>
    <x:row r="1363" s="1211" customFormat="1"/>
    <x:row r="1364" s="1211" customFormat="1"/>
    <x:row r="1365" s="1211" customFormat="1"/>
  </x:sheetData>
  <x:mergeCells>
    <x:mergeCell ref="B2:J2"/>
    <x:mergeCell ref="B3:J3"/>
    <x:mergeCell ref="B5:C5"/>
    <x:mergeCell ref="B6:C6"/>
    <x:mergeCell ref="D5:E5"/>
    <x:mergeCell ref="D6:E6"/>
    <x:mergeCell ref="F5:G5"/>
    <x:mergeCell ref="F6:G6"/>
    <x:mergeCell ref="H5:I5"/>
    <x:mergeCell ref="H6:I6"/>
    <x:mergeCell ref="J5:K5"/>
    <x:mergeCell ref="J6:K6"/>
    <x:mergeCell ref="L5:M5"/>
    <x:mergeCell ref="L6:M6"/>
    <x:mergeCell ref="B7:M7"/>
    <x:mergeCell ref="B9:M9"/>
    <x:mergeCell ref="B18:M18"/>
    <x:mergeCell ref="B19:M19"/>
    <x:mergeCell ref="B21:M21"/>
    <x:mergeCell ref="B37:M37"/>
    <x:mergeCell ref="B38:G38"/>
    <x:mergeCell ref="I38:M38"/>
    <x:mergeCell ref="I39:L39"/>
    <x:mergeCell ref="I40:L40"/>
    <x:mergeCell ref="I41:L41"/>
    <x:mergeCell ref="I42:L42"/>
    <x:mergeCell ref="I43:L43"/>
    <x:mergeCell ref="I44:L44"/>
    <x:mergeCell ref="B45:G46"/>
    <x:mergeCell ref="I45:M46"/>
    <x:mergeCell ref="B48:M48"/>
    <x:mergeCell ref="B49:F49"/>
    <x:mergeCell ref="H49:M49"/>
    <x:mergeCell ref="B50:F50"/>
    <x:mergeCell ref="H50:M50"/>
    <x:mergeCell ref="B51:F51"/>
    <x:mergeCell ref="H51:M51"/>
    <x:mergeCell ref="B52:F52"/>
    <x:mergeCell ref="H52:M52"/>
    <x:mergeCell ref="B53:F53"/>
    <x:mergeCell ref="H53:M53"/>
    <x:mergeCell ref="B54:F54"/>
    <x:mergeCell ref="H54:M54"/>
    <x:mergeCell ref="B56:M56"/>
    <x:mergeCell ref="B58:M58"/>
    <x:mergeCell ref="B59:M59"/>
    <x:mergeCell ref="C60:F60"/>
    <x:mergeCell ref="J60:M60"/>
    <x:mergeCell ref="C61:F61"/>
    <x:mergeCell ref="J61:M61"/>
    <x:mergeCell ref="C62:F62"/>
    <x:mergeCell ref="J62:M62"/>
    <x:mergeCell ref="C63:F63"/>
    <x:mergeCell ref="J63:M63"/>
    <x:mergeCell ref="C64:F64"/>
    <x:mergeCell ref="J64:M64"/>
    <x:mergeCell ref="C65:F65"/>
    <x:mergeCell ref="J65:M65"/>
    <x:mergeCell ref="C66:F66"/>
    <x:mergeCell ref="J66:M66"/>
    <x:mergeCell ref="C67:F67"/>
    <x:mergeCell ref="J67:M67"/>
    <x:mergeCell ref="C68:F68"/>
    <x:mergeCell ref="J68:M68"/>
    <x:mergeCell ref="C69:F69"/>
    <x:mergeCell ref="J69:M69"/>
    <x:mergeCell ref="C70:F70"/>
    <x:mergeCell ref="J70:M70"/>
    <x:mergeCell ref="B72:M72"/>
    <x:mergeCell ref="B73:M73"/>
  </x:mergeCells>
  <x:conditionalFormatting sqref="L11:L15">
    <x:cfRule type="cellIs" dxfId="1661" priority="3" operator="greaterThan">
      <x:formula>0</x:formula>
    </x:cfRule>
  </x:conditionalFormatting>
  <x:conditionalFormatting sqref="G50:G54">
    <x:cfRule type="cellIs" dxfId="1662" priority="4" operator="greaterThan">
      <x:formula>0</x:formula>
    </x:cfRule>
  </x:conditionalFormatting>
  <x:conditionalFormatting sqref="G61:G70">
    <x:cfRule type="cellIs" dxfId="1663" priority="5" operator="equal">
      <x:formula>"Urgente"</x:formula>
    </x:cfRule>
    <x:cfRule type="cellIs" dxfId="1664" priority="6" operator="equal">
      <x:formula>"Prioritaire"</x:formula>
    </x:cfRule>
  </x:conditionalFormatting>
  <x:pageMargins left="0.25" right="0.25" top="0.35" bottom="0.35" header="0.15" footer="0.15"/>
  <x:pageSetup orientation="landscape" paperSize="9" fitToWidth="1" fitToHeight="0"/>
  <x:drawing xmlns:r="http://schemas.openxmlformats.org/officeDocument/2006/relationships" r:id="logoINR20261007"/>
  <x:extLst>
    <x:ext xmlns:x14="http://schemas.microsoft.com/office/spreadsheetml/2009/9/main" xmlns:xm="http://schemas.microsoft.com/office/excel/2006/main" uri="{78C0D931-6437-407d-A8EE-F0AAD7539E65}">
      <x14:conditionalFormattings>
        <x14:conditionalFormatting>
          <x14:cfRule type="dataBar" priority="1" id="{54AD6DB4-C8DC-F8F5-35B7-459A804E5B9E}">
            <x14:dataBar gradient="0">
              <x14:cfvo type="num">
                <xm:f>0</xm:f>
              </x14:cfvo>
              <x14:cfvo type="num">
                <xm:f>1</xm:f>
              </x14:cfvo>
              <x14:fillColor rgb="FF5B8C76"/>
            </x14:dataBar>
          </x14:cfRule>
          <xm:sqref>F6:F10</xm:sqref>
        </x14:conditionalFormatting>
      </x14:conditionalFormattings>
    </x:ext>
  </x:extLst>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32"/>
  <sheetViews>
    <sheetView workbookViewId="0">
      <selection activeCell="D10" sqref="D10"/>
    </sheetView>
  </sheetViews>
  <sheetFormatPr baseColWidth="10" defaultColWidth="11.5" defaultRowHeight="13"/>
  <sheetData>
    <row r="1" spans="1:2">
      <c r="A1" t="inlineStr">
        <is>
          <t>1.1</t>
        </is>
      </c>
      <c r="B1" t="inlineStr">
        <is>
          <t>Prendre en compte toute la vie des équipements et des logiciels de l'établissement, de l'achat à la fin de vie : postes, salles informatiques, équipements de laboratoire et de calcul.</t>
        </is>
      </c>
    </row>
    <row r="2" spans="1:2">
      <c r="A2" t="inlineStr">
        <is>
          <t>1.2</t>
        </is>
      </c>
      <c r="B2" t="inlineStr">
        <is>
          <t>Utiliser plus longtemps les équipements des personnels, des salles et des laboratoires, même après leur amortissement, en organisant leur réparation et leur réaffectation.</t>
        </is>
      </c>
    </row>
    <row r="3" spans="1:2">
      <c r="A3" t="inlineStr">
        <is>
          <t>1.3</t>
        </is>
      </c>
      <c r="B3" t="inlineStr">
        <is>
          <t>Concevoir des services numériques qui limitent leurs effets sur l'environnement, en suivant le RGESN : plateforme pédagogique (LMS comme Moodle), environnement numérique de travail (ENT), applications de scolarité, logiciels de recherche. Choisir des technologies qui contribuent aux ODD.</t>
        </is>
      </c>
    </row>
    <row r="4" spans="1:2">
      <c r="A4" t="inlineStr">
        <is>
          <t>1.4</t>
        </is>
      </c>
      <c r="B4" t="inlineStr">
        <is>
          <t>Adopter, dans les cours, les examens, l'administration et les laboratoires, des pratiques qui consomment moins de matériel, d'énergie, de papier et de stockage.</t>
        </is>
      </c>
    </row>
    <row r="5" spans="1:2">
      <c r="A5" t="inlineStr">
        <is>
          <t>1.5</t>
        </is>
      </c>
      <c r="B5" t="inlineStr">
        <is>
          <t>Confier les équipements en fin d'usage à des filières de réemploi et de l'économie sociale et solidaire, par exemple pour équiper des étudiants.</t>
        </is>
      </c>
    </row>
    <row r="6" spans="1:2">
      <c r="A6" t="inlineStr">
        <is>
          <t>1.6</t>
        </is>
      </c>
      <c r="B6" t="inlineStr">
        <is>
          <t>Alimenter les campus, les centres de données et les moyens de calcul avec des énergies renouvelables, et valoriser leur chaleur fatale.</t>
        </is>
      </c>
    </row>
    <row r="7" spans="1:2">
      <c r="A7" t="inlineStr">
        <is>
          <t>1.7</t>
        </is>
      </c>
      <c r="B7" t="inlineStr">
        <is>
          <t>Réserver l'intelligence artificielle aux besoins de formation, de recherche et de gestion qui la justifient, et choisir des solutions sobres.</t>
        </is>
      </c>
    </row>
    <row r="8" spans="1:2">
      <c r="A8" t="inlineStr">
        <is>
          <t>1.8</t>
        </is>
      </c>
      <c r="B8" t="inlineStr">
        <is>
          <t>Mesurer et réduire ce que consomme l'intelligence artificielle dans l'établissement, notamment l'entraînement de modèles par les équipes de recherche.</t>
        </is>
      </c>
    </row>
    <row r="9" spans="1:2">
      <c r="A9" t="inlineStr">
        <is>
          <t>2.1</t>
        </is>
      </c>
      <c r="B9" t="inlineStr">
        <is>
          <t>Intégrer dans les achats numériques de l'établissement, y compris ceux des laboratoires, des clauses sociales et environnementales et des critères de durabilité.</t>
        </is>
      </c>
    </row>
    <row r="10" spans="1:2">
      <c r="A10" t="inlineStr">
        <is>
          <t>2.2</t>
        </is>
      </c>
      <c r="B10" t="inlineStr">
        <is>
          <t>Rendre accessibles à toutes et tous les sites, l'ENT, le LMS et les ressources pédagogiques : vidéos de cours sous-titrées, documents et supports accessibles. Mesurer leur conformité au RGAA.</t>
        </is>
      </c>
    </row>
    <row r="11" spans="1:2">
      <c r="A11" t="inlineStr">
        <is>
          <t>2.3</t>
        </is>
      </c>
      <c r="B11" t="inlineStr">
        <is>
          <t>Proposer aux étudiants et aux personnels des outils utiles, faciles à utiliser et réellement utilisés, plutôt qu'une multitude de plateformes : un ENT, un LMS, une messagerie, une visioconférence, un outil d'emploi du temps.</t>
        </is>
      </c>
    </row>
    <row r="12" spans="1:2">
      <c r="A12" t="inlineStr">
        <is>
          <t>2.4</t>
        </is>
      </c>
      <c r="B12" t="inlineStr">
        <is>
          <t>Concevoir les services numériques avec les étudiants, les enseignants, les chercheurs et les personnels, en partant de leurs besoins réels.</t>
        </is>
      </c>
    </row>
    <row r="13" spans="1:2">
      <c r="A13" t="inlineStr">
        <is>
          <t>2.5</t>
        </is>
      </c>
      <c r="B13" t="inlineStr">
        <is>
          <t>Vérifier que l'intelligence artificielle utilisée pour orienter, évaluer ou accompagner les étudiants ne discrimine personne : aide à l'orientation, détection de plagiat, correction automatique, agents conversationnels.</t>
        </is>
      </c>
    </row>
    <row r="14" spans="1:2">
      <c r="A14" t="inlineStr">
        <is>
          <t>3.1</t>
        </is>
      </c>
      <c r="B14" t="inlineStr">
        <is>
          <t>Utiliser avec mesure les données des étudiants, des personnels et de la recherche, y compris les traces d'apprentissage collectées par le LMS, en respectant les personnes et l'environnement.</t>
        </is>
      </c>
    </row>
    <row r="15" spans="1:2">
      <c r="A15" t="inlineStr">
        <is>
          <t>3.2</t>
        </is>
      </c>
      <c r="B15" t="inlineStr">
        <is>
          <t>Supprimer des services numériques de l'établissement les interfaces qui trompent ou poussent les utilisateurs (« dark patterns »), et respecter la réglementation.</t>
        </is>
      </c>
    </row>
    <row r="16" spans="1:2">
      <c r="A16" t="inlineStr">
        <is>
          <t>3.3</t>
        </is>
      </c>
      <c r="B16" t="inlineStr">
        <is>
          <t>Collecter seulement les données nécessaires dans les applications de scolarité, le LMS et les projets de recherche, et respecter le RGPD avec l'appui du délégué à la protection des données.</t>
        </is>
      </c>
    </row>
    <row r="17" spans="1:2">
      <c r="A17" t="inlineStr">
        <is>
          <t>3.4</t>
        </is>
      </c>
      <c r="B17" t="inlineStr">
        <is>
          <t>Diversifier les profils dans les formations et les métiers du numérique de l'établissement, en particulier la place des femmes.</t>
        </is>
      </c>
    </row>
    <row r="18" spans="1:2">
      <c r="A18" t="inlineStr">
        <is>
          <t>3.5</t>
        </is>
      </c>
      <c r="B18" t="inlineStr">
        <is>
          <t>Améliorer les conditions de travail des personnels du numérique, des doctorants et des contractuels, et les exiger des prestataires.</t>
        </is>
      </c>
    </row>
    <row r="19" spans="1:2">
      <c r="A19" t="inlineStr">
        <is>
          <t>3.6</t>
        </is>
      </c>
      <c r="B19" t="inlineStr">
        <is>
          <t>Fixer des règles éthiques pour les algorithmes et l'intelligence artificielle, en formation comme en recherche, avec le comité d'éthique de l'établissement.</t>
        </is>
      </c>
    </row>
    <row r="20" spans="1:2">
      <c r="A20" t="inlineStr">
        <is>
          <t>3.7</t>
        </is>
      </c>
      <c r="B20" t="inlineStr">
        <is>
          <t>Intégrer le numérique responsable à la démarche de développement durable et de responsabilité sociétale (DD&amp;RS) de l'établissement, et la faire connaître.</t>
        </is>
      </c>
    </row>
    <row r="21" spans="1:2">
      <c r="A21" t="inlineStr">
        <is>
          <t>3.8</t>
        </is>
      </c>
      <c r="B21" t="inlineStr">
        <is>
          <t>Indiquer quand une intelligence artificielle répond ou participe à une évaluation, expliquer comment elle décide, et garder une décision humaine pour les sujets sensibles : notes, admission, orientation, suspicion de plagiat.</t>
        </is>
      </c>
    </row>
    <row r="22" spans="1:2">
      <c r="A22" t="inlineStr">
        <is>
          <t>4.1</t>
        </is>
      </c>
      <c r="B22" t="inlineStr">
        <is>
          <t>Mesurer l'empreinte environnementale du numérique de l'établissement et des projets de recherche avec des méthodes communes, pour se comparer.</t>
        </is>
      </c>
    </row>
    <row r="23" spans="1:2">
      <c r="A23" t="inlineStr">
        <is>
          <t>4.2</t>
        </is>
      </c>
      <c r="B23" t="inlineStr">
        <is>
          <t>Évaluer les services numériques au fil du temps, avec les étudiants et les personnels, et partager les résultats.</t>
        </is>
      </c>
    </row>
    <row r="24" spans="1:2">
      <c r="A24" t="inlineStr">
        <is>
          <t>4.3</t>
        </is>
      </c>
      <c r="B24" t="inlineStr">
        <is>
          <t>Expérimenter de nouveaux outils pour la pédagogie et la recherche. Évaluer leurs effets et expliquer les résultats à celles et ceux qui les utilisent.</t>
        </is>
      </c>
    </row>
    <row r="25" spans="1:2">
      <c r="A25" t="inlineStr">
        <is>
          <t>4.4</t>
        </is>
      </c>
      <c r="B25" t="inlineStr">
        <is>
          <t>Garder la maîtrise des données de recherche et de formation, des outils et des choix techniques : logiciels libres (Moodle, BigBlueButton, Nextcloud), hébergement de confiance, infrastructures mutualisées de l'enseignement supérieur et de la recherche (RENATER, mésocentres).</t>
        </is>
      </c>
    </row>
    <row r="26" spans="1:2">
      <c r="A26" t="inlineStr">
        <is>
          <t>5.1</t>
        </is>
      </c>
      <c r="B26" t="inlineStr">
        <is>
          <t>Concevoir les services numériques en réponse aux besoins sociaux des étudiants et des personnels : précarité, éloignement, handicap.</t>
        </is>
      </c>
    </row>
    <row r="27" spans="1:2">
      <c r="A27" t="inlineStr">
        <is>
          <t>5.2</t>
        </is>
      </c>
      <c r="B27" t="inlineStr">
        <is>
          <t>Faire connaître et soutenir les initiatives des personnels et des étudiants qui encouragent la coopération entre services et le bien-être au travail et aux études.</t>
        </is>
      </c>
    </row>
    <row r="28" spans="1:2">
      <c r="A28" t="inlineStr">
        <is>
          <t>5.3</t>
        </is>
      </c>
      <c r="B28" t="inlineStr">
        <is>
          <t>Associer les étudiants, les personnels, les chercheurs et les partenaires du territoire aux choix numériques, en s'appuyant sur leur expertise.</t>
        </is>
      </c>
    </row>
    <row r="29" spans="1:2">
      <c r="A29" t="inlineStr">
        <is>
          <t>5.4</t>
        </is>
      </c>
      <c r="B29" t="inlineStr">
        <is>
          <t>Former des diplômés capables d'innover pour mieux vivre ensemble et préserver les écosystèmes, en intégrant le numérique responsable dans les formations.</t>
        </is>
      </c>
    </row>
    <row r="30" spans="1:2">
      <c r="A30" t="inlineStr">
        <is>
          <t>5.5</t>
        </is>
      </c>
      <c r="B30" t="inlineStr">
        <is>
          <t>Suivre les résultats de la démarche avec quelques indicateurs, communs avec le plan de transition et le label DD&amp;RS.</t>
        </is>
      </c>
    </row>
    <row r="31" spans="1:2">
      <c r="A31" t="inlineStr">
        <is>
          <t>5.6</t>
        </is>
      </c>
      <c r="B31" t="inlineStr">
        <is>
          <t>Proposer des améliorations pour un numérique responsable, y compris des solutions sans outil numérique, comme des cours ou des examens sans écran.</t>
        </is>
      </c>
    </row>
    <row r="32" spans="1:2">
      <c r="A32" t="inlineStr">
        <is>
          <t>5.7</t>
        </is>
      </c>
      <c r="B32" t="inlineStr">
        <is>
          <t>Décider avec les enseignants, les chercheurs, les personnels et les étudiants comment utiliser l'intelligence artificielle. Les former à ses limites et préserver le sens de l'apprentissage et de la recherche.</t>
        </is>
      </c>
    </row>
  </sheetData>
  <pageMargins left="0.7" right="0.7" top="0.75" bottom="0.75" header="0.3" footer="0.3"/>
  <drawing r:id="logoINR20261007"/>
</worksheet>
</file>

<file path=xl/worksheets/sheet13.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42.6640625" style="871" hidden="1" customWidth="1"/>
    <x:col min="24" max="24" width="4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Cibles propres au secteur · Enseignement supérieur et recherche</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822" t="str">
        <x:v>Cibles à évaluer</x:v>
      </x:c>
      <x:c r="C4" s="182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24"/>
      <x:c r="C5" s="1825"/>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t="inlineStr">
        <x:is>
          <x:t xml:space="preserve">Adhérence</x:t>
        </x:is>
      </x:c>
      <x:c r="X5" s="1753"/>
    </x:row>
    <x:row r="6" s="875" customFormat="1" ht="34" customHeight="1">
      <x:c r="A6" s="874"/>
      <x:c r="B6" s="1832" t="str">
        <x:v>Renseigner les cellules jaunes pour les notes, puis les textes utiles. La priorité se calcule automatiquement. Faire défiler vers la droite pour proposer des actions.</x:v>
      </x:c>
      <x:c r="C6" s="1833"/>
      <x:c r="D6" s="1834"/>
      <x:c r="E6" s="1834"/>
      <x:c r="F6" s="1834"/>
      <x:c r="G6" s="1834"/>
      <x:c r="H6" s="1834"/>
      <x:c r="I6" s="1834"/>
      <x:c r="J6" s="1834"/>
      <x:c r="K6" s="1834"/>
      <x:c r="L6" s="1834"/>
      <x:c r="M6" s="1834"/>
      <x:c r="N6" s="1834"/>
      <x:c r="O6" s="1834"/>
      <x:c r="P6" s="1834"/>
      <x:c r="Q6" s="1834"/>
      <x:c r="R6" s="1834"/>
      <x:c r="S6" s="1834"/>
      <x:c r="T6" s="1834"/>
      <x:c r="U6" s="1834"/>
      <x:c r="V6" s="1835"/>
      <x:c r="W6" s="1836"/>
      <x:c r="X6" s="1129"/>
    </x:row>
    <x:row r="7" s="952" customFormat="1" ht="77" customHeight="1">
      <x:c r="A7" s="951"/>
      <x:c r="B7" s="1804" t="inlineStr">
        <x:is>
          <x:t xml:space="preserve">E.1</x:t>
        </x:is>
      </x:c>
      <x:c r="C7" s="1796" t="inlineStr">
        <x:is>
          <x:t xml:space="preserve">Rendre sobres le calcul et le stockage de la recherche : utiliser les mésocentres et les centres nationaux plutôt que des serveurs par équipe, mesurer l'empreinte des projets, et ne conserver que les données utiles.</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IF(ISNUMBER(T7),INDEX($L$5:$R$5,1,7-T7),"")</x:f>
      </x:c>
      <x:c r="T7" s="1783" t="str">
        <x:f>IF(ISNUMBER(K7),IF(L7,6,IF(M7,5,IF(N7,4,IF(O7,3,IF(P7,2,IF(Q7,1,0)))))),"")</x:f>
      </x:c>
      <x:c r="U7" s="1783" t="str">
        <x:f>IF(AND(ISNUMBER(T7),ISNUMBER(H7)),IF(AND(H7&gt;=1,H7&lt;=4,MOD(H7,1)=0),T7*10+H7,""),"")</x:f>
      </x:c>
      <x:c r="V7" s="1798"/>
      <x:c r="W7" s="1123"/>
      <x:c r="X7" s="1113"/>
    </x:row>
    <x:row r="8" s="952" customFormat="1" ht="76" customHeight="1">
      <x:c r="A8" s="951"/>
      <x:c r="B8" s="1804" t="inlineStr">
        <x:is>
          <x:t xml:space="preserve">E.2</x:t>
        </x:is>
      </x:c>
      <x:c r="C8" s="1796" t="inlineStr">
        <x:is>
          <x:t xml:space="preserve">Garantir à chaque étudiant un accès égal aux outils et aux enseignements numériques : équipement, connexion, accessibilité des contenus et accompagnement.</x:t>
        </x:is>
      </x:c>
      <x:c r="D8" s="1798"/>
      <x:c r="E8" s="1802"/>
      <x:c r="F8" s="1802"/>
      <x:c r="G8" s="1798"/>
      <x:c r="H8" s="1802"/>
      <x:c r="I8" s="1798"/>
      <x:c r="J8" s="1806" t="str">
        <x:f t="shared" si="0">S8</x:f>
      </x:c>
      <x:c r="K8" s="1783" t="str">
        <x:f>IF(IF(ISNUMBER(E8),AND(E8&gt;=0,E8&lt;=3,MOD(E8,1)=0),FALSE),IF(E8=0,0,IF(IF(ISNUMBER(F8),AND(F8&gt;=1,F8&lt;=4,MOD(F8,1)=0),FALSE),E8*10+F8,"")),"")</x:f>
      </x:c>
      <x:c r="L8" s="1783" t="b">
        <x:f>IF(ISNUMBER(K8),K8=31,FALSE)</x:f>
        <x:v>0</x:v>
      </x:c>
      <x:c r="M8" s="1783" t="b">
        <x:f>IF(ISNUMBER(K8),OR(K8=21,K8=32),FALSE)</x:f>
        <x:v>0</x:v>
      </x:c>
      <x:c r="N8" s="1783" t="b">
        <x:f>IF(ISNUMBER(K8),OR(K8=22,K8=33),FALSE)</x:f>
        <x:v>0</x:v>
      </x:c>
      <x:c r="O8" s="1783" t="b">
        <x:f>IF(ISNUMBER(K8),OR(K8=11,K8=12),FALSE)</x:f>
        <x:v>0</x:v>
      </x:c>
      <x:c r="P8" s="1783" t="b">
        <x:f>IF(ISNUMBER(K8),OR(K8=23,K8=34),FALSE)</x:f>
        <x:v>0</x:v>
      </x:c>
      <x:c r="Q8" s="1783" t="b">
        <x:f>IF(ISNUMBER(K8),OR(K8=13,K8=14,K8=24),FALSE)</x:f>
        <x:v>0</x:v>
      </x:c>
      <x:c r="R8" s="1783" t="b">
        <x:f>IF(ISNUMBER(K8),K8=0,FALSE)</x:f>
        <x:v>0</x:v>
      </x:c>
      <x:c r="S8" s="1783" t="str">
        <x:f>IF(ISNUMBER(T8),INDEX($L$5:$R$5,1,7-T8),"")</x:f>
      </x:c>
      <x:c r="T8" s="1783" t="str">
        <x:f>IF(ISNUMBER(K8),IF(L8,6,IF(M8,5,IF(N8,4,IF(O8,3,IF(P8,2,IF(Q8,1,0)))))),"")</x:f>
      </x:c>
      <x:c r="U8" s="1783" t="str">
        <x:f>IF(AND(ISNUMBER(T8),ISNUMBER(H8)),IF(AND(H8&gt;=1,H8&lt;=4,MOD(H8,1)=0),T8*10+H8,""),"")</x:f>
      </x:c>
      <x:c r="V8" s="1798"/>
      <x:c r="W8" s="1109"/>
      <x:c r="X8" s="1108"/>
    </x:row>
    <x:row r="9" s="952" customFormat="1" ht="76" customHeight="1">
      <x:c r="A9" s="951"/>
      <x:c r="B9" s="1804" t="inlineStr">
        <x:is>
          <x:t xml:space="preserve">E.3</x:t>
        </x:is>
      </x:c>
      <x:c r="C9" s="1796" t="inlineStr">
        <x:is>
          <x:t xml:space="preserve">Ouvrir les publications, les données et les logiciels de recherche, selon le plan national pour la science ouverte (HAL, Recherche Data Gouv, Software Heritage), dans le respect de la vie privée.</x:t>
        </x:is>
      </x:c>
      <x:c r="D9" s="1798"/>
      <x:c r="E9" s="1802"/>
      <x:c r="F9" s="1802"/>
      <x:c r="G9" s="1798"/>
      <x:c r="H9" s="1802"/>
      <x:c r="I9" s="1798"/>
      <x:c r="J9" s="1806" t="str">
        <x:f t="shared" si="0">S9</x:f>
      </x:c>
      <x:c r="K9" s="1783" t="str">
        <x:f>IF(IF(ISNUMBER(E9),AND(E9&gt;=0,E9&lt;=3,MOD(E9,1)=0),FALSE),IF(E9=0,0,IF(IF(ISNUMBER(F9),AND(F9&gt;=1,F9&lt;=4,MOD(F9,1)=0),FALSE),E9*10+F9,"")),"")</x:f>
      </x:c>
      <x:c r="L9" s="1783" t="b">
        <x:f>IF(ISNUMBER(K9),K9=31,FALSE)</x:f>
        <x:v>0</x:v>
      </x:c>
      <x:c r="M9" s="1783" t="b">
        <x:f>IF(ISNUMBER(K9),OR(K9=21,K9=32),FALSE)</x:f>
        <x:v>0</x:v>
      </x:c>
      <x:c r="N9" s="1783" t="b">
        <x:f>IF(ISNUMBER(K9),OR(K9=22,K9=33),FALSE)</x:f>
        <x:v>0</x:v>
      </x:c>
      <x:c r="O9" s="1783" t="b">
        <x:f>IF(ISNUMBER(K9),OR(K9=11,K9=12),FALSE)</x:f>
        <x:v>0</x:v>
      </x:c>
      <x:c r="P9" s="1783" t="b">
        <x:f>IF(ISNUMBER(K9),OR(K9=23,K9=34),FALSE)</x:f>
        <x:v>0</x:v>
      </x:c>
      <x:c r="Q9" s="1783" t="b">
        <x:f>IF(ISNUMBER(K9),OR(K9=13,K9=14,K9=24),FALSE)</x:f>
        <x:v>0</x:v>
      </x:c>
      <x:c r="R9" s="1783" t="b">
        <x:f>IF(ISNUMBER(K9),K9=0,FALSE)</x:f>
        <x:v>0</x:v>
      </x:c>
      <x:c r="S9" s="1783" t="str">
        <x:f>IF(ISNUMBER(T9),INDEX($L$5:$R$5,1,7-T9),"")</x:f>
      </x:c>
      <x:c r="T9" s="1783" t="str">
        <x:f>IF(ISNUMBER(K9),IF(L9,6,IF(M9,5,IF(N9,4,IF(O9,3,IF(P9,2,IF(Q9,1,0)))))),"")</x:f>
      </x:c>
      <x:c r="U9" s="1783" t="str">
        <x:f>IF(AND(ISNUMBER(T9),ISNUMBER(H9)),IF(AND(H9&gt;=1,H9&lt;=4,MOD(H9,1)=0),T9*10+H9,""),"")</x:f>
      </x:c>
      <x:c r="V9" s="1798"/>
      <x:c r="W9" s="1122"/>
      <x:c r="X9" s="1114"/>
    </x:row>
    <x:row r="10" s="952" customFormat="1" ht="70" customHeight="1">
      <x:c r="A10" s="951"/>
      <x:c r="B10" s="1804" t="inlineStr">
        <x:is>
          <x:t xml:space="preserve">E.4</x:t>
        </x:is>
      </x:c>
      <x:c r="C10" s="1796" t="inlineStr">
        <x:is>
          <x:t xml:space="preserve">Intégrer le numérique responsable au plan de transition, au schéma directeur du numérique et au label DD&amp;RS de l'établissement.</x:t>
        </x:is>
      </x:c>
      <x:c r="D10" s="1798"/>
      <x:c r="E10" s="1802"/>
      <x:c r="F10" s="1802"/>
      <x:c r="G10" s="1798"/>
      <x:c r="H10" s="1802"/>
      <x:c r="I10" s="1798"/>
      <x:c r="J10" s="1806" t="str">
        <x:f>S10</x:f>
      </x:c>
      <x:c r="K10" s="1777" t="str">
        <x:f>IF(IF(ISNUMBER(E10),AND(E10&gt;=0,E10&lt;=3,MOD(E10,1)=0),FALSE),IF(E10=0,0,IF(IF(ISNUMBER(F10),AND(F10&gt;=1,F10&lt;=4,MOD(F10,1)=0),FALSE),E10*10+F10,"")),"")</x:f>
      </x:c>
      <x:c r="L10" s="1777" t="b">
        <x:f>IF(ISNUMBER(K10),K10=31,FALSE)</x:f>
        <x:v>0</x:v>
      </x:c>
      <x:c r="M10" s="1777" t="b">
        <x:f>IF(ISNUMBER(K10),OR(K10=21,K10=32),FALSE)</x:f>
        <x:v>0</x:v>
      </x:c>
      <x:c r="N10" s="1777" t="b">
        <x:f>IF(ISNUMBER(K10),OR(K10=22,K10=33),FALSE)</x:f>
        <x:v>0</x:v>
      </x:c>
      <x:c r="O10" s="1777" t="b">
        <x:f>IF(ISNUMBER(K10),OR(K10=11,K10=12),FALSE)</x:f>
        <x:v>0</x:v>
      </x:c>
      <x:c r="P10" s="1777" t="b">
        <x:f>IF(ISNUMBER(K10),OR(K10=23,K10=34),FALSE)</x:f>
        <x:v>0</x:v>
      </x:c>
      <x:c r="Q10" s="1777" t="b">
        <x:f>IF(ISNUMBER(K10),OR(K10=13,K10=14,K10=24),FALSE)</x:f>
        <x:v>0</x:v>
      </x:c>
      <x:c r="R10" s="1777" t="b">
        <x:f>IF(ISNUMBER(K10),K10=0,FALSE)</x:f>
        <x:v>0</x:v>
      </x:c>
      <x:c r="S10" s="1777" t="str">
        <x:f>IF(ISNUMBER(T10),INDEX($L$5:$R$5,1,7-T10),"")</x:f>
      </x:c>
      <x:c r="T10" s="1777" t="str">
        <x:f>IF(ISNUMBER(K10),IF(L10,6,IF(M10,5,IF(N10,4,IF(O10,3,IF(P10,2,IF(Q10,1,0)))))),"")</x:f>
      </x:c>
      <x:c r="U10" s="1790" t="str">
        <x:f>IF(AND(ISNUMBER(T10),ISNUMBER(H10)),IF(AND(H10&gt;=1,H10&lt;=4,MOD(H10,1)=0),T10*10+H10,""),"")</x:f>
      </x:c>
      <x:c r="V10" s="1798"/>
      <x:c r="W10" s="1109"/>
      <x:c r="X10" s="1108"/>
    </x:row>
    <x:row r="11" s="952" customFormat="1" ht="70" customHeight="1">
      <x:c r="A11" s="951"/>
      <x:c r="B11" s="1804" t="inlineStr">
        <x:is>
          <x:t xml:space="preserve">E.5</x:t>
        </x:is>
      </x:c>
      <x:c r="C11" s="1796" t="inlineStr">
        <x:is>
          <x:t xml:space="preserve">Former tous les étudiants et les personnels au numérique responsable, dans le cadre de la formation à la transition écologique.</x:t>
        </x:is>
      </x:c>
      <x:c r="D11" s="1798"/>
      <x:c r="E11" s="1802"/>
      <x:c r="F11" s="1802"/>
      <x:c r="G11" s="1798"/>
      <x:c r="H11" s="1802"/>
      <x:c r="I11" s="1798"/>
      <x:c r="J11" s="1806" t="n">
        <x:f>S11</x:f>
        <x:v>0</x:v>
      </x:c>
      <x:c r="K11" s="1777" t="str">
        <x:f>IF(IF(ISNUMBER(E11),AND(E11&gt;=0,E11&lt;=3,MOD(E11,1)=0),FALSE),IF(E11=0,0,IF(IF(ISNUMBER(F11),AND(F11&gt;=1,F11&lt;=4,MOD(F11,1)=0),FALSE),E11*10+F11,"")),"")</x:f>
      </x:c>
      <x:c r="L11" s="1777" t="b">
        <x:f>IF(ISNUMBER(K11),K11=31,FALSE)</x:f>
        <x:v>0</x:v>
      </x:c>
      <x:c r="M11" s="1777" t="b">
        <x:f>IF(ISNUMBER(K11),OR(K11=21,K11=32),FALSE)</x:f>
        <x:v>0</x:v>
      </x:c>
      <x:c r="N11" s="1777" t="b">
        <x:f>IF(ISNUMBER(K11),OR(K11=22,K11=33),FALSE)</x:f>
        <x:v>0</x:v>
      </x:c>
      <x:c r="O11" s="1777" t="b">
        <x:f>IF(ISNUMBER(K11),OR(K11=11,K11=12),FALSE)</x:f>
        <x:v>0</x:v>
      </x:c>
      <x:c r="P11" s="1777" t="b">
        <x:f>IF(ISNUMBER(K11),OR(K11=23,K11=34),FALSE)</x:f>
        <x:v>0</x:v>
      </x:c>
      <x:c r="Q11" s="1777" t="b">
        <x:f>IF(ISNUMBER(K11),OR(K11=13,K11=14,K11=24),FALSE)</x:f>
        <x:v>0</x:v>
      </x:c>
      <x:c r="R11" s="1777" t="b">
        <x:f>IF(ISNUMBER(K11),K11=0,FALSE)</x:f>
        <x:v>0</x:v>
      </x:c>
      <x:c r="S11" s="1777" t="str">
        <x:f>IF(ISNUMBER(T11),INDEX($L$5:$R$5,1,7-T11),"")</x:f>
      </x:c>
      <x:c r="T11" s="1777" t="str">
        <x:f>IF(ISNUMBER(K11),IF(L11,6,IF(M11,5,IF(N11,4,IF(O11,3,IF(P11,2,IF(Q11,1,0)))))),"")</x:f>
      </x:c>
      <x:c r="U11" s="1790" t="str">
        <x:f>IF(AND(ISNUMBER(T11),ISNUMBER(H11)),IF(AND(H11&gt;=1,H11&lt;=4,MOD(H11,1)=0),T11*10+H11,""),"")</x:f>
      </x:c>
      <x:c r="V11" s="1798"/>
      <x:c r="W11" s="1109"/>
      <x:c r="X11" s="1108"/>
    </x:row>
    <x:row r="12">
      <x:c r="V12" s="893"/>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customXml/itemProps2.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3.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Accueil</vt:lpstr>
      <vt:lpstr>Méthodologie</vt:lpstr>
      <vt:lpstr>Contexte</vt:lpstr>
      <vt:lpstr>ONR 1</vt:lpstr>
      <vt:lpstr>ONR 2</vt:lpstr>
      <vt:lpstr>ONR 3</vt:lpstr>
      <vt:lpstr>ONR 4</vt:lpstr>
      <vt:lpstr>ONR 5</vt:lpstr>
      <vt:lpstr>Cibles métier</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GPC-ONR · Version enseignement supérieur et recherche</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2026-02-27T21:33:16Z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