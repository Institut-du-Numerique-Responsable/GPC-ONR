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métier'!$B$2:$V$11</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<sst xmlns="http://schemas.openxmlformats.org/spreadsheetml/2006/main" count="318" uniqueCount="136">
  <si>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</si>
  <si>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</si>
  <si>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</si>
  <si>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</si>
  <si>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</si>
  <si>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</si>
  <si>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</si>
  <si>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</si>
  <si>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</si>
  <si>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</si>
  <si>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</si>
  <si>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</si>
  <si>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</si>
  <si>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</si>
  <si>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</si>
  <si>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</si>
  <si>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</si>
  <si>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</si>
  <si>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</si>
  <si>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</si>
  <si>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</si>
  <si>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</si>
  <si>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</si>
  <si>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</si>
  <si>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</si>
  <si>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</si>
  <si>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</si>
  <si>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</si>
  <si>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</si>
  <si>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</si>
  <si>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</si>
  <si>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</si>
  <si>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</si>
  <si>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</si>
  <si>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</si>
  <si>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</si>
  <si>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</si>
  <si>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</si>
  <si>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personnels, des salles et des laboratoires, par la réparation et la réaffectation</t>
  </si>
  <si>
    <t>1.3</t>
  </si>
  <si>
    <t>En éco-concevant LMS, ENT, applications de scolarité et logiciels de recherche selon le RGESN, et en choisissant des technologies qui contribuent aux ODD</t>
  </si>
  <si>
    <t>1.4</t>
  </si>
  <si>
    <t>En favorisant, en formation, en administration et en recherche, des usages limitant les consommations de matériels, d'énergie et de consommables</t>
  </si>
  <si>
    <t>1.5</t>
  </si>
  <si>
    <t>En confiant nos équipements en fin d'usage aux filières de réemploi et de l'économie sociale et solidaire, au bénéfice des étudiants</t>
  </si>
  <si>
    <t>1.6</t>
  </si>
  <si>
    <t>En alimentant campus, centres de données et moyens de calcul avec des énergies renouvelables, et en valorisant leur chaleur</t>
  </si>
  <si>
    <t>1.7</t>
  </si>
  <si>
    <t>En réservant l'IA aux besoins de formation, de recherche et de gestion qui la justifient, et en privilégiant des IA frugales</t>
  </si>
  <si>
    <t xml:space="preserve">ONR 2 : Inclusion · S'engager à développer des services numériques accessibles à toutes et tous, inclusifs et durables</t>
  </si>
  <si>
    <t>2.1</t>
  </si>
  <si>
    <t>En généralisant les achats numériques responsables, laboratoires compris, avec des clauses sociales et environnementales</t>
  </si>
  <si>
    <t>2.2</t>
  </si>
  <si>
    <t>En rendant accessibles sites, ENT, LMS et ressources pédagogiques, et en mesurant leur conformité au RGAA</t>
  </si>
  <si>
    <t>2.3</t>
  </si>
  <si>
    <t>En proposant aux étudiants et aux personnels des outils Utiles, Utilisables et Utilisés, plutôt qu'une multitude de plateformes</t>
  </si>
  <si>
    <t>2.4</t>
  </si>
  <si>
    <t>En concevant les services avec les étudiants, enseignants, chercheurs et personnels, pour livrer ce dont ils ont besoin</t>
  </si>
  <si>
    <t xml:space="preserve">ONR 3 : RSE · S'engager pour des pratiques numériques éthiques et responsables</t>
  </si>
  <si>
    <t>3.1</t>
  </si>
  <si>
    <t>En développant des usages raisonnés des données de formation et de recherche, dans le respect des personnes et de l'environnement</t>
  </si>
  <si>
    <t>3.2</t>
  </si>
  <si>
    <t>En bannissant des services numériques de l'établissement les pratiques trompeuses et les dark patterns</t>
  </si>
  <si>
    <t>3.3</t>
  </si>
  <si>
    <t>En ne collectant que les données nécessaires, projets de recherche compris, en conformité avec le RGPD et avec l'appui du DPO</t>
  </si>
  <si>
    <t>3.4</t>
  </si>
  <si>
    <t>En favorisant la diversité des profils dans les formations et les métiers du numérique de l'établissement</t>
  </si>
  <si>
    <t>3.5</t>
  </si>
  <si>
    <t>En améliorant les conditions de travail des personnels du numérique, doctorants et contractuels compris</t>
  </si>
  <si>
    <t>3.6</t>
  </si>
  <si>
    <t>En s'inscrivant dans des dispositifs d'éthique algorithmique pour la formation et la recherche, avec le comité d'éthique</t>
  </si>
  <si>
    <t>3.7</t>
  </si>
  <si>
    <t>En intégrant le numérique responsable à la démarche DD&amp;RS de l'établissement et en la valorisant</t>
  </si>
  <si>
    <t xml:space="preserve">ONR 4 : Résilience et stratégie · S'engager vers un numérique responsable, indispensable pour assurer la résilience des organisations</t>
  </si>
  <si>
    <t>4.1</t>
  </si>
  <si>
    <t>En mesurant l'empreinte du numérique de l'établissement et des projets de recherche avec des méthodes communes</t>
  </si>
  <si>
    <t>4.2</t>
  </si>
  <si>
    <t>En évaluant les services numériques dans la durée avec étudiants et personnels, et en partageant les résultats</t>
  </si>
  <si>
    <t>4.3</t>
  </si>
  <si>
    <t>En expérimentant de nouveaux outils pédagogiques et de recherche, avec une analyse d'impact transparente</t>
  </si>
  <si>
    <t>4.4</t>
  </si>
  <si>
    <t>En garantissant la souveraineté numérique de l'établissement : logiciels libres, hébergement de confiance, infrastructures mutualisées</t>
  </si>
  <si>
    <t xml:space="preserve">ONR 5 : Management · S'engager à faire les choses avec sens en respectant et en préservant les ressources qui produisent</t>
  </si>
  <si>
    <t>5.1</t>
  </si>
  <si>
    <t>En incluant l'innovation sociale dans la définition des services numériques, au plus près des besoins des étudiants</t>
  </si>
  <si>
    <t>5.2</t>
  </si>
  <si>
    <t>En valorisant les initiatives des personnels et des étudiants qui favorisent la coopération et le bien-être</t>
  </si>
  <si>
    <t>5.3</t>
  </si>
  <si>
    <t>En associant étudiants, personnels, chercheurs et partenaires du territoire aux choix numériques</t>
  </si>
  <si>
    <t>5.4</t>
  </si>
  <si>
    <t>En formant des diplômés capables d'innover pour un monde ouvert à l'autre et soucieux de l'équilibre des écosystèmes</t>
  </si>
  <si>
    <t>5.5</t>
  </si>
  <si>
    <t>En suivant les indicateurs de performance et de conformité, en cohérence avec le plan de transition et le label DD&amp;RS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</si>
  <si>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</si>
  <si>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</si>
  <si>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</si>
  <si>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</si>
  <si>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</si>
  <si>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</si>
  <si>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</si>
  <si>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</si>
  <si>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</si>
  <si>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</si>
  <si>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</si>
  <si>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</si>
  <si>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</si>
  <si>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</si>
  <si>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</si>
  <si>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</si>
  <si>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</si>
  <si>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</si>
  <si>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</si>
  <si>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</si>
  <si>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</si>
  <si>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</si>
  <si>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</si>
  <si>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</si>
  <si>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</si>
  <si>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</si>
  <si>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</si>
  <si>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</si>
  <si>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</si>
  <si>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</si>
  <si>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</si>
  <si>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</si>
  <si>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</si>
  <si>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</si>
  <si>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</si>
  <si>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</si>
  <si>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</si>
  <si>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</si>
  <si>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</si>
  <si>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l'établissement, laboratoires et calcul compris</t>
  </si>
  <si>
    <t xml:space="preserve">Compétences </t>
  </si>
  <si>
    <t>Compétences</t>
  </si>
  <si>
    <t>En associant étudiants, personnels, chercheurs et partenaires du territoire aux choix numériques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</si>
</sst>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d0f8b23f0a7a4abc"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ENSEIGNEMENT SUPÉRIEUR ET RECHERCHE</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Enseignement supérieur et recherche » proposée par LaNum Pays Basque pour les publics qu'elle accompagne dans le projet européen NÉONUM, et co-éditée avec l'INR, d'après la GPC-ONR. Les cibles métier (feuille « Cibles métier ») ne sont pas reprises dans les feuilles de résultats.</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7</xdr:col>
      <xdr:colOff>498475</xdr:colOff>
      <xdr:row>1</xdr:row>
      <xdr:rowOff>47625</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l'établissement, de l'achat à la fin de vie : postes, salles informatiques, équipements de laboratoire et de calcul.</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personnels, des salles et des laboratoires, même après leur amortissement, en organisant leur réparation et leur réaffectation.</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100" customHeight="1">
      <x:c r="A9" s="951"/>
      <x:c r="B9" s="1804" t="inlineStr">
        <x:is>
          <x:t xml:space="preserve">1.3</x:t>
        </x:is>
      </x:c>
      <x:c r="C9" s="1796" t="inlineStr">
        <x:is>
          <x:t xml:space="preserve">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cours, les examens, l'administration et les laboratoires, des pratiques qui consomment moins de matériel, d'énergie, de papier et de stockage.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filières de réemploi et de l'économie sociale et solidaire, par exemple pour équiper des étudiants.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campus, les centres de données et les moyens de calcul avec des énergies renouvelables, et valoriser leur chaleur fatale.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de formation, de recherche et de gestion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dans l'établissement, notamment l'entraînement de modèles par les équipes de recherche.</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achats numériques de l'établissement, y compris ceux des laboratoires, des clauses sociales et environnementales et des critères de durabilité.</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l'ENT, le LMS et les ressources pédagogiques : vidéos de cours sous-titrées, documents et supports accessibles. Mesurer leur conformité au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7" customHeight="1">
      <x:c r="A9" s="951"/>
      <x:c r="B9" s="1804" t="inlineStr">
        <x:is>
          <x:t xml:space="preserve">2.3</x:t>
        </x:is>
      </x:c>
      <x:c r="C9" s="1796" t="inlineStr">
        <x:is>
          <x:t xml:space="preserve">Proposer aux étudiants et aux personnels des outils utiles, faciles à utiliser et réellement utilisés, plutôt qu'une multitude de plateformes : un ENT, un LMS, une messagerie, une visioconférence, un outil d'emploi du temps.</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étudiants, les enseignants, les chercheurs et les personnels,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7" customHeight="1">
      <x:c r="A11" s="951"/>
      <x:c r="B11" s="1804" t="inlineStr">
        <x:is>
          <x:t xml:space="preserve">2.5</x:t>
        </x:is>
      </x:c>
      <x:c r="C11" s="1796" t="inlineStr">
        <x:is>
          <x:t xml:space="preserve">Vérifier que l'intelligence artificielle utilisée pour orienter, évaluer ou accompagner les étudiants ne discrimine personne : aide à l'orientation, détection de plagiat, correction automatique, agents conversationnels.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avec mesure les données des étudiants, des personnels et de la recherche, y compris les traces d'apprentissage collectées par le LMS,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services numériques de l'établissement les interfaces qui trompent ou poussent les utilisateurs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dans les applications de scolarité, le LMS et les projets de recherche,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profils dans les formations et les métiers du numérique de l'établissement, en particulier la place des femmes.</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personnels du numérique, des doctorants et des contractuels, et les exiger des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et l'intelligence artificielle, en formation comme en recherche, avec le comité d'éthique de l'établissement.</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à la démarche de développement durable et de responsabilité sociétale (DD&amp;RS) de l'établissement, et la faire connaître.</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7" customHeight="1">
      <x:c r="A14" s="951"/>
      <x:c r="B14" s="1804" t="inlineStr">
        <x:is>
          <x:t xml:space="preserve">3.8</x:t>
        </x:is>
      </x:c>
      <x:c r="C14" s="1796" t="inlineStr">
        <x:is>
          <x:t xml:space="preserve">Indiquer quand une intelligence artificielle répond ou participe à une évaluation, expliquer comment elle décide, et garder une décision humaine pour les sujets sensibles : notes, admission, orientation, suspicion de plagiat.</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l'établissement et des projets de recherche avec des méthodes communes, pour se comparer.</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étudiants et les personnels,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pour la pédagogie et la recherche. Évaluer leurs effets et expliquer les résultats à celles et ceux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88.5" customHeight="1">
      <x:c r="B10" s="1804" t="inlineStr">
        <x:is>
          <x:t xml:space="preserve">4.4</x:t>
        </x:is>
      </x:c>
      <x:c r="C10" s="1796" t="inlineStr">
        <x:is>
          <x:t xml:space="preserve">Garder la maîtrise des données de recherche et de formation, des outils et des choix techniques : logiciels libres (Moodle, BigBlueButton, Nextcloud), hébergement de confiance, infrastructures mutualisées de l'enseignement supérieur et de la recherche (RENATER, mésocentres).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en réponse aux besoins sociaux des étudiants et des personnels : précarité, éloignement, handicap.</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personnels et des étudiants qui encouragent la coopération entre services et le bien-être au travail et aux études.</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étudiants, les personnels, les chercheurs et les partenaires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Former des diplômés capables d'innover pour mieux vivre ensemble et préserver les écosystèmes, en intégrant le numérique responsable dans les formations.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de la démarche avec quelques indicateurs, communs avec le plan de transition et le label DD&amp;RS.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des cours ou des examens sans écran.</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7" customHeight="1">
      <x:c r="A13" s="951"/>
      <x:c r="B13" s="1804" t="inlineStr">
        <x:is>
          <x:t xml:space="preserve">5.7</x:t>
        </x:is>
      </x:c>
      <x:c r="C13" s="1796" t="inlineStr">
        <x:is>
          <x:t xml:space="preserve">Décider avec les enseignants, les chercheurs, les personnels et les étudiants comment utiliser l'intelligence artificielle. Les former à ses limites et préserver le sens de l'apprentissage et de la recherche.</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l'établissement, de l'achat à la fin de vie : postes, salles informatiques, équipements de laboratoire et de calcul.</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 t="shared" ref="K5:K9" si="1">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 t="shared" ref="S5:S9" si="2">IF(ISBLANK('ONR 1'!S7),"",'ONR 1'!S7)</f>
      </c>
      <c r="T5" s="226" t="str">
        <f t="shared" ref="T5:T9" si="3">IF(ISBLANK('ONR 1'!T7),"",'ONR 1'!T7)</f>
      </c>
      <c r="U5" s="227" t="str">
        <f t="shared" ref="U5:U9" si="4">IF(ISBLANK('ONR 1'!U7),"",'ONR 1'!U7)</f>
      </c>
      <c r="V5" s="229" t="str">
        <f t="shared" ref="V5:V11" si="5">IF(ISBLANK('ONR 1'!G7),"",'ONR 1'!G7)</f>
      </c>
      <c r="W5" s="203" t="str">
        <f>IF(ISBLANK('ONR 1'!V7),"",'ONR 1'!V7)</f>
      </c>
      <c r="X5" s="204" t="str">
        <f>IF(ISBLANK('ONR 1'!W7),"",'ONR 1'!W7)</f>
      </c>
      <c r="Y5" s="230" t="str">
        <f t="shared" ref="Y5:Y11" si="6">IF(ISBLANK('ONR 1'!I7),"",'ONR 1'!I7)</f>
      </c>
      <c r="Z5" s="230" t="str">
        <f t="shared" ref="Z5:Z11" si="7">IF(ISBLANK('ONR 1'!D7),"",'ONR 1'!D7)</f>
      </c>
      <c r="AE5" s="206" t="n">
        <f t="shared" ref="AE5:AE11" si="8">IF(ISNUMBER(T5),0,1)</f>
        <v>1</v>
      </c>
      <c r="AF5" s="206" t="n">
        <f t="shared" ref="AF5:AL11" si="9">IF(L5=TRUE,1,0)</f>
        <v>0</v>
      </c>
      <c r="AG5" s="206" t="n">
        <f t="shared" si="9">IF(M5=TRUE,1,0)</f>
        <v>0</v>
      </c>
      <c r="AH5" s="206" t="n">
        <f t="shared" si="9">IF(N5=TRUE,1,0)</f>
        <v>0</v>
      </c>
      <c r="AI5" s="206" t="n">
        <f t="shared" si="9">IF(O5=TRUE,1,0)</f>
        <v>0</v>
      </c>
      <c r="AJ5" s="206" t="n">
        <f t="shared" si="9">IF(P5=TRUE,1,0)</f>
        <v>0</v>
      </c>
      <c r="AK5" s="206" t="n">
        <f t="shared" si="9">IF(Q5=TRUE,1,0)</f>
        <v>0</v>
      </c>
      <c r="AL5" s="206" t="n">
        <f t="shared" si="9">IF(R5=TRUE,1,0)</f>
        <v>0</v>
      </c>
      <c r="AM5" t="n">
        <f>IF(LEN(TRIM(W5))&gt;0,1,0)</f>
        <v>0</v>
      </c>
    </row>
    <row r="6" spans="1:38" s="205" customFormat="1" ht="57">
      <c r="A6" s="199"/>
      <c r="B6" s="219" t="str">
        <f>IF(ISBLANK('ONR 1'!B8),"",'ONR 1'!B8)</f>
        <v>1.2</v>
      </c>
      <c r="C6" s="219" t="str">
        <f>IF(ISBLANK('ONR 1'!C8),"",'ONR 1'!C8)</f>
        <v>Utiliser plus longtemps les équipements des personnels, des salles et des laboratoires, même après leur amortissement, en organisant leur réparation et leur réaffectation.</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 t="shared" ref="J6:J9" si="10">IF(ISBLANK('ONR 1'!J8),"",'ONR 1'!J8)</f>
      </c>
      <c r="K6" s="233" t="str">
        <f t="shared" si="1">IF(ISBLANK('ONR 1'!K8),"",'ONR 1'!K8)</f>
      </c>
      <c r="L6" s="233" t="b">
        <f t="shared" ref="L6:L9" si="11">IF(ISBLANK('ONR 1'!L8),"",'ONR 1'!L8)</f>
        <v>0</v>
      </c>
      <c r="M6" s="233" t="b">
        <f t="shared" ref="M6:M9" si="12">IF(ISBLANK('ONR 1'!M8),"",'ONR 1'!M8)</f>
        <v>0</v>
      </c>
      <c r="N6" s="233" t="b">
        <f t="shared" ref="N6:N9" si="13">IF(ISBLANK('ONR 1'!N8),"",'ONR 1'!N8)</f>
        <v>0</v>
      </c>
      <c r="O6" s="233" t="b">
        <f t="shared" ref="O6:O9" si="14">IF(ISBLANK('ONR 1'!O8),"",'ONR 1'!O8)</f>
        <v>0</v>
      </c>
      <c r="P6" s="233" t="b">
        <f t="shared" ref="P6:P9" si="15">IF(ISBLANK('ONR 1'!P8),"",'ONR 1'!P8)</f>
        <v>0</v>
      </c>
      <c r="Q6" s="233" t="b">
        <f t="shared" ref="Q6:Q9" si="16">IF(ISBLANK('ONR 1'!Q8),"",'ONR 1'!Q8)</f>
        <v>0</v>
      </c>
      <c r="R6" s="233" t="b">
        <f t="shared" ref="R6:R9" si="17">IF(ISBLANK('ONR 1'!R8),"",'ONR 1'!R8)</f>
        <v>0</v>
      </c>
      <c r="S6" s="234" t="str">
        <f t="shared" si="2">IF(ISBLANK('ONR 1'!S8),"",'ONR 1'!S8)</f>
      </c>
      <c r="T6" s="232" t="str">
        <f t="shared" si="3">IF(ISBLANK('ONR 1'!T8),"",'ONR 1'!T8)</f>
      </c>
      <c r="U6" s="233" t="str">
        <f t="shared" si="4">IF(ISBLANK('ONR 1'!U8),"",'ONR 1'!U8)</f>
      </c>
      <c r="V6" s="235" t="str">
        <f t="shared" si="5">IF(ISBLANK('ONR 1'!G8),"",'ONR 1'!G8)</f>
      </c>
      <c r="W6" s="235" t="str">
        <f>IF(ISBLANK('ONR 1'!V8),"",'ONR 1'!V8)</f>
      </c>
      <c r="X6" s="204" t="str">
        <f>IF(ISBLANK('ONR 1'!W8),"",'ONR 1'!W8)</f>
      </c>
      <c r="Y6" s="236" t="str">
        <f t="shared" si="6">IF(ISBLANK('ONR 1'!I8),"",'ONR 1'!I8)</f>
      </c>
      <c r="Z6" s="236" t="str">
        <f t="shared" si="7">IF(ISBLANK('ONR 1'!D8),"",'ONR 1'!D8)</f>
      </c>
      <c r="AE6" s="206" t="n">
        <f t="shared" si="8">IF(ISNUMBER(T6),0,1)</f>
        <v>1</v>
      </c>
      <c r="AF6" s="206" t="n">
        <f t="shared" si="9">IF(L6=TRUE,1,0)</f>
        <v>0</v>
      </c>
      <c r="AG6" s="206" t="n">
        <f t="shared" si="9">IF(M6=TRUE,1,0)</f>
        <v>0</v>
      </c>
      <c r="AH6" s="206" t="n">
        <f t="shared" si="9">IF(N6=TRUE,1,0)</f>
        <v>0</v>
      </c>
      <c r="AI6" s="206" t="n">
        <f t="shared" si="9">IF(O6=TRUE,1,0)</f>
        <v>0</v>
      </c>
      <c r="AJ6" s="206" t="n">
        <f t="shared" si="9">IF(P6=TRUE,1,0)</f>
        <v>0</v>
      </c>
      <c r="AK6" s="206" t="n">
        <f t="shared" si="9">IF(Q6=TRUE,1,0)</f>
        <v>0</v>
      </c>
      <c r="AL6" s="206" t="n">
        <f t="shared" si="9">IF(R6=TRUE,1,0)</f>
        <v>0</v>
      </c>
      <c r="AM6" t="n">
        <f>IF(LEN(TRIM(W6))&gt;0,1,0)</f>
        <v>0</v>
      </c>
    </row>
    <row r="7" spans="1:38" s="205" customFormat="1" ht="57">
      <c r="A7" s="199"/>
      <c r="B7" s="219" t="str">
        <f>IF(ISBLANK('ONR 1'!B9),"",'ONR 1'!B9)</f>
        <v>1.3</v>
      </c>
      <c r="C7" s="219" t="str">
        <f>IF(ISBLANK('ONR 1'!C9),"",'ONR 1'!C9)</f>
        <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 t="shared" si="10">IF(ISBLANK('ONR 1'!J9),"",'ONR 1'!J9)</f>
      </c>
      <c r="K7" s="233" t="str">
        <f t="shared" si="1">IF(ISBLANK('ONR 1'!K9),"",'ONR 1'!K9)</f>
      </c>
      <c r="L7" s="233" t="b">
        <f t="shared" si="11">IF(ISBLANK('ONR 1'!L9),"",'ONR 1'!L9)</f>
        <v>0</v>
      </c>
      <c r="M7" s="233" t="b">
        <f t="shared" si="12">IF(ISBLANK('ONR 1'!M9),"",'ONR 1'!M9)</f>
        <v>0</v>
      </c>
      <c r="N7" s="233" t="b">
        <f t="shared" si="13">IF(ISBLANK('ONR 1'!N9),"",'ONR 1'!N9)</f>
        <v>0</v>
      </c>
      <c r="O7" s="233" t="b">
        <f t="shared" si="14">IF(ISBLANK('ONR 1'!O9),"",'ONR 1'!O9)</f>
        <v>0</v>
      </c>
      <c r="P7" s="233" t="b">
        <f t="shared" si="15">IF(ISBLANK('ONR 1'!P9),"",'ONR 1'!P9)</f>
        <v>0</v>
      </c>
      <c r="Q7" s="233" t="b">
        <f t="shared" si="16">IF(ISBLANK('ONR 1'!Q9),"",'ONR 1'!Q9)</f>
        <v>0</v>
      </c>
      <c r="R7" s="233" t="b">
        <f t="shared" si="17">IF(ISBLANK('ONR 1'!R9),"",'ONR 1'!R9)</f>
        <v>0</v>
      </c>
      <c r="S7" s="234" t="str">
        <f t="shared" si="2">IF(ISBLANK('ONR 1'!S9),"",'ONR 1'!S9)</f>
      </c>
      <c r="T7" s="232" t="str">
        <f t="shared" si="3">IF(ISBLANK('ONR 1'!T9),"",'ONR 1'!T9)</f>
      </c>
      <c r="U7" s="233" t="str">
        <f t="shared" si="4">IF(ISBLANK('ONR 1'!U9),"",'ONR 1'!U9)</f>
      </c>
      <c r="V7" s="235" t="str">
        <f t="shared" si="5">IF(ISBLANK('ONR 1'!G9),"",'ONR 1'!G9)</f>
      </c>
      <c r="W7" s="142" t="str">
        <f>IF(ISBLANK('ONR 1'!V9),"",'ONR 1'!V9)</f>
      </c>
      <c r="X7" s="204" t="str">
        <f>IF(ISBLANK('ONR 1'!W9),"",'ONR 1'!W9)</f>
      </c>
      <c r="Y7" s="236" t="str">
        <f t="shared" si="6">IF(ISBLANK('ONR 1'!I9),"",'ONR 1'!I9)</f>
      </c>
      <c r="Z7" s="236" t="str">
        <f t="shared" si="7">IF(ISBLANK('ONR 1'!D9),"",'ONR 1'!D9)</f>
      </c>
      <c r="AE7" s="206" t="n">
        <f t="shared" si="8">IF(ISNUMBER(T7),0,1)</f>
        <v>1</v>
      </c>
      <c r="AF7" s="206" t="n">
        <f t="shared" si="9">IF(L7=TRUE,1,0)</f>
        <v>0</v>
      </c>
      <c r="AG7" s="206" t="n">
        <f t="shared" si="9">IF(M7=TRUE,1,0)</f>
        <v>0</v>
      </c>
      <c r="AH7" s="206" t="n">
        <f t="shared" si="9">IF(N7=TRUE,1,0)</f>
        <v>0</v>
      </c>
      <c r="AI7" s="206" t="n">
        <f t="shared" si="9">IF(O7=TRUE,1,0)</f>
        <v>0</v>
      </c>
      <c r="AJ7" s="206" t="n">
        <f t="shared" si="9">IF(P7=TRUE,1,0)</f>
        <v>0</v>
      </c>
      <c r="AK7" s="206" t="n">
        <f t="shared" si="9">IF(Q7=TRUE,1,0)</f>
        <v>0</v>
      </c>
      <c r="AL7" s="206" t="n">
        <f t="shared" si="9">IF(R7=TRUE,1,0)</f>
        <v>0</v>
      </c>
      <c r="AM7" t="n">
        <f>IF(LEN(TRIM(W7))&gt;0,1,0)</f>
        <v>0</v>
      </c>
    </row>
    <row r="8" spans="1:38" s="205" customFormat="1" ht="38">
      <c r="A8" s="199"/>
      <c r="B8" s="219" t="str">
        <f>IF(ISBLANK('ONR 1'!B10),"",'ONR 1'!B10)</f>
        <v>1.4</v>
      </c>
      <c r="C8" s="219" t="str">
        <f>IF(ISBLANK('ONR 1'!C10),"",'ONR 1'!C10)</f>
        <v>Adopter, dans les cours, les examens, l'administration et les laboratoires, des pratiques qui consomment moins de matériel, d'énergie, de papier et de stockage.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 t="shared" si="10">IF(ISBLANK('ONR 1'!J10),"",'ONR 1'!J10)</f>
      </c>
      <c r="K8" s="233" t="str">
        <f t="shared" si="1">IF(ISBLANK('ONR 1'!K10),"",'ONR 1'!K10)</f>
      </c>
      <c r="L8" s="233" t="b">
        <f t="shared" si="11">IF(ISBLANK('ONR 1'!L10),"",'ONR 1'!L10)</f>
        <v>0</v>
      </c>
      <c r="M8" s="233" t="b">
        <f t="shared" si="12">IF(ISBLANK('ONR 1'!M10),"",'ONR 1'!M10)</f>
        <v>0</v>
      </c>
      <c r="N8" s="233" t="b">
        <f t="shared" si="13">IF(ISBLANK('ONR 1'!N10),"",'ONR 1'!N10)</f>
        <v>0</v>
      </c>
      <c r="O8" s="233" t="b">
        <f t="shared" si="14">IF(ISBLANK('ONR 1'!O10),"",'ONR 1'!O10)</f>
        <v>0</v>
      </c>
      <c r="P8" s="233" t="b">
        <f t="shared" si="15">IF(ISBLANK('ONR 1'!P10),"",'ONR 1'!P10)</f>
        <v>0</v>
      </c>
      <c r="Q8" s="233" t="b">
        <f t="shared" si="16">IF(ISBLANK('ONR 1'!Q10),"",'ONR 1'!Q10)</f>
        <v>0</v>
      </c>
      <c r="R8" s="233" t="b">
        <f t="shared" si="17">IF(ISBLANK('ONR 1'!R10),"",'ONR 1'!R10)</f>
        <v>0</v>
      </c>
      <c r="S8" s="234" t="str">
        <f t="shared" si="2">IF(ISBLANK('ONR 1'!S10),"",'ONR 1'!S10)</f>
      </c>
      <c r="T8" s="232" t="str">
        <f t="shared" si="3">IF(ISBLANK('ONR 1'!T10),"",'ONR 1'!T10)</f>
      </c>
      <c r="U8" s="233" t="str">
        <f t="shared" si="4">IF(ISBLANK('ONR 1'!U10),"",'ONR 1'!U10)</f>
      </c>
      <c r="V8" s="239" t="str">
        <f t="shared" si="5">IF(ISBLANK('ONR 1'!G10),"",'ONR 1'!G10)</f>
      </c>
      <c r="W8" s="210" t="str">
        <f>IF(ISBLANK('ONR 1'!V10),"",'ONR 1'!V10)</f>
      </c>
      <c r="X8" s="204" t="str">
        <f>IF(ISBLANK('ONR 1'!W10),"",'ONR 1'!W10)</f>
      </c>
      <c r="Y8" s="236" t="str">
        <f t="shared" si="6">IF(ISBLANK('ONR 1'!I10),"",'ONR 1'!I10)</f>
      </c>
      <c r="Z8" s="236" t="str">
        <f t="shared" si="7">IF(ISBLANK('ONR 1'!D10),"",'ONR 1'!D10)</f>
      </c>
      <c r="AE8" s="206" t="n">
        <f t="shared" si="8">IF(ISNUMBER(T8),0,1)</f>
        <v>1</v>
      </c>
      <c r="AF8" s="206" t="n">
        <f t="shared" si="9">IF(L8=TRUE,1,0)</f>
        <v>0</v>
      </c>
      <c r="AG8" s="206" t="n">
        <f t="shared" si="9">IF(M8=TRUE,1,0)</f>
        <v>0</v>
      </c>
      <c r="AH8" s="206" t="n">
        <f t="shared" si="9">IF(N8=TRUE,1,0)</f>
        <v>0</v>
      </c>
      <c r="AI8" s="206" t="n">
        <f t="shared" si="9">IF(O8=TRUE,1,0)</f>
        <v>0</v>
      </c>
      <c r="AJ8" s="206" t="n">
        <f t="shared" si="9">IF(P8=TRUE,1,0)</f>
        <v>0</v>
      </c>
      <c r="AK8" s="206" t="n">
        <f t="shared" si="9">IF(Q8=TRUE,1,0)</f>
        <v>0</v>
      </c>
      <c r="AL8" s="206" t="n">
        <f t="shared" si="9">IF(R8=TRUE,1,0)</f>
        <v>0</v>
      </c>
      <c r="AM8" t="n">
        <f>IF(LEN(TRIM(W8))&gt;0,1,0)</f>
        <v>0</v>
      </c>
    </row>
    <row r="9" spans="1:38" s="205" customFormat="1" ht="57">
      <c r="A9" s="199"/>
      <c r="B9" s="219" t="str">
        <f>IF(ISBLANK('ONR 1'!B11),"",'ONR 1'!B11)</f>
        <v>1.5</v>
      </c>
      <c r="C9" s="219" t="str">
        <f>IF(ISBLANK('ONR 1'!C11),"",'ONR 1'!C11)</f>
        <v>Confier les équipements en fin d'usage à des filières de réemploi et de l'économie sociale et solidaire, par exemple pour équiper des étudiants.</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 t="shared" si="10">IF(ISBLANK('ONR 1'!J11),"",'ONR 1'!J11)</f>
      </c>
      <c r="K9" s="233" t="str">
        <f t="shared" si="1">IF(ISBLANK('ONR 1'!K11),"",'ONR 1'!K11)</f>
      </c>
      <c r="L9" s="233" t="b">
        <f t="shared" si="11">IF(ISBLANK('ONR 1'!L11),"",'ONR 1'!L11)</f>
        <v>0</v>
      </c>
      <c r="M9" s="233" t="b">
        <f t="shared" si="12">IF(ISBLANK('ONR 1'!M11),"",'ONR 1'!M11)</f>
        <v>0</v>
      </c>
      <c r="N9" s="233" t="b">
        <f t="shared" si="13">IF(ISBLANK('ONR 1'!N11),"",'ONR 1'!N11)</f>
        <v>0</v>
      </c>
      <c r="O9" s="233" t="b">
        <f t="shared" si="14">IF(ISBLANK('ONR 1'!O11),"",'ONR 1'!O11)</f>
        <v>0</v>
      </c>
      <c r="P9" s="233" t="b">
        <f t="shared" si="15">IF(ISBLANK('ONR 1'!P11),"",'ONR 1'!P11)</f>
        <v>0</v>
      </c>
      <c r="Q9" s="233" t="b">
        <f t="shared" si="16">IF(ISBLANK('ONR 1'!Q11),"",'ONR 1'!Q11)</f>
        <v>0</v>
      </c>
      <c r="R9" s="233" t="b">
        <f t="shared" si="17">IF(ISBLANK('ONR 1'!R11),"",'ONR 1'!R11)</f>
        <v>0</v>
      </c>
      <c r="S9" s="234" t="str">
        <f t="shared" si="2">IF(ISBLANK('ONR 1'!S11),"",'ONR 1'!S11)</f>
      </c>
      <c r="T9" s="232" t="str">
        <f t="shared" si="3">IF(ISBLANK('ONR 1'!T11),"",'ONR 1'!T11)</f>
      </c>
      <c r="U9" s="233" t="str">
        <f t="shared" si="4">IF(ISBLANK('ONR 1'!U11),"",'ONR 1'!U11)</f>
      </c>
      <c r="V9" s="241" t="str">
        <f t="shared" si="5">IF(ISBLANK('ONR 1'!G11),"",'ONR 1'!G11)</f>
      </c>
      <c r="W9" s="241" t="str">
        <f>IF(ISBLANK('ONR 1'!V11),"",'ONR 1'!V11)</f>
      </c>
      <c r="X9" s="204" t="str">
        <f>IF(ISBLANK('ONR 1'!W11),"",'ONR 1'!W11)</f>
      </c>
      <c r="Y9" s="236" t="str">
        <f t="shared" si="6">IF(ISBLANK('ONR 1'!I11),"",'ONR 1'!I11)</f>
      </c>
      <c r="Z9" s="236" t="str">
        <f t="shared" si="7">IF(ISBLANK('ONR 1'!D11),"",'ONR 1'!D11)</f>
      </c>
      <c r="AE9" s="206" t="n">
        <f t="shared" si="8">IF(ISNUMBER(T9),0,1)</f>
        <v>1</v>
      </c>
      <c r="AF9" s="206" t="n">
        <f t="shared" si="9">IF(L9=TRUE,1,0)</f>
        <v>0</v>
      </c>
      <c r="AG9" s="206" t="n">
        <f t="shared" si="9">IF(M9=TRUE,1,0)</f>
        <v>0</v>
      </c>
      <c r="AH9" s="206" t="n">
        <f t="shared" si="9">IF(N9=TRUE,1,0)</f>
        <v>0</v>
      </c>
      <c r="AI9" s="206" t="n">
        <f t="shared" si="9">IF(O9=TRUE,1,0)</f>
        <v>0</v>
      </c>
      <c r="AJ9" s="206" t="n">
        <f t="shared" si="9">IF(P9=TRUE,1,0)</f>
        <v>0</v>
      </c>
      <c r="AK9" s="206" t="n">
        <f t="shared" si="9">IF(Q9=TRUE,1,0)</f>
        <v>0</v>
      </c>
      <c r="AL9" s="206" t="n">
        <f t="shared" si="9">IF(R9=TRUE,1,0)</f>
        <v>0</v>
      </c>
      <c r="AM9" t="n">
        <f>IF(LEN(TRIM(W9))&gt;0,1,0)</f>
        <v>0</v>
      </c>
    </row>
    <row r="10" spans="1:38" s="205" customFormat="1" ht="38">
      <c r="A10" s="199"/>
      <c r="B10" s="219" t="str">
        <f>IF(ISBLANK('ONR 1'!B12),"",'ONR 1'!B12)</f>
        <v>1.6</v>
      </c>
      <c r="C10" s="219" t="str">
        <f>IF(ISBLANK('ONR 1'!C12),"",'ONR 1'!C12)</f>
        <v>Alimenter les campus, les centres de données et les moyens de calcul avec des énergies renouvelables, et valoriser leur chaleur fatale.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 t="shared" ref="J10:J11" si="18">IF(ISBLANK('ONR 1'!J12),"",'ONR 1'!J12)</f>
      </c>
      <c r="K10" s="233" t="str">
        <f t="shared" ref="K10:K11" si="19">IF(ISBLANK('ONR 1'!K12),"",'ONR 1'!K12)</f>
      </c>
      <c r="L10" s="233" t="b">
        <f t="shared" ref="L10:L11" si="20">IF(ISBLANK('ONR 1'!L12),"",'ONR 1'!L12)</f>
        <v>0</v>
      </c>
      <c r="M10" s="233" t="b">
        <f t="shared" ref="M10:M11" si="21">IF(ISBLANK('ONR 1'!M12),"",'ONR 1'!M12)</f>
        <v>0</v>
      </c>
      <c r="N10" s="233" t="b">
        <f t="shared" ref="N10:N11" si="22">IF(ISBLANK('ONR 1'!N12),"",'ONR 1'!N12)</f>
        <v>0</v>
      </c>
      <c r="O10" s="233" t="b">
        <f t="shared" ref="O10:O11" si="23">IF(ISBLANK('ONR 1'!O12),"",'ONR 1'!O12)</f>
        <v>0</v>
      </c>
      <c r="P10" s="233" t="b">
        <f t="shared" ref="P10:P11" si="24">IF(ISBLANK('ONR 1'!P12),"",'ONR 1'!P12)</f>
        <v>0</v>
      </c>
      <c r="Q10" s="233" t="b">
        <f t="shared" ref="Q10:Q11" si="25">IF(ISBLANK('ONR 1'!Q12),"",'ONR 1'!Q12)</f>
        <v>0</v>
      </c>
      <c r="R10" s="233" t="b">
        <f t="shared" ref="R10:R11" si="26">IF(ISBLANK('ONR 1'!R12),"",'ONR 1'!R12)</f>
        <v>0</v>
      </c>
      <c r="S10" s="234" t="str">
        <f t="shared" ref="S10:S11" si="27">IF(ISBLANK('ONR 1'!S12),"",'ONR 1'!S12)</f>
      </c>
      <c r="T10" s="232" t="str">
        <f t="shared" ref="T10:T11" si="28">IF(ISBLANK('ONR 1'!T12),"",'ONR 1'!T12)</f>
      </c>
      <c r="U10" s="233" t="str">
        <f t="shared" ref="U10:U11" si="29">IF(ISBLANK('ONR 1'!U12),"",'ONR 1'!U12)</f>
      </c>
      <c r="V10" s="241" t="str">
        <f t="shared" si="5">IF(ISBLANK('ONR 1'!G12),"",'ONR 1'!G12)</f>
      </c>
      <c r="W10" s="241" t="str">
        <f>IF(ISBLANK('ONR 1'!V12),"",'ONR 1'!V12)</f>
      </c>
      <c r="X10" s="204" t="str">
        <f>IF(ISBLANK('ONR 1'!W12),"",'ONR 1'!W12)</f>
      </c>
      <c r="Y10" s="236" t="str">
        <f t="shared" si="6">IF(ISBLANK('ONR 1'!I12),"",'ONR 1'!I12)</f>
      </c>
      <c r="Z10" s="236" t="str">
        <f t="shared" si="7">IF(ISBLANK('ONR 1'!D12),"",'ONR 1'!D12)</f>
      </c>
      <c r="AE10" s="206" t="n">
        <f t="shared" si="8">IF(ISNUMBER(T10),0,1)</f>
        <v>1</v>
      </c>
      <c r="AF10" s="206" t="n">
        <f t="shared" si="9">IF(L10=TRUE,1,0)</f>
        <v>0</v>
      </c>
      <c r="AG10" s="206" t="n">
        <f t="shared" si="9">IF(M10=TRUE,1,0)</f>
        <v>0</v>
      </c>
      <c r="AH10" s="206" t="n">
        <f t="shared" si="9">IF(N10=TRUE,1,0)</f>
        <v>0</v>
      </c>
      <c r="AI10" s="206" t="n">
        <f t="shared" si="9">IF(O10=TRUE,1,0)</f>
        <v>0</v>
      </c>
      <c r="AJ10" s="206" t="n">
        <f t="shared" si="9">IF(P10=TRUE,1,0)</f>
        <v>0</v>
      </c>
      <c r="AK10" s="206" t="n">
        <f t="shared" si="9">IF(Q10=TRUE,1,0)</f>
        <v>0</v>
      </c>
      <c r="AL10" s="206" t="n">
        <f t="shared" si="9">IF(R10=TRUE,1,0)</f>
        <v>0</v>
      </c>
      <c r="AM10" t="n">
        <f>IF(LEN(TRIM(W10))&gt;0,1,0)</f>
        <v>0</v>
      </c>
    </row>
    <row r="11" spans="1:38" s="205" customFormat="1" ht="39" thickBot="1">
      <c r="A11" s="199"/>
      <c r="B11" s="219" t="str">
        <f>IF(ISBLANK('ONR 1'!B13),"",'ONR 1'!B13)</f>
        <v>1.7</v>
      </c>
      <c r="C11" s="219" t="str">
        <f>IF(ISBLANK('ONR 1'!C13),"",'ONR 1'!C13)</f>
        <v>Réserver l'intelligence artificielle aux besoins de formation, de recherche et de gestion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 t="shared" si="18">IF(ISBLANK('ONR 1'!J13),"",'ONR 1'!J13)</f>
      </c>
      <c r="K11" s="233" t="str">
        <f t="shared" si="19">IF(ISBLANK('ONR 1'!K13),"",'ONR 1'!K13)</f>
      </c>
      <c r="L11" s="233" t="b">
        <f t="shared" si="20">IF(ISBLANK('ONR 1'!L13),"",'ONR 1'!L13)</f>
        <v>0</v>
      </c>
      <c r="M11" s="233" t="b">
        <f t="shared" si="21">IF(ISBLANK('ONR 1'!M13),"",'ONR 1'!M13)</f>
        <v>0</v>
      </c>
      <c r="N11" s="233" t="b">
        <f t="shared" si="22">IF(ISBLANK('ONR 1'!N13),"",'ONR 1'!N13)</f>
        <v>0</v>
      </c>
      <c r="O11" s="233" t="b">
        <f t="shared" si="23">IF(ISBLANK('ONR 1'!O13),"",'ONR 1'!O13)</f>
        <v>0</v>
      </c>
      <c r="P11" s="233" t="b">
        <f t="shared" si="24">IF(ISBLANK('ONR 1'!P13),"",'ONR 1'!P13)</f>
        <v>0</v>
      </c>
      <c r="Q11" s="233" t="b">
        <f t="shared" si="25">IF(ISBLANK('ONR 1'!Q13),"",'ONR 1'!Q13)</f>
        <v>0</v>
      </c>
      <c r="R11" s="233" t="b">
        <f t="shared" si="26">IF(ISBLANK('ONR 1'!R13),"",'ONR 1'!R13)</f>
        <v>0</v>
      </c>
      <c r="S11" s="234" t="str">
        <f t="shared" si="27">IF(ISBLANK('ONR 1'!S13),"",'ONR 1'!S13)</f>
      </c>
      <c r="T11" s="232" t="str">
        <f t="shared" si="28">IF(ISBLANK('ONR 1'!T13),"",'ONR 1'!T13)</f>
      </c>
      <c r="U11" s="233" t="str">
        <f t="shared" si="29">IF(ISBLANK('ONR 1'!U13),"",'ONR 1'!U13)</f>
      </c>
      <c r="V11" s="241" t="str">
        <f t="shared" si="5">IF(ISBLANK('ONR 1'!G13),"",'ONR 1'!G13)</f>
      </c>
      <c r="W11" s="241" t="str">
        <f>IF(ISBLANK('ONR 1'!V13),"",'ONR 1'!V13)</f>
      </c>
      <c r="X11" s="204" t="str">
        <f>IF(ISBLANK('ONR 1'!W13),"",'ONR 1'!W13)</f>
      </c>
      <c r="Y11" s="236" t="str">
        <f t="shared" si="6">IF(ISBLANK('ONR 1'!I13),"",'ONR 1'!I13)</f>
      </c>
      <c r="Z11" s="236" t="str">
        <f t="shared" si="7">IF(ISBLANK('ONR 1'!D13),"",'ONR 1'!D13)</f>
      </c>
      <c r="AE11" s="206" t="n">
        <f t="shared" si="8">IF(ISNUMBER(T11),0,1)</f>
        <v>1</v>
      </c>
      <c r="AF11" s="206" t="n">
        <f t="shared" si="9">IF(L11=TRUE,1,0)</f>
        <v>0</v>
      </c>
      <c r="AG11" s="206" t="n">
        <f t="shared" si="9">IF(M11=TRUE,1,0)</f>
        <v>0</v>
      </c>
      <c r="AH11" s="206" t="n">
        <f t="shared" si="9">IF(N11=TRUE,1,0)</f>
        <v>0</v>
      </c>
      <c r="AI11" s="206" t="n">
        <f t="shared" si="9">IF(O11=TRUE,1,0)</f>
        <v>0</v>
      </c>
      <c r="AJ11" s="206" t="n">
        <f t="shared" si="9">IF(P11=TRUE,1,0)</f>
        <v>0</v>
      </c>
      <c r="AK11" s="206" t="n">
        <f t="shared" si="9">IF(Q11=TRUE,1,0)</f>
        <v>0</v>
      </c>
      <c r="AL11" s="206" t="n">
        <f t="shared" si="9">IF(R11=TRUE,1,0)</f>
        <v>0</v>
      </c>
      <c r="AM11" t="n">
        <f>IF(LEN(TRIM(W11))&gt;0,1,0)</f>
        <v>0</v>
      </c>
    </row>
    <row r="12" spans="1:38" s="205" customFormat="1" ht="39" thickBot="1">
      <c r="A12" s="199"/>
      <c r="B12" s="219" t="str">
        <f>IF(ISBLANK('ONR 1'!B14),"",'ONR 1'!B14)</f>
        <v>1.8</v>
      </c>
      <c r="C12" s="219" t="str">
        <f>IF(ISBLANK('ONR 1'!C14),"",'ONR 1'!C14)</f>
        <v>Mesurer et réduire ce que consomme l'intelligence artificielle dans l'établissement, notamment l'entraînement de modèles par les équipes de recherche.</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achats numériques de l'établissement, y compris ceux des laboratoires, des clauses sociales et environnementales et des critères de durabilité.</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 t="shared" ref="K14" si="31">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 t="shared" ref="S14" si="32">IF(ISBLANK('ONR 2'!S7),"",'ONR 2'!S7)</f>
      </c>
      <c r="T14" s="226" t="str">
        <f t="shared" ref="T14" si="33">IF(ISBLANK('ONR 2'!T7),"",'ONR 2'!T7)</f>
      </c>
      <c r="U14" s="242" t="str">
        <f t="shared" ref="U14" si="34">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 t="shared" ref="AF14:AL17" si="35">IF(L14=TRUE,1,0)</f>
        <v>0</v>
      </c>
      <c r="AG14" s="206" t="n">
        <f t="shared" si="35">IF(M14=TRUE,1,0)</f>
        <v>0</v>
      </c>
      <c r="AH14" s="206" t="n">
        <f t="shared" si="35">IF(N14=TRUE,1,0)</f>
        <v>0</v>
      </c>
      <c r="AI14" s="206" t="n">
        <f t="shared" si="35">IF(O14=TRUE,1,0)</f>
        <v>0</v>
      </c>
      <c r="AJ14" s="206" t="n">
        <f t="shared" si="35">IF(P14=TRUE,1,0)</f>
        <v>0</v>
      </c>
      <c r="AK14" s="206" t="n">
        <f t="shared" si="35">IF(Q14=TRUE,1,0)</f>
        <v>0</v>
      </c>
      <c r="AL14" s="206" t="n">
        <f t="shared" si="35">IF(R14=TRUE,1,0)</f>
        <v>0</v>
      </c>
      <c r="AM14" t="n">
        <f>IF(LEN(TRIM(W14))&gt;0,1,0)</f>
        <v>0</v>
      </c>
    </row>
    <row r="15" spans="1:38" s="205" customFormat="1" ht="57">
      <c r="A15" s="199"/>
      <c r="B15" s="218" t="str">
        <f>IF(ISBLANK('ONR 2'!B8),"",'ONR 2'!B8)</f>
        <v>2.2</v>
      </c>
      <c r="C15" s="221" t="str">
        <f>IF(ISBLANK('ONR 2'!C8),"",'ONR 2'!C8)</f>
        <v>Rendre accessibles à toutes et tous les sites, l'ENT, le LMS et les ressources pédagogiques : vidéos de cours sous-titrées, documents et supports accessibles. Mesurer leur conformité au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 t="shared" ref="J15:J17" si="36">IF(ISBLANK('ONR 2'!J8),"",'ONR 2'!J8)</f>
      </c>
      <c r="K15" s="227" t="str">
        <f t="shared" ref="K15:K17" si="37">IF(ISBLANK('ONR 2'!K8),"",'ONR 2'!K8)</f>
      </c>
      <c r="L15" s="227" t="b">
        <f t="shared" ref="L15:L17" si="38">IF(ISBLANK('ONR 2'!L8),"",'ONR 2'!L8)</f>
        <v>0</v>
      </c>
      <c r="M15" s="227" t="b">
        <f t="shared" ref="M15:M17" si="39">IF(ISBLANK('ONR 2'!M8),"",'ONR 2'!M8)</f>
        <v>0</v>
      </c>
      <c r="N15" s="227" t="b">
        <f t="shared" ref="N15:N17" si="40">IF(ISBLANK('ONR 2'!N8),"",'ONR 2'!N8)</f>
        <v>0</v>
      </c>
      <c r="O15" s="227" t="b">
        <f t="shared" ref="O15:O17" si="41">IF(ISBLANK('ONR 2'!O8),"",'ONR 2'!O8)</f>
        <v>0</v>
      </c>
      <c r="P15" s="227" t="b">
        <f t="shared" ref="P15:P17" si="42">IF(ISBLANK('ONR 2'!P8),"",'ONR 2'!P8)</f>
        <v>0</v>
      </c>
      <c r="Q15" s="227" t="b">
        <f t="shared" ref="Q15:Q17" si="43">IF(ISBLANK('ONR 2'!Q8),"",'ONR 2'!Q8)</f>
        <v>0</v>
      </c>
      <c r="R15" s="227" t="b">
        <f t="shared" ref="R15:R17" si="44">IF(ISBLANK('ONR 2'!R8),"",'ONR 2'!R8)</f>
        <v>0</v>
      </c>
      <c r="S15" s="228" t="str">
        <f t="shared" ref="S15:S17" si="45">IF(ISBLANK('ONR 2'!S8),"",'ONR 2'!S8)</f>
      </c>
      <c r="T15" s="226" t="str">
        <f t="shared" ref="T15:T17" si="46">IF(ISBLANK('ONR 2'!T8),"",'ONR 2'!T8)</f>
      </c>
      <c r="U15" s="242" t="str">
        <f t="shared" ref="U15:U17" si="47">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 t="shared" si="35">IF(L15=TRUE,1,0)</f>
        <v>0</v>
      </c>
      <c r="AG15" s="206" t="n">
        <f t="shared" si="35">IF(M15=TRUE,1,0)</f>
        <v>0</v>
      </c>
      <c r="AH15" s="206" t="n">
        <f t="shared" si="35">IF(N15=TRUE,1,0)</f>
        <v>0</v>
      </c>
      <c r="AI15" s="206" t="n">
        <f t="shared" si="35">IF(O15=TRUE,1,0)</f>
        <v>0</v>
      </c>
      <c r="AJ15" s="206" t="n">
        <f t="shared" si="35">IF(P15=TRUE,1,0)</f>
        <v>0</v>
      </c>
      <c r="AK15" s="206" t="n">
        <f t="shared" si="35">IF(Q15=TRUE,1,0)</f>
        <v>0</v>
      </c>
      <c r="AL15" s="206" t="n">
        <f t="shared" si="35">IF(R15=TRUE,1,0)</f>
        <v>0</v>
      </c>
      <c r="AM15" t="n">
        <f>IF(LEN(TRIM(W15))&gt;0,1,0)</f>
        <v>0</v>
      </c>
    </row>
    <row r="16" spans="1:38" s="205" customFormat="1" ht="57">
      <c r="A16" s="199"/>
      <c r="B16" s="218" t="str">
        <f>IF(ISBLANK('ONR 2'!B9),"",'ONR 2'!B9)</f>
        <v>2.3</v>
      </c>
      <c r="C16" s="221" t="str">
        <f>IF(ISBLANK('ONR 2'!C9),"",'ONR 2'!C9)</f>
        <v>Proposer aux étudiants et aux personnels des outils utiles, faciles à utiliser et réellement utilisés, plutôt qu'une multitude de plateformes : un ENT, un LMS, une messagerie, une visioconférence, un outil d'emploi du temps.</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 t="shared" si="36">IF(ISBLANK('ONR 2'!J9),"",'ONR 2'!J9)</f>
      </c>
      <c r="K17" s="227" t="str">
        <f t="shared" si="37">IF(ISBLANK('ONR 2'!K10),"",'ONR 2'!K10)</f>
      </c>
      <c r="K16" t="str" s="227">
        <f>IF(ISBLANK('ONR 2'!K9),"",'ONR 2'!K9)</f>
      </c>
      <c r="L17" s="227" t="b">
        <f t="shared" si="38">IF(ISBLANK('ONR 2'!L10),"",'ONR 2'!L10)</f>
        <v>0</v>
      </c>
      <c r="L16" t="b" s="227">
        <f>IF(ISBLANK('ONR 2'!L9),"",'ONR 2'!L9)</f>
        <v>0</v>
      </c>
      <c r="M17" s="227" t="b">
        <f t="shared" si="39">IF(ISBLANK('ONR 2'!M10),"",'ONR 2'!M10)</f>
        <v>0</v>
      </c>
      <c r="M16" t="b" s="227">
        <f>IF(ISBLANK('ONR 2'!M9),"",'ONR 2'!M9)</f>
        <v>0</v>
      </c>
      <c r="N17" s="227" t="b">
        <f t="shared" si="40">IF(ISBLANK('ONR 2'!N10),"",'ONR 2'!N10)</f>
        <v>0</v>
      </c>
      <c r="N16" t="b" s="227">
        <f>IF(ISBLANK('ONR 2'!N9),"",'ONR 2'!N9)</f>
        <v>0</v>
      </c>
      <c r="O17" s="227" t="b">
        <f t="shared" si="41">IF(ISBLANK('ONR 2'!O10),"",'ONR 2'!O10)</f>
        <v>0</v>
      </c>
      <c r="O16" t="b" s="227">
        <f>IF(ISBLANK('ONR 2'!O9),"",'ONR 2'!O9)</f>
        <v>0</v>
      </c>
      <c r="P17" s="227" t="b">
        <f t="shared" si="42">IF(ISBLANK('ONR 2'!P10),"",'ONR 2'!P10)</f>
        <v>0</v>
      </c>
      <c r="P16" t="b" s="227">
        <f>IF(ISBLANK('ONR 2'!P9),"",'ONR 2'!P9)</f>
        <v>0</v>
      </c>
      <c r="Q17" s="227" t="b">
        <f t="shared" si="43">IF(ISBLANK('ONR 2'!Q10),"",'ONR 2'!Q10)</f>
        <v>0</v>
      </c>
      <c r="Q16" t="b" s="227">
        <f>IF(ISBLANK('ONR 2'!Q9),"",'ONR 2'!Q9)</f>
        <v>0</v>
      </c>
      <c r="R17" s="227" t="b">
        <f t="shared" si="44">IF(ISBLANK('ONR 2'!R10),"",'ONR 2'!R10)</f>
        <v>0</v>
      </c>
      <c r="R16" t="b" s="227">
        <f>IF(ISBLANK('ONR 2'!R9),"",'ONR 2'!R9)</f>
        <v>0</v>
      </c>
      <c r="S17" s="228" t="str">
        <f t="shared" si="45">IF(ISBLANK('ONR 2'!S10),"",'ONR 2'!S10)</f>
      </c>
      <c r="S16" t="str" s="228">
        <f>IF(ISBLANK('ONR 2'!S9),"",'ONR 2'!S9)</f>
      </c>
      <c r="T17" s="226" t="str">
        <f t="shared" si="46">IF(ISBLANK('ONR 2'!T10),"",'ONR 2'!T10)</f>
      </c>
      <c r="T16" t="str" s="226">
        <f>IF(ISBLANK('ONR 2'!T9),"",'ONR 2'!T9)</f>
      </c>
      <c r="U17" s="242" t="str">
        <f t="shared" si="47">IF(ISBLANK('ONR 2'!U10),"",'ONR 2'!U10)</f>
      </c>
      <c r="U16" t="str" s="242">
        <f>IF(ISBLANK('ONR 2'!U9),"",'ONR 2'!U9)</f>
      </c>
      <c r="V17" s="229" t="str">
        <f>IF(ISBLANK('ONR 2'!G10),"",'ONR 2'!G10)</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 t="shared" si="35">IF(L16=TRUE,1,0)</f>
        <v>0</v>
      </c>
      <c r="AG16" s="206" t="n">
        <f t="shared" si="35">IF(M16=TRUE,1,0)</f>
        <v>0</v>
      </c>
      <c r="AH16" s="206" t="n">
        <f t="shared" si="35">IF(N16=TRUE,1,0)</f>
        <v>0</v>
      </c>
      <c r="AI16" s="206" t="n">
        <f t="shared" si="35">IF(O16=TRUE,1,0)</f>
        <v>0</v>
      </c>
      <c r="AJ16" s="206" t="n">
        <f t="shared" si="35">IF(P16=TRUE,1,0)</f>
        <v>0</v>
      </c>
      <c r="AK16" s="206" t="n">
        <f t="shared" si="35">IF(Q16=TRUE,1,0)</f>
        <v>0</v>
      </c>
      <c r="AL16" s="206" t="n">
        <f t="shared" si="35">IF(R16=TRUE,1,0)</f>
        <v>0</v>
      </c>
      <c r="AM16" t="n">
        <f>IF(LEN(TRIM(W16))&gt;0,1,0)</f>
        <v>0</v>
      </c>
    </row>
    <row r="17" spans="1:38" s="205" customFormat="1" ht="57">
      <c r="A17" s="199"/>
      <c r="B17" s="218" t="str">
        <f>IF(ISBLANK('ONR 2'!B10),"",'ONR 2'!B10)</f>
        <v>2.4</v>
      </c>
      <c r="C17" s="221" t="str">
        <f>IF(ISBLANK('ONR 2'!C10),"",'ONR 2'!C10)</f>
        <v>Concevoir les services numériques avec les étudiants, les enseignants, les chercheurs et les personnels,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 t="shared" si="36">IF(ISBLANK('ONR 2'!J10),"",'ONR 2'!J10)</f>
      </c>
      <c r="K19" s="227">
        <f t="shared" si="37"/>
      </c>
      <c r="L19" s="227">
        <f t="shared" si="38"/>
      </c>
      <c r="M19" s="227">
        <f t="shared" si="39"/>
      </c>
      <c r="N19" s="227">
        <f t="shared" si="40"/>
      </c>
      <c r="O19" s="227">
        <f t="shared" si="41"/>
      </c>
      <c r="P19" s="227">
        <f t="shared" si="42"/>
      </c>
      <c r="Q19" s="227">
        <f t="shared" si="43"/>
      </c>
      <c r="R19" s="227">
        <f t="shared" si="44"/>
      </c>
      <c r="S19" s="228">
        <f t="shared" si="45"/>
      </c>
      <c r="T19" s="226">
        <f t="shared" si="46"/>
      </c>
      <c r="U19" s="242">
        <f t="shared" si="47"/>
      </c>
      <c r="V19" s="229">
        <f>G17</f>
      </c>
      <c r="W17" s="229" t="str">
        <f>IF(ISBLANK('ONR 2'!V10),"",'ONR 2'!V10)</f>
      </c>
      <c r="X17" s="204" t="str">
        <f>IF(ISBLANK('ONR 2'!W10),"",'ONR 2'!W10)</f>
      </c>
      <c r="Y17" s="230" t="str">
        <f>IF(ISBLANK('ONR 2'!I10),"",'ONR 2'!I10)</f>
      </c>
      <c r="Z17" s="230" t="str">
        <f>IF(ISBLANK('ONR 2'!D10),"",'ONR 2'!D10)</f>
      </c>
      <c r="AE17" s="206" t="n">
        <f>IF(ISNUMBER(T17),0,1)</f>
        <v>1</v>
      </c>
      <c r="AF17" s="206" t="n">
        <f t="shared" si="35">IF(L17=TRUE,1,0)</f>
        <v>0</v>
      </c>
      <c r="AG17" s="206" t="n">
        <f t="shared" si="35">IF(M17=TRUE,1,0)</f>
        <v>0</v>
      </c>
      <c r="AH17" s="206" t="n">
        <f t="shared" si="35">IF(N17=TRUE,1,0)</f>
        <v>0</v>
      </c>
      <c r="AI17" s="206" t="n">
        <f t="shared" si="35">IF(O17=TRUE,1,0)</f>
        <v>0</v>
      </c>
      <c r="AJ17" s="206" t="n">
        <f t="shared" si="35">IF(P17=TRUE,1,0)</f>
        <v>0</v>
      </c>
      <c r="AK17" s="206" t="n">
        <f t="shared" si="35">IF(Q17=TRUE,1,0)</f>
        <v>0</v>
      </c>
      <c r="AL17" s="206" t="n">
        <f t="shared" si="35">IF(R17=TRUE,1,0)</f>
        <v>0</v>
      </c>
      <c r="AM17" t="n">
        <f>IF(LEN(TRIM(W17))&gt;0,1,0)</f>
        <v>0</v>
      </c>
    </row>
    <row r="18" spans="1:38" s="205" customFormat="1" ht="57">
      <c r="A18" s="199"/>
      <c r="B18" s="218" t="str">
        <f>IF(ISBLANK('ONR 2'!B11),"",'ONR 2'!B11)</f>
        <v>2.5</v>
      </c>
      <c r="C18" s="221" t="str">
        <f>IF(ISBLANK('ONR 2'!C11),"",'ONR 2'!C11)</f>
        <v>Vérifier que l'intelligence artificielle utilisée pour orienter, évaluer ou accompagner les étudiants ne discrimine personne : aide à l'orientation, détection de plagiat, correction automatique, agents conversationnels.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avec mesure les données des étudiants, des personnels et de la recherche, y compris les traces d'apprentissage collectées par le LMS,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 t="shared" ref="J20:J25" si="49">IF(ISBLANK('ONR 3'!J7),"",'ONR 3'!J7)</f>
      </c>
      <c r="K20" s="247" t="str">
        <f t="shared" ref="K20:K25" si="50">IF(ISBLANK('ONR 3'!K7),"",'ONR 3'!K7)</f>
      </c>
      <c r="L20" s="247" t="b">
        <f t="shared" ref="L20:L25" si="51">IF(ISBLANK('ONR 3'!L7),"",'ONR 3'!L7)</f>
        <v>0</v>
      </c>
      <c r="M20" s="247" t="b">
        <f t="shared" ref="M20:M25" si="52">IF(ISBLANK('ONR 3'!M7),"",'ONR 3'!M7)</f>
        <v>0</v>
      </c>
      <c r="N20" s="247" t="b">
        <f t="shared" ref="N20:N25" si="53">IF(ISBLANK('ONR 3'!N7),"",'ONR 3'!N7)</f>
        <v>0</v>
      </c>
      <c r="O20" s="247" t="b">
        <f t="shared" ref="O20:O25" si="54">IF(ISBLANK('ONR 3'!O7),"",'ONR 3'!O7)</f>
        <v>0</v>
      </c>
      <c r="P20" s="247" t="b">
        <f t="shared" ref="P20:P25" si="55">IF(ISBLANK('ONR 3'!P7),"",'ONR 3'!P7)</f>
        <v>0</v>
      </c>
      <c r="Q20" s="247" t="b">
        <f t="shared" ref="Q20:Q25" si="56">IF(ISBLANK('ONR 3'!Q7),"",'ONR 3'!Q7)</f>
        <v>0</v>
      </c>
      <c r="R20" s="247" t="b">
        <f t="shared" ref="R20:R25" si="57">IF(ISBLANK('ONR 3'!R7),"",'ONR 3'!R7)</f>
        <v>0</v>
      </c>
      <c r="S20" s="248" t="str">
        <f t="shared" ref="S20:S25" si="58">IF(ISBLANK('ONR 3'!S7),"",'ONR 3'!S7)</f>
      </c>
      <c r="T20" s="249" t="str">
        <f t="shared" ref="T20:T25" si="59">IF(ISBLANK('ONR 3'!T7),"",'ONR 3'!T7)</f>
      </c>
      <c r="U20" s="250" t="str">
        <f t="shared" ref="U20:U25" si="60">IF(ISBLANK('ONR 3'!U7),"",'ONR 3'!U7)</f>
      </c>
      <c r="V20" s="235" t="str">
        <f t="shared" ref="V20:V26" si="61">IF(ISBLANK('ONR 3'!G7),"",'ONR 3'!G7)</f>
      </c>
      <c r="W20" s="235" t="str">
        <f>IF(ISBLANK('ONR 3'!V7),"",'ONR 3'!V7)</f>
      </c>
      <c r="X20" s="183" t="str">
        <f>IF(ISBLANK('ONR 3'!W7),"",'ONR 3'!W7)</f>
      </c>
      <c r="Y20" s="236" t="str">
        <f t="shared" ref="Y20:Y26" si="62">IF(ISBLANK('ONR 3'!I7),"",'ONR 3'!I7)</f>
      </c>
      <c r="Z20" s="236" t="str">
        <f t="shared" ref="Z20:Z26" si="63">IF(ISBLANK('ONR 3'!D7),"",'ONR 3'!D7)</f>
      </c>
      <c r="AE20" s="206" t="n">
        <f t="shared" ref="AE20:AE26" si="64">IF(ISNUMBER(T20),0,1)</f>
        <v>1</v>
      </c>
      <c r="AF20" s="206" t="n">
        <f t="shared" ref="AF20:AL26" si="65">IF(L20=TRUE,1,0)</f>
        <v>0</v>
      </c>
      <c r="AG20" s="206" t="n">
        <f t="shared" si="65">IF(M20=TRUE,1,0)</f>
        <v>0</v>
      </c>
      <c r="AH20" s="206" t="n">
        <f t="shared" si="65">IF(N20=TRUE,1,0)</f>
        <v>0</v>
      </c>
      <c r="AI20" s="206" t="n">
        <f t="shared" si="65">IF(O20=TRUE,1,0)</f>
        <v>0</v>
      </c>
      <c r="AJ20" s="206" t="n">
        <f t="shared" si="65">IF(P20=TRUE,1,0)</f>
        <v>0</v>
      </c>
      <c r="AK20" s="206" t="n">
        <f t="shared" si="65">IF(Q20=TRUE,1,0)</f>
        <v>0</v>
      </c>
      <c r="AL20" s="206" t="n">
        <f t="shared" si="65">IF(R20=TRUE,1,0)</f>
        <v>0</v>
      </c>
      <c r="AM20" t="n">
        <f>IF(LEN(TRIM(W20))&gt;0,1,0)</f>
        <v>0</v>
      </c>
    </row>
    <row r="21" spans="1:38" s="205" customFormat="1" ht="57">
      <c r="A21" s="199"/>
      <c r="B21" s="219" t="str">
        <f>IF(ISBLANK('ONR 3'!B8),"",'ONR 3'!B8)</f>
        <v>3.2</v>
      </c>
      <c r="C21" s="219" t="str">
        <f>IF(ISBLANK('ONR 3'!C8),"",'ONR 3'!C8)</f>
        <v>Supprimer des services numériques de l'établissement les interfaces qui trompent ou poussent les utilisateurs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 t="shared" si="49">IF(ISBLANK('ONR 3'!J8),"",'ONR 3'!J8)</f>
      </c>
      <c r="K23" s="247" t="str">
        <f t="shared" si="50">IF(ISBLANK('ONR 3'!K10),"",'ONR 3'!K10)</f>
      </c>
      <c r="K21" t="str" s="247">
        <f>IF(ISBLANK('ONR 3'!K8),"",'ONR 3'!K8)</f>
      </c>
      <c r="L23" s="247" t="b">
        <f t="shared" si="51">IF(ISBLANK('ONR 3'!L10),"",'ONR 3'!L10)</f>
        <v>0</v>
      </c>
      <c r="L21" t="b" s="247">
        <f>IF(ISBLANK('ONR 3'!L8),"",'ONR 3'!L8)</f>
        <v>0</v>
      </c>
      <c r="M23" s="247" t="b">
        <f t="shared" si="52">IF(ISBLANK('ONR 3'!M10),"",'ONR 3'!M10)</f>
        <v>0</v>
      </c>
      <c r="M21" t="b" s="247">
        <f>IF(ISBLANK('ONR 3'!M8),"",'ONR 3'!M8)</f>
        <v>0</v>
      </c>
      <c r="N23" s="247" t="b">
        <f t="shared" si="53">IF(ISBLANK('ONR 3'!N10),"",'ONR 3'!N10)</f>
        <v>0</v>
      </c>
      <c r="N21" t="b" s="247">
        <f>IF(ISBLANK('ONR 3'!N8),"",'ONR 3'!N8)</f>
        <v>0</v>
      </c>
      <c r="O23" s="247" t="b">
        <f t="shared" si="54">IF(ISBLANK('ONR 3'!O10),"",'ONR 3'!O10)</f>
        <v>0</v>
      </c>
      <c r="O21" t="b" s="247">
        <f>IF(ISBLANK('ONR 3'!O8),"",'ONR 3'!O8)</f>
        <v>0</v>
      </c>
      <c r="P23" s="247" t="b">
        <f t="shared" si="55">IF(ISBLANK('ONR 3'!P10),"",'ONR 3'!P10)</f>
        <v>0</v>
      </c>
      <c r="P21" t="b" s="247">
        <f>IF(ISBLANK('ONR 3'!P8),"",'ONR 3'!P8)</f>
        <v>0</v>
      </c>
      <c r="Q23" s="247" t="b">
        <f t="shared" si="56">IF(ISBLANK('ONR 3'!Q10),"",'ONR 3'!Q10)</f>
        <v>0</v>
      </c>
      <c r="Q21" t="b" s="247">
        <f>IF(ISBLANK('ONR 3'!Q8),"",'ONR 3'!Q8)</f>
        <v>0</v>
      </c>
      <c r="R23" s="247" t="b">
        <f t="shared" si="57">IF(ISBLANK('ONR 3'!R10),"",'ONR 3'!R10)</f>
        <v>0</v>
      </c>
      <c r="R21" t="b" s="247">
        <f>IF(ISBLANK('ONR 3'!R8),"",'ONR 3'!R8)</f>
        <v>0</v>
      </c>
      <c r="S23" s="248" t="str">
        <f t="shared" si="58">IF(ISBLANK('ONR 3'!S10),"",'ONR 3'!S10)</f>
      </c>
      <c r="S21" t="str" s="248">
        <f>IF(ISBLANK('ONR 3'!S8),"",'ONR 3'!S8)</f>
      </c>
      <c r="T23" s="249" t="str">
        <f t="shared" si="59">IF(ISBLANK('ONR 3'!T10),"",'ONR 3'!T10)</f>
      </c>
      <c r="T21" t="str" s="249">
        <f>IF(ISBLANK('ONR 3'!T8),"",'ONR 3'!T8)</f>
      </c>
      <c r="U23" s="250" t="str">
        <f t="shared" si="60">IF(ISBLANK('ONR 3'!U10),"",'ONR 3'!U10)</f>
      </c>
      <c r="U21" t="str" s="250">
        <f>IF(ISBLANK('ONR 3'!U8),"",'ONR 3'!U8)</f>
      </c>
      <c r="V23" s="235" t="str">
        <f t="shared" si="61">IF(ISBLANK('ONR 3'!G10),"",'ONR 3'!G10)</f>
      </c>
      <c r="V21" t="str" s="235">
        <f>IF(ISBLANK('ONR 3'!G8),"",'ONR 3'!G8)</f>
      </c>
      <c r="W23" s="235" t="str">
        <f>IF(ISBLANK('ONR 3'!V10),"",'ONR 3'!V10)</f>
      </c>
      <c r="W21" t="str" s="235">
        <f>IF(ISBLANK('ONR 3'!V8),"",'ONR 3'!V8)</f>
      </c>
      <c r="X21" s="183" t="str">
        <f>IF(ISBLANK('ONR 3'!W8),"",'ONR 3'!W8)</f>
      </c>
      <c r="Y21" s="236" t="str">
        <f t="shared" si="62">IF(ISBLANK('ONR 3'!I8),"",'ONR 3'!I8)</f>
      </c>
      <c r="Z21" s="251" t="str">
        <f t="shared" si="63">IF(ISBLANK('ONR 3'!D8),"",'ONR 3'!D8)</f>
      </c>
      <c r="AE21" s="206" t="n">
        <f t="shared" si="64">IF(ISNUMBER(T21),0,1)</f>
        <v>1</v>
      </c>
      <c r="AF21" s="206" t="n">
        <f t="shared" si="65">IF(L21=TRUE,1,0)</f>
        <v>0</v>
      </c>
      <c r="AG21" s="206" t="n">
        <f t="shared" si="65">IF(M21=TRUE,1,0)</f>
        <v>0</v>
      </c>
      <c r="AH21" s="206" t="n">
        <f t="shared" si="65">IF(N21=TRUE,1,0)</f>
        <v>0</v>
      </c>
      <c r="AI21" s="206" t="n">
        <f t="shared" si="65">IF(O21=TRUE,1,0)</f>
        <v>0</v>
      </c>
      <c r="AJ21" s="206" t="n">
        <f t="shared" si="65">IF(P21=TRUE,1,0)</f>
        <v>0</v>
      </c>
      <c r="AK21" s="206" t="n">
        <f t="shared" si="65">IF(Q21=TRUE,1,0)</f>
        <v>0</v>
      </c>
      <c r="AL21" s="206" t="n">
        <f t="shared" si="65">IF(R21=TRUE,1,0)</f>
        <v>0</v>
      </c>
      <c r="AM21" t="n">
        <f>IF(LEN(TRIM(W21))&gt;0,1,0)</f>
        <v>0</v>
      </c>
    </row>
    <row r="22" spans="1:38" s="205" customFormat="1" ht="76">
      <c r="A22" s="199"/>
      <c r="B22" s="219" t="str">
        <f>IF(ISBLANK('ONR 3'!B9),"",'ONR 3'!B9)</f>
        <v>3.3</v>
      </c>
      <c r="C22" s="219" t="str">
        <f>IF(ISBLANK('ONR 3'!C9),"",'ONR 3'!C9)</f>
        <v>Collecter seulement les données nécessaires dans les applications de scolarité, le LMS et les projets de recherche,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 t="shared" si="49">IF(ISBLANK('ONR 3'!J9),"",'ONR 3'!J9)</f>
      </c>
      <c r="K24" s="247" t="str">
        <f t="shared" si="50">IF(ISBLANK('ONR 3'!K11),"",'ONR 3'!K11)</f>
      </c>
      <c r="K22" t="str" s="247">
        <f>IF(ISBLANK('ONR 3'!K9),"",'ONR 3'!K9)</f>
      </c>
      <c r="L24" s="247" t="b">
        <f t="shared" si="51">IF(ISBLANK('ONR 3'!L11),"",'ONR 3'!L11)</f>
        <v>0</v>
      </c>
      <c r="L22" t="b" s="247">
        <f>IF(ISBLANK('ONR 3'!L9),"",'ONR 3'!L9)</f>
        <v>0</v>
      </c>
      <c r="M24" s="247" t="b">
        <f t="shared" si="52">IF(ISBLANK('ONR 3'!M11),"",'ONR 3'!M11)</f>
        <v>0</v>
      </c>
      <c r="M22" t="b" s="247">
        <f>IF(ISBLANK('ONR 3'!M9),"",'ONR 3'!M9)</f>
        <v>0</v>
      </c>
      <c r="N24" s="247" t="b">
        <f t="shared" si="53">IF(ISBLANK('ONR 3'!N11),"",'ONR 3'!N11)</f>
        <v>0</v>
      </c>
      <c r="N22" t="b" s="247">
        <f>IF(ISBLANK('ONR 3'!N9),"",'ONR 3'!N9)</f>
        <v>0</v>
      </c>
      <c r="O24" s="247" t="b">
        <f t="shared" si="54">IF(ISBLANK('ONR 3'!O11),"",'ONR 3'!O11)</f>
        <v>0</v>
      </c>
      <c r="O22" t="b" s="247">
        <f>IF(ISBLANK('ONR 3'!O9),"",'ONR 3'!O9)</f>
        <v>0</v>
      </c>
      <c r="P24" s="247" t="b">
        <f t="shared" si="55">IF(ISBLANK('ONR 3'!P11),"",'ONR 3'!P11)</f>
        <v>0</v>
      </c>
      <c r="P22" t="b" s="247">
        <f>IF(ISBLANK('ONR 3'!P9),"",'ONR 3'!P9)</f>
        <v>0</v>
      </c>
      <c r="Q24" s="247" t="b">
        <f t="shared" si="56">IF(ISBLANK('ONR 3'!Q11),"",'ONR 3'!Q11)</f>
        <v>0</v>
      </c>
      <c r="Q22" t="b" s="247">
        <f>IF(ISBLANK('ONR 3'!Q9),"",'ONR 3'!Q9)</f>
        <v>0</v>
      </c>
      <c r="R24" s="247" t="b">
        <f t="shared" si="57">IF(ISBLANK('ONR 3'!R11),"",'ONR 3'!R11)</f>
        <v>0</v>
      </c>
      <c r="R22" t="b" s="247">
        <f>IF(ISBLANK('ONR 3'!R9),"",'ONR 3'!R9)</f>
        <v>0</v>
      </c>
      <c r="S24" s="248" t="str">
        <f t="shared" si="58">IF(ISBLANK('ONR 3'!S11),"",'ONR 3'!S11)</f>
      </c>
      <c r="S22" t="str" s="248">
        <f>IF(ISBLANK('ONR 3'!S9),"",'ONR 3'!S9)</f>
      </c>
      <c r="T24" s="249" t="str">
        <f t="shared" si="59">IF(ISBLANK('ONR 3'!T11),"",'ONR 3'!T11)</f>
      </c>
      <c r="T22" t="str" s="249">
        <f>IF(ISBLANK('ONR 3'!T9),"",'ONR 3'!T9)</f>
      </c>
      <c r="U24" s="250" t="str">
        <f t="shared" si="60">IF(ISBLANK('ONR 3'!U11),"",'ONR 3'!U11)</f>
      </c>
      <c r="U22" t="str" s="250">
        <f>IF(ISBLANK('ONR 3'!U9),"",'ONR 3'!U9)</f>
      </c>
      <c r="V24" s="235" t="str">
        <f t="shared" si="61">IF(ISBLANK('ONR 3'!G11),"",'ONR 3'!G11)</f>
      </c>
      <c r="V22" t="str" s="235">
        <f>IF(ISBLANK('ONR 3'!G9),"",'ONR 3'!G9)</f>
      </c>
      <c r="W24" s="235" t="str">
        <f>IF(ISBLANK('ONR 3'!V11),"",'ONR 3'!V11)</f>
      </c>
      <c r="W22" t="str" s="235">
        <f>IF(ISBLANK('ONR 3'!V9),"",'ONR 3'!V9)</f>
      </c>
      <c r="X22" s="183" t="str">
        <f>IF(ISBLANK('ONR 3'!W9),"",'ONR 3'!W9)</f>
      </c>
      <c r="Y22" s="236" t="str">
        <f t="shared" si="62">IF(ISBLANK('ONR 3'!I9),"",'ONR 3'!I9)</f>
      </c>
      <c r="Z22" s="251" t="str">
        <f t="shared" si="63">IF(ISBLANK('ONR 3'!D9),"",'ONR 3'!D9)</f>
      </c>
      <c r="AE22" s="206" t="n">
        <f t="shared" si="64">IF(ISNUMBER(T22),0,1)</f>
        <v>1</v>
      </c>
      <c r="AF22" s="206" t="n">
        <f t="shared" si="65">IF(L22=TRUE,1,0)</f>
        <v>0</v>
      </c>
      <c r="AG22" s="206" t="n">
        <f t="shared" si="65">IF(M22=TRUE,1,0)</f>
        <v>0</v>
      </c>
      <c r="AH22" s="206" t="n">
        <f t="shared" si="65">IF(N22=TRUE,1,0)</f>
        <v>0</v>
      </c>
      <c r="AI22" s="206" t="n">
        <f t="shared" si="65">IF(O22=TRUE,1,0)</f>
        <v>0</v>
      </c>
      <c r="AJ22" s="206" t="n">
        <f t="shared" si="65">IF(P22=TRUE,1,0)</f>
        <v>0</v>
      </c>
      <c r="AK22" s="206" t="n">
        <f t="shared" si="65">IF(Q22=TRUE,1,0)</f>
        <v>0</v>
      </c>
      <c r="AL22" s="206" t="n">
        <f t="shared" si="65">IF(R22=TRUE,1,0)</f>
        <v>0</v>
      </c>
      <c r="AM22" t="n">
        <f>IF(LEN(TRIM(W22))&gt;0,1,0)</f>
        <v>0</v>
      </c>
    </row>
    <row r="23" spans="1:38" s="205" customFormat="1" ht="19">
      <c r="A23" s="199"/>
      <c r="B23" s="238" t="str">
        <f>IF(ISBLANK('ONR 3'!B10),"",'ONR 3'!B10)</f>
        <v>3.4</v>
      </c>
      <c r="C23" s="219" t="str">
        <f>IF(ISBLANK('ONR 3'!C10),"",'ONR 3'!C10)</f>
        <v>Diversifier les profils dans les formations et les métiers du numérique de l'établissement, en particulier la place des femmes.</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 t="shared" si="49">IF(ISBLANK('ONR 3'!J10),"",'ONR 3'!J10)</f>
      </c>
      <c r="K25" s="247" t="str">
        <f t="shared" si="50">IF(ISBLANK('ONR 3'!K12),"",'ONR 3'!K12)</f>
      </c>
      <c r="L25" s="247" t="b">
        <f t="shared" si="51">IF(ISBLANK('ONR 3'!L12),"",'ONR 3'!L12)</f>
        <v>0</v>
      </c>
      <c r="M25" s="247" t="b">
        <f t="shared" si="52">IF(ISBLANK('ONR 3'!M12),"",'ONR 3'!M12)</f>
        <v>0</v>
      </c>
      <c r="N25" s="247" t="b">
        <f t="shared" si="53">IF(ISBLANK('ONR 3'!N12),"",'ONR 3'!N12)</f>
        <v>0</v>
      </c>
      <c r="O25" s="247" t="b">
        <f t="shared" si="54">IF(ISBLANK('ONR 3'!O12),"",'ONR 3'!O12)</f>
        <v>0</v>
      </c>
      <c r="P25" s="247" t="b">
        <f t="shared" si="55">IF(ISBLANK('ONR 3'!P12),"",'ONR 3'!P12)</f>
        <v>0</v>
      </c>
      <c r="Q25" s="247" t="b">
        <f t="shared" si="56">IF(ISBLANK('ONR 3'!Q12),"",'ONR 3'!Q12)</f>
        <v>0</v>
      </c>
      <c r="R25" s="247" t="b">
        <f t="shared" si="57">IF(ISBLANK('ONR 3'!R12),"",'ONR 3'!R12)</f>
        <v>0</v>
      </c>
      <c r="S25" s="248" t="str">
        <f t="shared" si="58">IF(ISBLANK('ONR 3'!S12),"",'ONR 3'!S12)</f>
      </c>
      <c r="T25" s="249" t="str">
        <f t="shared" si="59">IF(ISBLANK('ONR 3'!T12),"",'ONR 3'!T12)</f>
      </c>
      <c r="U25" s="250" t="str">
        <f t="shared" si="60">IF(ISBLANK('ONR 3'!U12),"",'ONR 3'!U12)</f>
      </c>
      <c r="V25" s="252" t="str">
        <f t="shared" si="61">IF(ISBLANK('ONR 3'!G12),"",'ONR 3'!G12)</f>
      </c>
      <c r="W25" s="252" t="str">
        <f>IF(ISBLANK('ONR 3'!V12),"",'ONR 3'!V12)</f>
      </c>
      <c r="X23" s="183" t="str">
        <f>IF(ISBLANK('ONR 3'!W10),"",'ONR 3'!W10)</f>
      </c>
      <c r="Y23" s="253" t="str">
        <f t="shared" si="62">IF(ISBLANK('ONR 3'!I10),"",'ONR 3'!I10)</f>
      </c>
      <c r="Z23" s="251" t="str">
        <f t="shared" si="63">IF(ISBLANK('ONR 3'!D10),"",'ONR 3'!D10)</f>
      </c>
      <c r="AE23" s="206" t="n">
        <f t="shared" si="64">IF(ISNUMBER(T23),0,1)</f>
        <v>1</v>
      </c>
      <c r="AF23" s="206" t="n">
        <f t="shared" si="65">IF(L23=TRUE,1,0)</f>
        <v>0</v>
      </c>
      <c r="AG23" s="206" t="n">
        <f t="shared" si="65">IF(M23=TRUE,1,0)</f>
        <v>0</v>
      </c>
      <c r="AH23" s="206" t="n">
        <f t="shared" si="65">IF(N23=TRUE,1,0)</f>
        <v>0</v>
      </c>
      <c r="AI23" s="206" t="n">
        <f t="shared" si="65">IF(O23=TRUE,1,0)</f>
        <v>0</v>
      </c>
      <c r="AJ23" s="206" t="n">
        <f t="shared" si="65">IF(P23=TRUE,1,0)</f>
        <v>0</v>
      </c>
      <c r="AK23" s="206" t="n">
        <f t="shared" si="65">IF(Q23=TRUE,1,0)</f>
        <v>0</v>
      </c>
      <c r="AL23" s="206" t="n">
        <f t="shared" si="65">IF(R23=TRUE,1,0)</f>
        <v>0</v>
      </c>
      <c r="AM23" t="n">
        <f>IF(LEN(TRIM(W23))&gt;0,1,0)</f>
        <v>0</v>
      </c>
    </row>
    <row r="24" spans="1:38" s="205" customFormat="1" ht="19">
      <c r="A24" s="199"/>
      <c r="B24" s="238" t="str">
        <f>IF(ISBLANK('ONR 3'!B11),"",'ONR 3'!B11)</f>
        <v>3.5</v>
      </c>
      <c r="C24" s="219" t="str">
        <f>IF(ISBLANK('ONR 3'!C11),"",'ONR 3'!C11)</f>
        <v>Améliorer les conditions de travail des personnels du numérique, des doctorants et des contractuels, et les exiger des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 t="shared" si="49">IF(ISBLANK('ONR 3'!J11),"",'ONR 3'!J11)</f>
      </c>
      <c r="K26" s="247" t="str">
        <f t="shared" si="50"/>
      </c>
      <c r="L26" s="247" t="b">
        <f t="shared" si="51"/>
        <v>0</v>
      </c>
      <c r="M26" s="247" t="b">
        <f t="shared" si="52"/>
        <v>0</v>
      </c>
      <c r="N26" s="247" t="b">
        <f t="shared" si="53"/>
        <v>0</v>
      </c>
      <c r="O26" s="247" t="b">
        <f t="shared" si="54"/>
        <v>0</v>
      </c>
      <c r="P26" s="247" t="b">
        <f t="shared" si="55"/>
        <v>0</v>
      </c>
      <c r="Q26" s="247" t="b">
        <f t="shared" si="56"/>
        <v>0</v>
      </c>
      <c r="R26" s="247" t="b">
        <f t="shared" si="57"/>
        <v>0</v>
      </c>
      <c r="S26" s="248" t="str">
        <f t="shared" si="58"/>
      </c>
      <c r="T26" s="249" t="str">
        <f t="shared" si="59"/>
      </c>
      <c r="U26" s="250" t="str">
        <f t="shared" si="60"/>
      </c>
      <c r="V26" s="252" t="str">
        <f t="shared" si="61"/>
      </c>
      <c r="W26" s="145" t="str">
        <f>IF(ISBLANK('ONR 3'!V13),"",'ONR 3'!V13)</f>
      </c>
      <c r="X24" s="183" t="str">
        <f>IF(ISBLANK('ONR 3'!W11),"",'ONR 3'!W11)</f>
      </c>
      <c r="Y24" s="253" t="str">
        <f t="shared" si="62">IF(ISBLANK('ONR 3'!I11),"",'ONR 3'!I11)</f>
      </c>
      <c r="Z24" s="251" t="str">
        <f t="shared" si="63">IF(ISBLANK('ONR 3'!D11),"",'ONR 3'!D11)</f>
      </c>
      <c r="AE24" s="206" t="n">
        <f t="shared" si="64">IF(ISNUMBER(T24),0,1)</f>
        <v>1</v>
      </c>
      <c r="AF24" s="206" t="n">
        <f t="shared" si="65">IF(L24=TRUE,1,0)</f>
        <v>0</v>
      </c>
      <c r="AG24" s="206" t="n">
        <f t="shared" si="65">IF(M24=TRUE,1,0)</f>
        <v>0</v>
      </c>
      <c r="AH24" s="206" t="n">
        <f t="shared" si="65">IF(N24=TRUE,1,0)</f>
        <v>0</v>
      </c>
      <c r="AI24" s="206" t="n">
        <f t="shared" si="65">IF(O24=TRUE,1,0)</f>
        <v>0</v>
      </c>
      <c r="AJ24" s="206" t="n">
        <f t="shared" si="65">IF(P24=TRUE,1,0)</f>
        <v>0</v>
      </c>
      <c r="AK24" s="206" t="n">
        <f t="shared" si="65">IF(Q24=TRUE,1,0)</f>
        <v>0</v>
      </c>
      <c r="AL24" s="206" t="n">
        <f t="shared" si="65">IF(R24=TRUE,1,0)</f>
        <v>0</v>
      </c>
      <c r="AM24" t="n">
        <f>IF(LEN(TRIM(W24))&gt;0,1,0)</f>
        <v>0</v>
      </c>
    </row>
    <row r="25" spans="1:38" s="205" customFormat="1" ht="57">
      <c r="A25" s="199"/>
      <c r="B25" s="219" t="str">
        <f>IF(ISBLANK('ONR 3'!B12),"",'ONR 3'!B12)</f>
        <v>3.6</v>
      </c>
      <c r="C25" s="219" t="str">
        <f>IF(ISBLANK('ONR 3'!C12),"",'ONR 3'!C12)</f>
        <v>Fixer des règles éthiques pour les algorithmes et l'intelligence artificielle, en formation comme en recherche, avec le comité d'éthique de l'établissement.</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 t="shared" si="49">IF(ISBLANK('ONR 3'!J12),"",'ONR 3'!J12)</f>
      </c>
      <c r="K28" s="247">
        <f t="shared" si="50"/>
      </c>
      <c r="L28" s="247">
        <f t="shared" si="51"/>
      </c>
      <c r="M28" s="247">
        <f t="shared" si="52"/>
      </c>
      <c r="N28" s="247">
        <f t="shared" si="53"/>
      </c>
      <c r="O28" s="247">
        <f t="shared" si="54"/>
      </c>
      <c r="P28" s="247">
        <f t="shared" si="55"/>
      </c>
      <c r="Q28" s="247">
        <f t="shared" si="56"/>
      </c>
      <c r="R28" s="247">
        <f t="shared" si="57"/>
      </c>
      <c r="S28" s="248">
        <f t="shared" si="58"/>
      </c>
      <c r="T28" s="249">
        <f t="shared" si="59"/>
      </c>
      <c r="U28" s="250">
        <f t="shared" si="60"/>
      </c>
      <c r="V28" s="241">
        <f t="shared" si="61"/>
      </c>
      <c r="W28" s="148">
        <f>'ONR 3'!V12</f>
      </c>
      <c r="X25" s="183" t="str">
        <f>IF(ISBLANK('ONR 3'!W12),"",'ONR 3'!W12)</f>
      </c>
      <c r="Y25" s="254" t="str">
        <f t="shared" si="62">IF(ISBLANK('ONR 3'!I12),"",'ONR 3'!I12)</f>
      </c>
      <c r="Z25" s="251" t="str">
        <f t="shared" si="63">IF(ISBLANK('ONR 3'!D12),"",'ONR 3'!D12)</f>
      </c>
      <c r="AE25" s="206" t="n">
        <f t="shared" si="64">IF(ISNUMBER(T25),0,1)</f>
        <v>1</v>
      </c>
      <c r="AF25" s="206" t="n">
        <f t="shared" si="65">IF(L25=TRUE,1,0)</f>
        <v>0</v>
      </c>
      <c r="AG25" s="206" t="n">
        <f t="shared" si="65">IF(M25=TRUE,1,0)</f>
        <v>0</v>
      </c>
      <c r="AH25" s="206" t="n">
        <f t="shared" si="65">IF(N25=TRUE,1,0)</f>
        <v>0</v>
      </c>
      <c r="AI25" s="206" t="n">
        <f t="shared" si="65">IF(O25=TRUE,1,0)</f>
        <v>0</v>
      </c>
      <c r="AJ25" s="206" t="n">
        <f t="shared" si="65">IF(P25=TRUE,1,0)</f>
        <v>0</v>
      </c>
      <c r="AK25" s="206" t="n">
        <f t="shared" si="65">IF(Q25=TRUE,1,0)</f>
        <v>0</v>
      </c>
      <c r="AL25" s="206" t="n">
        <f t="shared" si="65">IF(R25=TRUE,1,0)</f>
        <v>0</v>
      </c>
      <c r="AM25" t="n">
        <f>IF(LEN(TRIM(W25))&gt;0,1,0)</f>
        <v>0</v>
      </c>
    </row>
    <row r="26" spans="1:38" s="205" customFormat="1" ht="20" thickBot="1">
      <c r="A26" s="199"/>
      <c r="B26" s="220" t="str">
        <f>IF(ISBLANK('ONR 3'!B13),"",'ONR 3'!B13)</f>
        <v>3.7</v>
      </c>
      <c r="C26" s="220" t="str">
        <f>IF(ISBLANK('ONR 3'!C13),"",'ONR 3'!C13)</f>
        <v>Intégrer le numérique responsable à la démarche de développement durable et de responsabilité sociétale (DD&amp;RS) de l'établissement, et la faire connaître.</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 t="shared" ref="J26" si="66">IF(ISBLANK('ONR 3'!J13),"",'ONR 3'!J13)</f>
      </c>
      <c r="K26" s="247" t="str">
        <f t="shared" ref="K26" si="67">IF(ISBLANK('ONR 3'!K13),"",'ONR 3'!K13)</f>
      </c>
      <c r="L26" s="247" t="b">
        <f t="shared" ref="L26" si="68">IF(ISBLANK('ONR 3'!L13),"",'ONR 3'!L13)</f>
        <v>0</v>
      </c>
      <c r="M26" s="247" t="b">
        <f t="shared" ref="M26" si="69">IF(ISBLANK('ONR 3'!M13),"",'ONR 3'!M13)</f>
        <v>0</v>
      </c>
      <c r="N26" s="247" t="b">
        <f t="shared" ref="N26" si="70">IF(ISBLANK('ONR 3'!N13),"",'ONR 3'!N13)</f>
        <v>0</v>
      </c>
      <c r="O26" s="247" t="b">
        <f t="shared" ref="O26" si="71">IF(ISBLANK('ONR 3'!O13),"",'ONR 3'!O13)</f>
        <v>0</v>
      </c>
      <c r="P26" s="247" t="b">
        <f t="shared" ref="P26" si="72">IF(ISBLANK('ONR 3'!P13),"",'ONR 3'!P13)</f>
        <v>0</v>
      </c>
      <c r="Q26" s="247" t="b">
        <f t="shared" ref="Q26" si="73">IF(ISBLANK('ONR 3'!Q13),"",'ONR 3'!Q13)</f>
        <v>0</v>
      </c>
      <c r="R26" s="247" t="b">
        <f t="shared" ref="R26" si="74">IF(ISBLANK('ONR 3'!R13),"",'ONR 3'!R13)</f>
        <v>0</v>
      </c>
      <c r="S26" s="248" t="str">
        <f t="shared" ref="S26" si="75">IF(ISBLANK('ONR 3'!S13),"",'ONR 3'!S13)</f>
      </c>
      <c r="T26" s="249" t="str">
        <f t="shared" ref="T26" si="76">IF(ISBLANK('ONR 3'!T13),"",'ONR 3'!T13)</f>
      </c>
      <c r="U26" s="250" t="str">
        <f t="shared" ref="U26" si="77">IF(ISBLANK('ONR 3'!U13),"",'ONR 3'!U13)</f>
      </c>
      <c r="V26" s="255" t="str">
        <f t="shared" si="61">IF(ISBLANK('ONR 3'!G13),"",'ONR 3'!G13)</f>
      </c>
      <c r="W29" s="215" t="str">
        <f>'ONR 3'!V13</f>
      </c>
      <c r="X26" s="183" t="str">
        <f>IF(ISBLANK('ONR 3'!W13),"",'ONR 3'!W13)</f>
      </c>
      <c r="Y26" s="251" t="str">
        <f t="shared" si="62">IF(ISBLANK('ONR 3'!I13),"",'ONR 3'!I13)</f>
      </c>
      <c r="Z26" s="251" t="str">
        <f t="shared" si="63">IF(ISBLANK('ONR 3'!D13),"",'ONR 3'!D13)</f>
      </c>
      <c r="AE26" s="206" t="n">
        <f t="shared" si="64">IF(ISNUMBER(T26),0,1)</f>
        <v>1</v>
      </c>
      <c r="AF26" s="206" t="n">
        <f t="shared" si="65">IF(L26=TRUE,1,0)</f>
        <v>0</v>
      </c>
      <c r="AG26" s="206" t="n">
        <f t="shared" si="65">IF(M26=TRUE,1,0)</f>
        <v>0</v>
      </c>
      <c r="AH26" s="206" t="n">
        <f t="shared" si="65">IF(N26=TRUE,1,0)</f>
        <v>0</v>
      </c>
      <c r="AI26" s="206" t="n">
        <f t="shared" si="65">IF(O26=TRUE,1,0)</f>
        <v>0</v>
      </c>
      <c r="AJ26" s="206" t="n">
        <f t="shared" si="65">IF(P26=TRUE,1,0)</f>
        <v>0</v>
      </c>
      <c r="AK26" s="206" t="n">
        <f t="shared" si="65">IF(Q26=TRUE,1,0)</f>
        <v>0</v>
      </c>
      <c r="AL26" s="206" t="n">
        <f t="shared" si="65">IF(R26=TRUE,1,0)</f>
        <v>0</v>
      </c>
      <c r="AM26" t="n">
        <f>IF(LEN(TRIM(W26))&gt;0,1,0)</f>
        <v>0</v>
      </c>
    </row>
    <row r="27" spans="1:38" s="205" customFormat="1" ht="20" thickBot="1">
      <c r="A27" s="199"/>
      <c r="B27" s="220" t="str">
        <f>IF(ISBLANK('ONR 3'!B14),"",'ONR 3'!B14)</f>
        <v>3.8</v>
      </c>
      <c r="C27" s="220" t="str">
        <f>IF(ISBLANK('ONR 3'!C14),"",'ONR 3'!C14)</f>
        <v>Indiquer quand une intelligence artificielle répond ou participe à une évaluation, expliquer comment elle décide, et garder une décision humaine pour les sujets sensibles : notes, admission, orientation, suspicion de plagiat.</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l'établissement et des projets de recherche avec des méthodes communes, pour se comparer.</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 t="shared" ref="K29:K30" si="79">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 t="shared" ref="S29:S30" si="80">IF(ISBLANK('ONR 4'!S7),"",'ONR 4'!S7)</f>
      </c>
      <c r="T29" s="226" t="str">
        <f t="shared" ref="T29" si="81">IF(ISBLANK('ONR 4'!T7),"",'ONR 4'!T7)</f>
      </c>
      <c r="U29" s="242" t="str">
        <f t="shared" ref="U29" si="82">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 t="shared" ref="AF29:AL32" si="83">IF(L29=TRUE,1,0)</f>
        <v>0</v>
      </c>
      <c r="AG29" s="206" t="n">
        <f t="shared" si="83">IF(M29=TRUE,1,0)</f>
        <v>0</v>
      </c>
      <c r="AH29" s="206" t="n">
        <f t="shared" si="83">IF(N29=TRUE,1,0)</f>
        <v>0</v>
      </c>
      <c r="AI29" s="206" t="n">
        <f t="shared" si="83">IF(O29=TRUE,1,0)</f>
        <v>0</v>
      </c>
      <c r="AJ29" s="206" t="n">
        <f t="shared" si="83">IF(P29=TRUE,1,0)</f>
        <v>0</v>
      </c>
      <c r="AK29" s="206" t="n">
        <f t="shared" si="83">IF(Q29=TRUE,1,0)</f>
        <v>0</v>
      </c>
      <c r="AL29" s="206" t="n">
        <f t="shared" si="83">IF(R29=TRUE,1,0)</f>
        <v>0</v>
      </c>
      <c r="AM29" t="n">
        <f>IF(LEN(TRIM(W29))&gt;0,1,0)</f>
        <v>0</v>
      </c>
    </row>
    <row r="30" spans="1:38" s="205" customFormat="1" ht="57">
      <c r="A30" s="199"/>
      <c r="B30" s="219" t="str">
        <f>IF(ISBLANK('ONR 4'!B8),"",'ONR 4'!B8)</f>
        <v>4.2</v>
      </c>
      <c r="C30" s="219" t="str">
        <f>IF(ISBLANK('ONR 4'!C8),"",'ONR 4'!C8)</f>
        <v>Évaluer les services numériques au fil du temps, avec les étudiants et les personnels,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 t="shared" ref="J30:J38" si="84">IF(ISBLANK('ONR 4'!J8),"",'ONR 4'!J8)</f>
      </c>
      <c r="K30" s="233" t="str">
        <f t="shared" si="79">IF(ISBLANK('ONR 4'!K8),"",'ONR 4'!K8)</f>
      </c>
      <c r="L33" s="233">
        <f t="shared" ref="L33" si="85">OR(K30=31)</f>
      </c>
      <c r="L30" t="b" s="227">
        <f>IF(ISBLANK('ONR 4'!L8),"",'ONR 4'!L8)</f>
        <v>0</v>
      </c>
      <c r="M30" s="233" t="b">
        <f t="shared" ref="M30" si="86">IF(ISBLANK('ONR 4'!M8),"",'ONR 4'!M8)</f>
        <v>0</v>
      </c>
      <c r="N30" s="233" t="b">
        <f t="shared" ref="N30" si="87">IF(ISBLANK('ONR 4'!N8),"",'ONR 4'!N8)</f>
        <v>0</v>
      </c>
      <c r="O30" s="233" t="b">
        <f t="shared" ref="O30" si="88">IF(ISBLANK('ONR 4'!O8),"",'ONR 4'!O8)</f>
        <v>0</v>
      </c>
      <c r="P30" s="233" t="b">
        <f t="shared" ref="P30" si="89">IF(ISBLANK('ONR 4'!P8),"",'ONR 4'!P8)</f>
        <v>0</v>
      </c>
      <c r="Q30" s="233" t="b">
        <f t="shared" ref="Q30" si="90">IF(ISBLANK('ONR 4'!Q8),"",'ONR 4'!Q8)</f>
        <v>0</v>
      </c>
      <c r="R30" s="233" t="b">
        <f t="shared" ref="R30" si="91">IF(ISBLANK('ONR 4'!R8),"",'ONR 4'!R8)</f>
        <v>0</v>
      </c>
      <c r="S30" s="234" t="str">
        <f t="shared" si="80">IF(ISBLANK('ONR 4'!S8),"",'ONR 4'!S8)</f>
      </c>
      <c r="T33" s="232">
        <f t="shared" si="81"/>
      </c>
      <c r="T30" t="str" s="226">
        <f>IF(ISBLANK('ONR 4'!T8),"",'ONR 4'!T8)</f>
      </c>
      <c r="U33" s="243">
        <f t="shared" si="82"/>
      </c>
      <c r="U30" t="str" s="242">
        <f>IF(ISBLANK('ONR 4'!U8),"",'ONR 4'!U8)</f>
      </c>
      <c r="V33" s="235">
        <f>G30</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 t="shared" si="83">IF(L30=TRUE,1,0)</f>
        <v>0</v>
      </c>
      <c r="AG30" s="206" t="n">
        <f t="shared" si="83">IF(M30=TRUE,1,0)</f>
        <v>0</v>
      </c>
      <c r="AH30" s="206" t="n">
        <f t="shared" si="83">IF(N30=TRUE,1,0)</f>
        <v>0</v>
      </c>
      <c r="AI30" s="206" t="n">
        <f t="shared" si="83">IF(O30=TRUE,1,0)</f>
        <v>0</v>
      </c>
      <c r="AJ30" s="206" t="n">
        <f t="shared" si="83">IF(P30=TRUE,1,0)</f>
        <v>0</v>
      </c>
      <c r="AK30" s="206" t="n">
        <f t="shared" si="83">IF(Q30=TRUE,1,0)</f>
        <v>0</v>
      </c>
      <c r="AL30" s="206" t="n">
        <f t="shared" si="83">IF(R30=TRUE,1,0)</f>
        <v>0</v>
      </c>
      <c r="AM30" t="n">
        <f>IF(LEN(TRIM(W30))&gt;0,1,0)</f>
        <v>0</v>
      </c>
    </row>
    <row r="31" spans="1:38" s="205" customFormat="1" ht="57">
      <c r="A31" s="199"/>
      <c r="B31" s="219" t="str">
        <f>IF(ISBLANK('ONR 4'!B9),"",'ONR 4'!B9)</f>
        <v>4.3</v>
      </c>
      <c r="C31" s="219" t="str">
        <f>IF(ISBLANK('ONR 4'!C9),"",'ONR 4'!C9)</f>
        <v>Expérimenter de nouveaux outils pour la pédagogie et la recherche. Évaluer leurs effets et expliquer les résultats à celles et ceux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 t="shared" ref="J31:J32" si="92">IF(ISBLANK('ONR 4'!J9),"",'ONR 4'!J9)</f>
      </c>
      <c r="K31" s="233" t="str">
        <f t="shared" ref="K31:K35" si="93">IF(ISBLANK('ONR 4'!K9),"",'ONR 4'!K9)</f>
      </c>
      <c r="L31" s="233" t="b">
        <f t="shared" ref="L31:L35" si="94">IF(ISBLANK('ONR 4'!L9),"",'ONR 4'!L9)</f>
        <v>0</v>
      </c>
      <c r="M31" s="233" t="b">
        <f t="shared" ref="M31" si="95">IF(ISBLANK('ONR 4'!M9),"",'ONR 4'!M9)</f>
        <v>0</v>
      </c>
      <c r="N31" s="233" t="b">
        <f t="shared" ref="N31" si="96">IF(ISBLANK('ONR 4'!N9),"",'ONR 4'!N9)</f>
        <v>0</v>
      </c>
      <c r="O31" s="233" t="b">
        <f t="shared" ref="O31" si="97">IF(ISBLANK('ONR 4'!O9),"",'ONR 4'!O9)</f>
        <v>0</v>
      </c>
      <c r="P31" s="233" t="b">
        <f t="shared" ref="P31" si="98">IF(ISBLANK('ONR 4'!P9),"",'ONR 4'!P9)</f>
        <v>0</v>
      </c>
      <c r="Q31" s="233" t="b">
        <f t="shared" ref="Q31" si="99">IF(ISBLANK('ONR 4'!Q9),"",'ONR 4'!Q9)</f>
        <v>0</v>
      </c>
      <c r="R31" s="233" t="b">
        <f t="shared" ref="R31" si="100">IF(ISBLANK('ONR 4'!R9),"",'ONR 4'!R9)</f>
        <v>0</v>
      </c>
      <c r="S31" s="234" t="str">
        <f t="shared" ref="S31" si="101">IF(ISBLANK('ONR 4'!S9),"",'ONR 4'!S9)</f>
      </c>
      <c r="T31" s="232" t="str">
        <f t="shared" ref="T31:T35" si="102">IF(ISBLANK('ONR 4'!T9),"",'ONR 4'!T9)</f>
      </c>
      <c r="U31" s="243" t="str">
        <f t="shared" ref="U31:U35" si="103">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 t="shared" si="83">IF(L31=TRUE,1,0)</f>
        <v>0</v>
      </c>
      <c r="AG31" s="206" t="n">
        <f t="shared" si="83">IF(M31=TRUE,1,0)</f>
        <v>0</v>
      </c>
      <c r="AH31" s="206" t="n">
        <f t="shared" si="83">IF(N31=TRUE,1,0)</f>
        <v>0</v>
      </c>
      <c r="AI31" s="206" t="n">
        <f t="shared" si="83">IF(O31=TRUE,1,0)</f>
        <v>0</v>
      </c>
      <c r="AJ31" s="206" t="n">
        <f t="shared" si="83">IF(P31=TRUE,1,0)</f>
        <v>0</v>
      </c>
      <c r="AK31" s="206" t="n">
        <f t="shared" si="83">IF(Q31=TRUE,1,0)</f>
        <v>0</v>
      </c>
      <c r="AL31" s="206" t="n">
        <f t="shared" si="83">IF(R31=TRUE,1,0)</f>
        <v>0</v>
      </c>
      <c r="AM31" t="n">
        <f>IF(LEN(TRIM(W31))&gt;0,1,0)</f>
        <v>0</v>
      </c>
    </row>
    <row r="32" spans="1:38" s="205" customFormat="1" ht="20" thickBot="1">
      <c r="A32" s="199"/>
      <c r="B32" s="219" t="str">
        <f>IF(ISBLANK('ONR 4'!B10),"",'ONR 4'!B10)</f>
        <v>4.4</v>
      </c>
      <c r="C32" s="219" t="str">
        <f>IF(ISBLANK('ONR 4'!C10),"",'ONR 4'!C10)</f>
        <v>Garder la maîtrise des données de recherche et de formation, des outils et des choix techniques : logiciels libres (Moodle, BigBlueButton, Nextcloud), hébergement de confiance, infrastructures mutualisées de l'enseignement supérieur et de la recherche (RENATER, mésocentres).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 t="shared" si="92">IF(ISBLANK('ONR 4'!J10),"",'ONR 4'!J10)</f>
        <v>0</v>
      </c>
      <c r="K35" s="233" t="str">
        <f t="shared" si="93">IF(ISBLANK('ONR 5'!K8),"",'ONR 5'!K8)</f>
      </c>
      <c r="K32" t="str" s="233">
        <f>IF(ISBLANK('ONR 4'!K10),"",'ONR 4'!K10)</f>
      </c>
      <c r="L35" s="233" t="b">
        <f t="shared" si="94">IF(ISBLANK('ONR 5'!L8),"",'ONR 5'!L8)</f>
        <v>0</v>
      </c>
      <c r="L32" t="b" s="233">
        <f>IF(ISBLANK('ONR 4'!L10),"",'ONR 4'!L10)</f>
        <v>0</v>
      </c>
      <c r="M35" s="233" t="b">
        <f t="shared" si="95"/>
        <v>0</v>
      </c>
      <c r="M32" t="b" s="233">
        <f>IF(ISBLANK('ONR 4'!M10),"",'ONR 4'!M10)</f>
        <v>0</v>
      </c>
      <c r="N35" s="233" t="b">
        <f t="shared" si="96"/>
        <v>0</v>
      </c>
      <c r="N32" t="b" s="233">
        <f>IF(ISBLANK('ONR 4'!N10),"",'ONR 4'!N10)</f>
        <v>0</v>
      </c>
      <c r="O35" s="233" t="b">
        <f t="shared" si="97"/>
        <v>0</v>
      </c>
      <c r="O32" t="b" s="233">
        <f>IF(ISBLANK('ONR 4'!O10),"",'ONR 4'!O10)</f>
        <v>0</v>
      </c>
      <c r="P35" s="233" t="b">
        <f t="shared" si="98"/>
        <v>0</v>
      </c>
      <c r="P32" t="b" s="233">
        <f>IF(ISBLANK('ONR 4'!P10),"",'ONR 4'!P10)</f>
        <v>0</v>
      </c>
      <c r="Q35" s="233" t="b">
        <f t="shared" si="99"/>
        <v>0</v>
      </c>
      <c r="Q32" t="b" s="233">
        <f>IF(ISBLANK('ONR 4'!Q10),"",'ONR 4'!Q10)</f>
        <v>0</v>
      </c>
      <c r="R35" s="233" t="b">
        <f t="shared" si="100"/>
        <v>0</v>
      </c>
      <c r="R32" t="b" s="233">
        <f>IF(ISBLANK('ONR 4'!R10),"",'ONR 4'!R10)</f>
        <v>0</v>
      </c>
      <c r="S35" s="234" t="str">
        <f t="shared" si="101"/>
      </c>
      <c r="S32" t="str" s="234">
        <f>IF(ISBLANK('ONR 4'!S10),"",'ONR 4'!S10)</f>
      </c>
      <c r="T35" s="232" t="str">
        <f t="shared" si="102">IF(ISBLANK('ONR 5'!T8),"",'ONR 5'!T8)</f>
      </c>
      <c r="T32" t="str" s="232">
        <f>IF(ISBLANK('ONR 4'!T10),"",'ONR 4'!T10)</f>
      </c>
      <c r="U35" s="243" t="str">
        <f t="shared" si="103">IF(ISBLANK('ONR 5'!U8),"",'ONR 5'!U8)</f>
      </c>
      <c r="U32" t="str" s="243">
        <f>IF(ISBLANK('ONR 4'!U10),"",'ONR 4'!U10)</f>
      </c>
      <c r="V35" s="235" t="str">
        <f>IF(ISBLANK('ONR 5'!G8),"",'ONR 5'!G8)</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 t="shared" si="83">IF(L32=TRUE,1,0)</f>
        <v>0</v>
      </c>
      <c r="AG32" s="206" t="n">
        <f t="shared" si="83">IF(M32=TRUE,1,0)</f>
        <v>0</v>
      </c>
      <c r="AH32" s="206" t="n">
        <f t="shared" si="83">IF(N32=TRUE,1,0)</f>
        <v>0</v>
      </c>
      <c r="AI32" s="206" t="n">
        <f t="shared" si="83">IF(O32=TRUE,1,0)</f>
        <v>0</v>
      </c>
      <c r="AJ32" s="206" t="n">
        <f t="shared" si="83">IF(P32=TRUE,1,0)</f>
        <v>0</v>
      </c>
      <c r="AK32" s="206" t="n">
        <f t="shared" si="83">IF(Q32=TRUE,1,0)</f>
        <v>0</v>
      </c>
      <c r="AL32" s="206" t="n">
        <f t="shared" si="83">IF(R32=TRUE,1,0)</f>
        <v>0</v>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en réponse aux besoins sociaux des étudiants et des personnels : précarité, éloignement, handicap.</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 t="shared" si="84">IF(ISBLANK('ONR 5'!J7),"",'ONR 5'!J7)</f>
      </c>
      <c r="K37" s="227" t="str">
        <f t="shared" ref="K37:K38" si="105">E34*10+F34</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 t="shared" ref="S34:S38" si="106">IF(ISBLANK('ONR 5'!S7),"",'ONR 5'!S7)</f>
      </c>
      <c r="T34" s="226" t="str">
        <f t="shared" ref="T34:T38" si="107">IF(ISBLANK('ONR 5'!T7),"",'ONR 5'!T7)</f>
      </c>
      <c r="U34" s="242" t="str">
        <f t="shared" ref="U34:U38" si="108">IF(ISBLANK('ONR 5'!U7),"",'ONR 5'!U7)</f>
      </c>
      <c r="V34" s="229" t="str">
        <f t="shared" ref="V34:V38" si="109">IF(ISBLANK('ONR 5'!G7),"",'ONR 5'!G7)</f>
      </c>
      <c r="W34" s="203" t="str">
        <f>IF(ISBLANK('ONR 5'!V7),"",'ONR 5'!V7)</f>
      </c>
      <c r="X34" s="204" t="str">
        <f>IF(ISBLANK('ONR 5'!W7),"",'ONR 5'!W7)</f>
      </c>
      <c r="Y34" s="257" t="str">
        <f t="shared" ref="Y34:Y38" si="110">IF(ISBLANK('ONR 5'!I7),"",'ONR 5'!I7)</f>
      </c>
      <c r="Z34" s="256" t="str">
        <f>IF(ISBLANK('ONR 5'!D7),"",'ONR 5'!D7)</f>
      </c>
      <c r="AE34" s="206" t="n">
        <f t="shared" ref="AE34:AE38" si="111">IF(ISNUMBER(T34),0,1)</f>
        <v>1</v>
      </c>
      <c r="AF34" s="206" t="n">
        <f t="shared" ref="AF34:AF38" si="112">IF(L34=TRUE,1,0)</f>
        <v>0</v>
      </c>
      <c r="AG34" s="206" t="n">
        <f t="shared" ref="AG34:AG38" si="113">IF(M34=TRUE,1,0)</f>
        <v>0</v>
      </c>
      <c r="AH34" s="206" t="n">
        <f t="shared" ref="AH34:AH38" si="114">IF(N34=TRUE,1,0)</f>
        <v>0</v>
      </c>
      <c r="AI34" s="206" t="n">
        <f t="shared" ref="AI34:AI38" si="115">IF(O34=TRUE,1,0)</f>
        <v>0</v>
      </c>
      <c r="AJ34" s="206" t="n">
        <f t="shared" ref="AJ34:AJ38" si="116">IF(P34=TRUE,1,0)</f>
        <v>0</v>
      </c>
      <c r="AK34" s="206" t="n">
        <f t="shared" ref="AK34:AK38" si="117">IF(Q34=TRUE,1,0)</f>
        <v>0</v>
      </c>
      <c r="AL34" s="206" t="n">
        <f t="shared" ref="AL34:AL38" si="118">IF(R34=TRUE,1,0)</f>
        <v>0</v>
      </c>
      <c r="AM34" t="n">
        <f>IF(LEN(TRIM(W34))&gt;0,1,0)</f>
        <v>0</v>
      </c>
    </row>
    <row r="35" spans="1:38" s="205" customFormat="1" ht="38">
      <c r="A35" s="199"/>
      <c r="B35" s="219" t="str">
        <f>IF(ISBLANK('ONR 5'!B8),"",'ONR 5'!B8)</f>
        <v>5.2</v>
      </c>
      <c r="C35" s="218" t="str">
        <f>IF(ISBLANK('ONR 5'!C8),"",'ONR 5'!C8)</f>
        <v>Faire connaître et soutenir les initiatives des personnels et des étudiants qui encouragent la coopération entre services et le bien-être au travail et aux études.</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 t="shared" si="84">IF(ISBLANK('ONR 5'!J8),"",'ONR 5'!J8)</f>
      </c>
      <c r="K38" s="233" t="str">
        <f t="shared" si="105"/>
      </c>
      <c r="L38" s="233" t="b">
        <f t="shared" ref="L38:L38" si="119">OR(K35=31)</f>
        <v>0</v>
      </c>
      <c r="M35" s="233" t="b">
        <f t="shared" ref="M35:M38" si="120">IF(ISBLANK('ONR 5'!M8),"",'ONR 5'!M8)</f>
        <v>0</v>
      </c>
      <c r="N35" s="233" t="b">
        <f t="shared" ref="N35:N38" si="121">IF(ISBLANK('ONR 5'!N8),"",'ONR 5'!N8)</f>
        <v>0</v>
      </c>
      <c r="O35" s="233" t="b">
        <f t="shared" ref="O35:O38" si="122">IF(ISBLANK('ONR 5'!O8),"",'ONR 5'!O8)</f>
        <v>0</v>
      </c>
      <c r="P35" s="233" t="b">
        <f t="shared" ref="P35:P38" si="123">IF(ISBLANK('ONR 5'!P8),"",'ONR 5'!P8)</f>
        <v>0</v>
      </c>
      <c r="Q35" s="233" t="b">
        <f t="shared" ref="Q35:Q38" si="124">IF(ISBLANK('ONR 5'!Q8),"",'ONR 5'!Q8)</f>
        <v>0</v>
      </c>
      <c r="R35" s="233" t="b">
        <f t="shared" ref="R35:R38" si="125">IF(ISBLANK('ONR 5'!R8),"",'ONR 5'!R8)</f>
        <v>0</v>
      </c>
      <c r="S35" s="234" t="str">
        <f t="shared" si="106">IF(ISBLANK('ONR 5'!S8),"",'ONR 5'!S8)</f>
      </c>
      <c r="T38" s="232" t="str">
        <f t="shared" si="107"/>
      </c>
      <c r="U38" s="243" t="str">
        <f t="shared" si="108"/>
      </c>
      <c r="V38" s="235" t="str">
        <f t="shared" si="109"/>
      </c>
      <c r="W38" s="142" t="str">
        <f>'ONR 5'!V8</f>
      </c>
      <c r="W35" t="str" s="203">
        <f>IF(ISBLANK('ONR 5'!V8),"",'ONR 5'!V8)</f>
      </c>
      <c r="X35" s="204" t="str">
        <f>IF(ISBLANK('ONR 5'!W8),"",'ONR 5'!W8)</f>
      </c>
      <c r="Y35" s="258" t="str">
        <f t="shared" si="110">IF(ISBLANK('ONR 5'!I8),"",'ONR 5'!I8)</f>
      </c>
      <c r="Z38" s="256" t="str">
        <f t="shared" ref="Z38:Z38" si="126">D35</f>
      </c>
      <c r="Z35" t="str" s="256">
        <f>IF(ISBLANK('ONR 5'!D8),"",'ONR 5'!D8)</f>
      </c>
      <c r="AE35" s="206" t="n">
        <f t="shared" si="111">IF(ISNUMBER(T35),0,1)</f>
        <v>1</v>
      </c>
      <c r="AF35" s="206" t="n">
        <f t="shared" si="112">IF(L35=TRUE,1,0)</f>
        <v>0</v>
      </c>
      <c r="AG35" s="206" t="n">
        <f t="shared" si="113">IF(M35=TRUE,1,0)</f>
        <v>0</v>
      </c>
      <c r="AH35" s="206" t="n">
        <f t="shared" si="114">IF(N35=TRUE,1,0)</f>
        <v>0</v>
      </c>
      <c r="AI35" s="206" t="n">
        <f t="shared" si="115">IF(O35=TRUE,1,0)</f>
        <v>0</v>
      </c>
      <c r="AJ35" s="206" t="n">
        <f t="shared" si="116">IF(P35=TRUE,1,0)</f>
        <v>0</v>
      </c>
      <c r="AK35" s="206" t="n">
        <f t="shared" si="117">IF(Q35=TRUE,1,0)</f>
        <v>0</v>
      </c>
      <c r="AL35" s="206" t="n">
        <f t="shared" si="118">IF(R35=TRUE,1,0)</f>
        <v>0</v>
      </c>
      <c r="AM35" t="n">
        <f>IF(LEN(TRIM(W35))&gt;0,1,0)</f>
        <v>0</v>
      </c>
    </row>
    <row r="36" spans="1:38" s="205" customFormat="1" ht="38">
      <c r="A36" s="199"/>
      <c r="B36" s="219" t="str">
        <f>IF(ISBLANK('ONR 5'!B9),"",'ONR 5'!B9)</f>
        <v>5.3</v>
      </c>
      <c r="C36" s="218" t="str">
        <f>IF(ISBLANK('ONR 5'!C9),"",'ONR 5'!C9)</f>
        <v>Associer les étudiants, les personnels, les chercheurs et les partenaires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 t="shared" si="84">IF(ISBLANK('ONR 5'!J9),"",'ONR 5'!J9)</f>
      </c>
      <c r="K39" s="233" t="str">
        <f t="shared" si="105"/>
      </c>
      <c r="K36" t="str" s="233">
        <f>IF(ISBLANK('ONR 5'!K9),"",'ONR 5'!K9)</f>
      </c>
      <c r="L39" s="233" t="b">
        <f t="shared" si="119"/>
        <v>0</v>
      </c>
      <c r="L36" t="b" s="233">
        <f>IF(ISBLANK('ONR 5'!L9),"",'ONR 5'!L9)</f>
        <v>0</v>
      </c>
      <c r="M39" s="233" t="b">
        <f t="shared" si="120"/>
        <v>0</v>
      </c>
      <c r="M36" t="b" s="233">
        <f>IF(ISBLANK('ONR 5'!M9),"",'ONR 5'!M9)</f>
        <v>0</v>
      </c>
      <c r="N39" s="233" t="b">
        <f t="shared" si="121"/>
        <v>0</v>
      </c>
      <c r="N36" t="b" s="233">
        <f>IF(ISBLANK('ONR 5'!N9),"",'ONR 5'!N9)</f>
        <v>0</v>
      </c>
      <c r="O39" s="233" t="b">
        <f t="shared" si="122"/>
        <v>0</v>
      </c>
      <c r="O36" t="b" s="233">
        <f>IF(ISBLANK('ONR 5'!O9),"",'ONR 5'!O9)</f>
        <v>0</v>
      </c>
      <c r="P39" s="233" t="b">
        <f t="shared" si="123"/>
        <v>0</v>
      </c>
      <c r="P36" t="b" s="233">
        <f>IF(ISBLANK('ONR 5'!P9),"",'ONR 5'!P9)</f>
        <v>0</v>
      </c>
      <c r="Q39" s="233" t="b">
        <f t="shared" si="124"/>
        <v>0</v>
      </c>
      <c r="Q36" t="b" s="233">
        <f>IF(ISBLANK('ONR 5'!Q9),"",'ONR 5'!Q9)</f>
        <v>0</v>
      </c>
      <c r="R39" s="233" t="b">
        <f t="shared" si="125"/>
        <v>0</v>
      </c>
      <c r="R36" t="b" s="233">
        <f>IF(ISBLANK('ONR 5'!R9),"",'ONR 5'!R9)</f>
        <v>0</v>
      </c>
      <c r="S39" s="234" t="str">
        <f t="shared" si="106"/>
      </c>
      <c r="S36" t="str" s="234">
        <f>IF(ISBLANK('ONR 5'!S9),"",'ONR 5'!S9)</f>
      </c>
      <c r="T39" s="232" t="str">
        <f t="shared" si="107"/>
      </c>
      <c r="T36" t="str" s="232">
        <f>IF(ISBLANK('ONR 5'!T9),"",'ONR 5'!T9)</f>
      </c>
      <c r="U39" s="243" t="str">
        <f t="shared" si="108"/>
      </c>
      <c r="U36" t="str" s="243">
        <f>IF(ISBLANK('ONR 5'!U9),"",'ONR 5'!U9)</f>
      </c>
      <c r="V39" s="235" t="str">
        <f t="shared" si="109"/>
      </c>
      <c r="V36" t="str" s="235">
        <f>IF(ISBLANK('ONR 5'!G9),"",'ONR 5'!G9)</f>
      </c>
      <c r="W39" s="142" t="str">
        <f>'ONR 5'!V9</f>
      </c>
      <c r="W36" t="str" s="142">
        <f>IF(ISBLANK('ONR 5'!V9),"",'ONR 5'!V9)</f>
      </c>
      <c r="X36" s="204" t="str">
        <f>IF(ISBLANK('ONR 5'!W9),"",'ONR 5'!W9)</f>
      </c>
      <c r="Y36" s="258" t="str">
        <f t="shared" si="110">IF(ISBLANK('ONR 5'!I9),"",'ONR 5'!I9)</f>
      </c>
      <c r="Z36" s="256" t="str">
        <f t="shared" si="126">IF(ISBLANK('ONR 5'!D9),"",'ONR 5'!D9)</f>
      </c>
      <c r="AE36" s="206" t="n">
        <f t="shared" si="111">IF(ISNUMBER(T36),0,1)</f>
        <v>1</v>
      </c>
      <c r="AF36" s="206" t="n">
        <f t="shared" si="112">IF(L36=TRUE,1,0)</f>
        <v>0</v>
      </c>
      <c r="AG36" s="206" t="n">
        <f t="shared" si="113">IF(M36=TRUE,1,0)</f>
        <v>0</v>
      </c>
      <c r="AH36" s="206" t="n">
        <f t="shared" si="114">IF(N36=TRUE,1,0)</f>
        <v>0</v>
      </c>
      <c r="AI36" s="206" t="n">
        <f t="shared" si="115">IF(O36=TRUE,1,0)</f>
        <v>0</v>
      </c>
      <c r="AJ36" s="206" t="n">
        <f t="shared" si="116">IF(P36=TRUE,1,0)</f>
        <v>0</v>
      </c>
      <c r="AK36" s="206" t="n">
        <f t="shared" si="117">IF(Q36=TRUE,1,0)</f>
        <v>0</v>
      </c>
      <c r="AL36" s="206" t="n">
        <f t="shared" si="118">IF(R36=TRUE,1,0)</f>
        <v>0</v>
      </c>
      <c r="AM36" t="n">
        <f>IF(LEN(TRIM(W36))&gt;0,1,0)</f>
        <v>0</v>
      </c>
    </row>
    <row r="37" spans="1:38" s="205" customFormat="1" ht="57">
      <c r="A37" s="199"/>
      <c r="B37" s="219" t="str">
        <f>IF(ISBLANK('ONR 5'!B10),"",'ONR 5'!B10)</f>
        <v>5.4</v>
      </c>
      <c r="C37" s="218" t="str">
        <f>IF(ISBLANK('ONR 5'!C10),"",'ONR 5'!C10)</f>
        <v>Former des diplômés capables d'innover pour mieux vivre ensemble et préserver les écosystèmes, en intégrant le numérique responsable dans les formations.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 t="shared" si="84">IF(ISBLANK('ONR 5'!J10),"",'ONR 5'!J10)</f>
      </c>
      <c r="K37" s="233" t="str">
        <f t="shared" ref="K37:K38" si="105">IF(ISBLANK('ONR 5'!K10),"",'ONR 5'!K10)</f>
      </c>
      <c r="L37" s="233" t="b">
        <f t="shared" si="119">IF(ISBLANK('ONR 5'!L10),"",'ONR 5'!L10)</f>
        <v>0</v>
      </c>
      <c r="M37" s="233" t="b">
        <f t="shared" si="120">IF(ISBLANK('ONR 5'!M10),"",'ONR 5'!M10)</f>
        <v>0</v>
      </c>
      <c r="N37" s="233" t="b">
        <f t="shared" si="121">IF(ISBLANK('ONR 5'!N10),"",'ONR 5'!N10)</f>
        <v>0</v>
      </c>
      <c r="O37" s="233" t="b">
        <f t="shared" si="122">IF(ISBLANK('ONR 5'!O10),"",'ONR 5'!O10)</f>
        <v>0</v>
      </c>
      <c r="P37" s="233" t="b">
        <f t="shared" si="123">IF(ISBLANK('ONR 5'!P10),"",'ONR 5'!P10)</f>
        <v>0</v>
      </c>
      <c r="Q37" s="233" t="b">
        <f t="shared" si="124">IF(ISBLANK('ONR 5'!Q10),"",'ONR 5'!Q10)</f>
        <v>0</v>
      </c>
      <c r="R37" s="233" t="b">
        <f t="shared" si="125">IF(ISBLANK('ONR 5'!R10),"",'ONR 5'!R10)</f>
        <v>0</v>
      </c>
      <c r="S37" s="234" t="str">
        <f t="shared" si="106">IF(ISBLANK('ONR 5'!S10),"",'ONR 5'!S10)</f>
      </c>
      <c r="T37" s="232" t="str">
        <f t="shared" si="107">IF(ISBLANK('ONR 5'!T10),"",'ONR 5'!T10)</f>
      </c>
      <c r="U37" s="243" t="str">
        <f t="shared" si="108">IF(ISBLANK('ONR 5'!U10),"",'ONR 5'!U10)</f>
      </c>
      <c r="V37" s="235" t="str">
        <f t="shared" si="109">IF(ISBLANK('ONR 5'!G10),"",'ONR 5'!G10)</f>
      </c>
      <c r="W37" s="142" t="str">
        <f>IF(ISBLANK('ONR 5'!V10),"",'ONR 5'!V10)</f>
      </c>
      <c r="X37" s="204" t="str">
        <f>IF(ISBLANK('ONR 5'!W10),"",'ONR 5'!W10)</f>
      </c>
      <c r="Y37" s="258" t="str">
        <f t="shared" si="110">IF(ISBLANK('ONR 5'!I10),"",'ONR 5'!I10)</f>
      </c>
      <c r="Z37" s="256" t="str">
        <f t="shared" si="126">IF(ISBLANK('ONR 5'!D10),"",'ONR 5'!D10)</f>
      </c>
      <c r="AE37" s="206" t="n">
        <f t="shared" si="111">IF(ISNUMBER(T37),0,1)</f>
        <v>1</v>
      </c>
      <c r="AF37" s="206" t="n">
        <f t="shared" si="112">IF(L37=TRUE,1,0)</f>
        <v>0</v>
      </c>
      <c r="AG37" s="206" t="n">
        <f t="shared" si="113">IF(M37=TRUE,1,0)</f>
        <v>0</v>
      </c>
      <c r="AH37" s="206" t="n">
        <f t="shared" si="114">IF(N37=TRUE,1,0)</f>
        <v>0</v>
      </c>
      <c r="AI37" s="206" t="n">
        <f t="shared" si="115">IF(O37=TRUE,1,0)</f>
        <v>0</v>
      </c>
      <c r="AJ37" s="206" t="n">
        <f t="shared" si="116">IF(P37=TRUE,1,0)</f>
        <v>0</v>
      </c>
      <c r="AK37" s="206" t="n">
        <f t="shared" si="117">IF(Q37=TRUE,1,0)</f>
        <v>0</v>
      </c>
      <c r="AL37" s="206" t="n">
        <f t="shared" si="118">IF(R37=TRUE,1,0)</f>
        <v>0</v>
      </c>
      <c r="AM37" t="n">
        <f>IF(LEN(TRIM(W37))&gt;0,1,0)</f>
        <v>0</v>
      </c>
    </row>
    <row r="38" spans="1:38" s="205" customFormat="1" ht="19">
      <c r="A38" s="199"/>
      <c r="B38" s="219" t="str">
        <f>IF(ISBLANK('ONR 5'!B11),"",'ONR 5'!B11)</f>
        <v>5.5</v>
      </c>
      <c r="C38" s="218" t="str">
        <f>IF(ISBLANK('ONR 5'!C11),"",'ONR 5'!C11)</f>
        <v>Suivre les résultats de la démarche avec quelques indicateurs, communs avec le plan de transition et le label DD&amp;RS.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 t="shared" si="84">IF(ISBLANK('ONR 5'!J11),"",'ONR 5'!J11)</f>
      </c>
      <c r="K38" s="233" t="str">
        <f t="shared" si="105">IF(ISBLANK('ONR 5'!K11),"",'ONR 5'!K11)</f>
      </c>
      <c r="L38" s="233" t="b">
        <f t="shared" ref="L37:L38" si="119">IF(ISBLANK('ONR 5'!L11),"",'ONR 5'!L11)</f>
        <v>0</v>
      </c>
      <c r="M38" s="233" t="b">
        <f t="shared" si="120">IF(ISBLANK('ONR 5'!M11),"",'ONR 5'!M11)</f>
        <v>0</v>
      </c>
      <c r="N38" s="233" t="b">
        <f t="shared" si="121">IF(ISBLANK('ONR 5'!N11),"",'ONR 5'!N11)</f>
        <v>0</v>
      </c>
      <c r="O38" s="233" t="b">
        <f t="shared" si="122">IF(ISBLANK('ONR 5'!O11),"",'ONR 5'!O11)</f>
        <v>0</v>
      </c>
      <c r="P38" s="233" t="b">
        <f t="shared" si="123">IF(ISBLANK('ONR 5'!P11),"",'ONR 5'!P11)</f>
        <v>0</v>
      </c>
      <c r="Q38" s="233" t="b">
        <f t="shared" si="124">IF(ISBLANK('ONR 5'!Q11),"",'ONR 5'!Q11)</f>
        <v>0</v>
      </c>
      <c r="R38" s="233" t="b">
        <f t="shared" si="125">IF(ISBLANK('ONR 5'!R11),"",'ONR 5'!R11)</f>
        <v>0</v>
      </c>
      <c r="S38" s="234" t="str">
        <f t="shared" si="106">IF(ISBLANK('ONR 5'!S11),"",'ONR 5'!S11)</f>
      </c>
      <c r="T38" s="232" t="str">
        <f t="shared" si="107">IF(ISBLANK('ONR 5'!T11),"",'ONR 5'!T11)</f>
      </c>
      <c r="U38" s="243" t="str">
        <f t="shared" si="108">IF(ISBLANK('ONR 5'!U11),"",'ONR 5'!U11)</f>
      </c>
      <c r="V38" s="235" t="str">
        <f t="shared" si="109">IF(ISBLANK('ONR 5'!G11),"",'ONR 5'!G11)</f>
      </c>
      <c r="W38" s="142" t="str">
        <f>IF(ISBLANK('ONR 5'!V11),"",'ONR 5'!V11)</f>
      </c>
      <c r="X38" s="204" t="str">
        <f>IF(ISBLANK('ONR 5'!W11),"",'ONR 5'!W11)</f>
      </c>
      <c r="Y38" s="258" t="str">
        <f t="shared" si="110">IF(ISBLANK('ONR 5'!I11),"",'ONR 5'!I11)</f>
      </c>
      <c r="Z38" s="236" t="str">
        <f t="shared" ref="Z36:Z38" si="126">IF(ISBLANK('ONR 5'!D11),"",'ONR 5'!D11)</f>
      </c>
      <c r="AE38" s="206" t="n">
        <f t="shared" si="111">IF(ISNUMBER(T38),0,1)</f>
        <v>1</v>
      </c>
      <c r="AF38" s="206" t="n">
        <f t="shared" si="112">IF(L38=TRUE,1,0)</f>
        <v>0</v>
      </c>
      <c r="AG38" s="206" t="n">
        <f t="shared" si="113">IF(M38=TRUE,1,0)</f>
        <v>0</v>
      </c>
      <c r="AH38" s="206" t="n">
        <f t="shared" si="114">IF(N38=TRUE,1,0)</f>
        <v>0</v>
      </c>
      <c r="AI38" s="206" t="n">
        <f t="shared" si="115">IF(O38=TRUE,1,0)</f>
        <v>0</v>
      </c>
      <c r="AJ38" s="206" t="n">
        <f t="shared" si="116">IF(P38=TRUE,1,0)</f>
        <v>0</v>
      </c>
      <c r="AK38" s="206" t="n">
        <f t="shared" si="117">IF(Q38=TRUE,1,0)</f>
        <v>0</v>
      </c>
      <c r="AL38" s="206" t="n">
        <f t="shared" si="118">IF(R38=TRUE,1,0)</f>
        <v>0</v>
      </c>
      <c r="AM38" t="n">
        <f>IF(LEN(TRIM(W38))&gt;0,1,0)</f>
        <v>0</v>
      </c>
    </row>
    <row r="39" spans="1:38" ht="38">
      <c r="B39" s="219" t="str">
        <f>IF(ISBLANK('ONR 5'!B12),"",'ONR 5'!B12)</f>
        <v>5.6</v>
      </c>
      <c r="C39" s="218" t="str">
        <f>IF(ISBLANK('ONR 5'!C12),"",'ONR 5'!C12)</f>
        <v>Proposer des améliorations pour un numérique responsable, y compris des solutions sans outil numérique, comme des cours ou des examens sans écran.</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 t="shared" ref="J39" si="127">IF(ISBLANK('ONR 5'!J12),"",'ONR 5'!J12)</f>
      </c>
      <c r="K39" s="233" t="str">
        <f t="shared" ref="K39" si="128">IF(ISBLANK('ONR 5'!K12),"",'ONR 5'!K12)</f>
      </c>
      <c r="L39" s="233" t="b">
        <f t="shared" ref="L39" si="129">IF(ISBLANK('ONR 5'!L12),"",'ONR 5'!L12)</f>
        <v>0</v>
      </c>
      <c r="M39" s="233" t="b">
        <f t="shared" ref="M39" si="130">IF(ISBLANK('ONR 5'!M12),"",'ONR 5'!M12)</f>
        <v>0</v>
      </c>
      <c r="N39" s="233" t="b">
        <f t="shared" ref="N39" si="131">IF(ISBLANK('ONR 5'!N12),"",'ONR 5'!N12)</f>
        <v>0</v>
      </c>
      <c r="O39" s="233" t="b">
        <f t="shared" ref="O39" si="132">IF(ISBLANK('ONR 5'!O12),"",'ONR 5'!O12)</f>
        <v>0</v>
      </c>
      <c r="P39" s="233" t="b">
        <f t="shared" ref="P39" si="133">IF(ISBLANK('ONR 5'!P12),"",'ONR 5'!P12)</f>
        <v>0</v>
      </c>
      <c r="Q39" s="233" t="b">
        <f t="shared" ref="Q39" si="134">IF(ISBLANK('ONR 5'!Q12),"",'ONR 5'!Q12)</f>
        <v>0</v>
      </c>
      <c r="R39" s="233" t="b">
        <f t="shared" ref="R39" si="135">IF(ISBLANK('ONR 5'!R12),"",'ONR 5'!R12)</f>
        <v>0</v>
      </c>
      <c r="S39" s="234" t="str">
        <f t="shared" ref="S39" si="136">IF(ISBLANK('ONR 5'!S12),"",'ONR 5'!S12)</f>
      </c>
      <c r="T39" s="232" t="str">
        <f t="shared" ref="T39" si="137">IF(ISBLANK('ONR 5'!T12),"",'ONR 5'!T12)</f>
      </c>
      <c r="U39" s="243" t="str">
        <f t="shared" ref="U39" si="138">IF(ISBLANK('ONR 5'!U12),"",'ONR 5'!U12)</f>
      </c>
      <c r="V39" s="235" t="str">
        <f t="shared" ref="V39" si="139">IF(ISBLANK('ONR 5'!G12),"",'ONR 5'!G12)</f>
      </c>
      <c r="W39" s="142" t="str">
        <f>IF(ISBLANK('ONR 5'!V12),"",'ONR 5'!V12)</f>
      </c>
      <c r="X39" s="204" t="str">
        <f>IF(ISBLANK('ONR 5'!W12),"",'ONR 5'!W12)</f>
      </c>
      <c r="Y39" s="258" t="str">
        <f t="shared" ref="Y39" si="140">IF(ISBLANK('ONR 5'!I12),"",'ONR 5'!I12)</f>
      </c>
      <c r="Z39" s="236" t="str">
        <f t="shared" ref="Z39" si="141">IF(ISBLANK('ONR 5'!D12),"",'ONR 5'!D12)</f>
      </c>
      <c r="AE39" s="206" t="n">
        <f t="shared" ref="AE39" si="142">IF(ISNUMBER(T39),0,1)</f>
        <v>1</v>
      </c>
      <c r="AF39" s="206" t="n">
        <f t="shared" ref="AF39" si="143">IF(L39=TRUE,1,0)</f>
        <v>0</v>
      </c>
      <c r="AG39" s="206" t="n">
        <f t="shared" ref="AG39" si="144">IF(M39=TRUE,1,0)</f>
        <v>0</v>
      </c>
      <c r="AH39" s="206" t="n">
        <f t="shared" ref="AH39" si="145">IF(N39=TRUE,1,0)</f>
        <v>0</v>
      </c>
      <c r="AI39" s="206" t="n">
        <f t="shared" ref="AI39" si="146">IF(O39=TRUE,1,0)</f>
        <v>0</v>
      </c>
      <c r="AJ39" s="206" t="n">
        <f t="shared" ref="AJ39" si="147">IF(P39=TRUE,1,0)</f>
        <v>0</v>
      </c>
      <c r="AK39" s="206" t="n">
        <f t="shared" ref="AK39" si="148">IF(Q39=TRUE,1,0)</f>
        <v>0</v>
      </c>
      <c r="AL39" s="206" t="n">
        <f t="shared" ref="AL39" si="149">IF(R39=TRUE,1,0)</f>
        <v>0</v>
      </c>
      <c r="AM39" t="n">
        <f>IF(LEN(TRIM(W39))&gt;0,1,0)</f>
        <v>0</v>
      </c>
    </row>
    <row r="40" spans="1:38" ht="38">
      <c r="B40" s="219" t="str">
        <f>IF(ISBLANK('ONR 5'!B13),"",'ONR 5'!B13)</f>
        <v>5.7</v>
      </c>
      <c r="C40" s="218" t="str">
        <f>IF(ISBLANK('ONR 5'!C13),"",'ONR 5'!C13)</f>
        <v>Décider avec les enseignants, les chercheurs, les personnels et les étudiants comment utiliser l'intelligence artificielle. Les former à ses limites et préserver le sens de l'apprentissage et de la recherche.</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l'établissement, de l'achat à la fin de vie : postes, salles informatiques, équipements de laboratoire et de calcul.</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personnels, des salles et des laboratoires, même après leur amortissement, en organisant leur réparation et leur réaffectation.</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cours, les examens, l'administration et les laboratoires, des pratiques qui consomment moins de matériel, d'énergie, de papier et de stockage.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filières de réemploi et de l'économie sociale et solidaire, par exemple pour équiper des étudiants.</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campus, les centres de données et les moyens de calcul avec des énergies renouvelables, et valoriser leur chaleur fatale.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de formation, de recherche et de gestion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dans l'établissement, notamment l'entraînement de modèles par les équipes de recherche.</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achats numériques de l'établissement, y compris ceux des laboratoires, des clauses sociales et environnementales et des critères de durabilité.</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l'ENT, le LMS et les ressources pédagogiques : vidéos de cours sous-titrées, documents et supports accessibles. Mesurer leur conformité au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aux étudiants et aux personnels des outils utiles, faciles à utiliser et réellement utilisés, plutôt qu'une multitude de plateformes : un ENT, un LMS, une messagerie, une visioconférence, un outil d'emploi du temps.</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étudiants, les enseignants, les chercheurs et les personnels,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pour orienter, évaluer ou accompagner les étudiants ne discrimine personne : aide à l'orientation, détection de plagiat, correction automatique, agents conversationnels.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avec mesure les données des étudiants, des personnels et de la recherche, y compris les traces d'apprentissage collectées par le LMS,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services numériques de l'établissement les interfaces qui trompent ou poussent les utilisateurs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dans les applications de scolarité, le LMS et les projets de recherche,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profils dans les formations et les métiers du numérique de l'établissement, en particulier la place des femmes.</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personnels du numérique, des doctorants et des contractuels, et les exiger des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et l'intelligence artificielle, en formation comme en recherche, avec le comité d'éthique de l'établissement.</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à la démarche de développement durable et de responsabilité sociétale (DD&amp;RS) de l'établissement, et la faire connaître.</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ou participe à une évaluation, expliquer comment elle décide, et garder une décision humaine pour les sujets sensibles : notes, admission, orientation, suspicion de plagiat.</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l'établissement et des projets de recherche avec des méthodes communes, pour se comparer.</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étudiants et les personnels,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pour la pédagogie et la recherche. Évaluer leurs effets et expliquer les résultats à celles et ceux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de recherche et de formation, des outils et des choix techniques : logiciels libres (Moodle, BigBlueButton, Nextcloud), hébergement de confiance, infrastructures mutualisées de l'enseignement supérieur et de la recherche (RENATER, mésocentres).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en réponse aux besoins sociaux des étudiants et des personnels : précarité, éloignement, handicap.</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personnels et des étudiants qui encouragent la coopération entre services et le bien-être au travail et aux études.</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étudiants, les personnels, les chercheurs et les partenaires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Former des diplômés capables d'innover pour mieux vivre ensemble et préserver les écosystèmes, en intégrant le numérique responsable dans les formations.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de la démarche avec quelques indicateurs, communs avec le plan de transition et le label DD&amp;RS.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des cours ou des examens sans écran.</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enseignants, les chercheurs, les personnels et les étudiants comment utiliser l'intelligence artificielle. Les former à ses limites et préserver le sens de l'apprentissage et de la recherche.</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l'établissement, de l'achat à la fin de vie : postes, salles informatiques, équipements de laboratoire et de calcul.</t>
        </is>
      </c>
    </row>
    <row r="2" spans="1:2">
      <c r="A2" t="inlineStr">
        <is>
          <t>1.2</t>
        </is>
      </c>
      <c r="B2" t="inlineStr">
        <is>
          <t>Utiliser plus longtemps les équipements des personnels, des salles et des laboratoires, même après leur amortissement, en organisant leur réparation et leur réaffectation.</t>
        </is>
      </c>
    </row>
    <row r="3" spans="1:2">
      <c r="A3" t="inlineStr">
        <is>
          <t>1.3</t>
        </is>
      </c>
      <c r="B3" t="inlineStr">
        <is>
          <t>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t>
        </is>
      </c>
    </row>
    <row r="4" spans="1:2">
      <c r="A4" t="inlineStr">
        <is>
          <t>1.4</t>
        </is>
      </c>
      <c r="B4" t="inlineStr">
        <is>
          <t>Adopter, dans les cours, les examens, l'administration et les laboratoires, des pratiques qui consomment moins de matériel, d'énergie, de papier et de stockage.</t>
        </is>
      </c>
    </row>
    <row r="5" spans="1:2">
      <c r="A5" t="inlineStr">
        <is>
          <t>1.5</t>
        </is>
      </c>
      <c r="B5" t="inlineStr">
        <is>
          <t>Confier les équipements en fin d'usage à des filières de réemploi et de l'économie sociale et solidaire, par exemple pour équiper des étudiants.</t>
        </is>
      </c>
    </row>
    <row r="6" spans="1:2">
      <c r="A6" t="inlineStr">
        <is>
          <t>1.6</t>
        </is>
      </c>
      <c r="B6" t="inlineStr">
        <is>
          <t>Alimenter les campus, les centres de données et les moyens de calcul avec des énergies renouvelables, et valoriser leur chaleur fatale.</t>
        </is>
      </c>
    </row>
    <row r="7" spans="1:2">
      <c r="A7" t="inlineStr">
        <is>
          <t>1.7</t>
        </is>
      </c>
      <c r="B7" t="inlineStr">
        <is>
          <t>Réserver l'intelligence artificielle aux besoins de formation, de recherche et de gestion qui la justifient, et choisir des solutions sobres.</t>
        </is>
      </c>
    </row>
    <row r="8" spans="1:2">
      <c r="A8" t="inlineStr">
        <is>
          <t>1.8</t>
        </is>
      </c>
      <c r="B8" t="inlineStr">
        <is>
          <t>Mesurer et réduire ce que consomme l'intelligence artificielle dans l'établissement, notamment l'entraînement de modèles par les équipes de recherche.</t>
        </is>
      </c>
    </row>
    <row r="9" spans="1:2">
      <c r="A9" t="inlineStr">
        <is>
          <t>2.1</t>
        </is>
      </c>
      <c r="B9" t="inlineStr">
        <is>
          <t>Intégrer dans les achats numériques de l'établissement, y compris ceux des laboratoires, des clauses sociales et environnementales et des critères de durabilité.</t>
        </is>
      </c>
    </row>
    <row r="10" spans="1:2">
      <c r="A10" t="inlineStr">
        <is>
          <t>2.2</t>
        </is>
      </c>
      <c r="B10" t="inlineStr">
        <is>
          <t>Rendre accessibles à toutes et tous les sites, l'ENT, le LMS et les ressources pédagogiques : vidéos de cours sous-titrées, documents et supports accessibles. Mesurer leur conformité au RGAA.</t>
        </is>
      </c>
    </row>
    <row r="11" spans="1:2">
      <c r="A11" t="inlineStr">
        <is>
          <t>2.3</t>
        </is>
      </c>
      <c r="B11" t="inlineStr">
        <is>
          <t>Proposer aux étudiants et aux personnels des outils utiles, faciles à utiliser et réellement utilisés, plutôt qu'une multitude de plateformes : un ENT, un LMS, une messagerie, une visioconférence, un outil d'emploi du temps.</t>
        </is>
      </c>
    </row>
    <row r="12" spans="1:2">
      <c r="A12" t="inlineStr">
        <is>
          <t>2.4</t>
        </is>
      </c>
      <c r="B12" t="inlineStr">
        <is>
          <t>Concevoir les services numériques avec les étudiants, les enseignants, les chercheurs et les personnels, en partant de leurs besoins réels.</t>
        </is>
      </c>
    </row>
    <row r="13" spans="1:2">
      <c r="A13" t="inlineStr">
        <is>
          <t>2.5</t>
        </is>
      </c>
      <c r="B13" t="inlineStr">
        <is>
          <t>Vérifier que l'intelligence artificielle utilisée pour orienter, évaluer ou accompagner les étudiants ne discrimine personne : aide à l'orientation, détection de plagiat, correction automatique, agents conversationnels.</t>
        </is>
      </c>
    </row>
    <row r="14" spans="1:2">
      <c r="A14" t="inlineStr">
        <is>
          <t>3.1</t>
        </is>
      </c>
      <c r="B14" t="inlineStr">
        <is>
          <t>Utiliser avec mesure les données des étudiants, des personnels et de la recherche, y compris les traces d'apprentissage collectées par le LMS, en respectant les personnes et l'environnement.</t>
        </is>
      </c>
    </row>
    <row r="15" spans="1:2">
      <c r="A15" t="inlineStr">
        <is>
          <t>3.2</t>
        </is>
      </c>
      <c r="B15" t="inlineStr">
        <is>
          <t>Supprimer des services numériques de l'établissement les interfaces qui trompent ou poussent les utilisateurs (« dark patterns »), et respecter la réglementation.</t>
        </is>
      </c>
    </row>
    <row r="16" spans="1:2">
      <c r="A16" t="inlineStr">
        <is>
          <t>3.3</t>
        </is>
      </c>
      <c r="B16" t="inlineStr">
        <is>
          <t>Collecter seulement les données nécessaires dans les applications de scolarité, le LMS et les projets de recherche, et respecter le RGPD avec l'appui du délégué à la protection des données.</t>
        </is>
      </c>
    </row>
    <row r="17" spans="1:2">
      <c r="A17" t="inlineStr">
        <is>
          <t>3.4</t>
        </is>
      </c>
      <c r="B17" t="inlineStr">
        <is>
          <t>Diversifier les profils dans les formations et les métiers du numérique de l'établissement, en particulier la place des femmes.</t>
        </is>
      </c>
    </row>
    <row r="18" spans="1:2">
      <c r="A18" t="inlineStr">
        <is>
          <t>3.5</t>
        </is>
      </c>
      <c r="B18" t="inlineStr">
        <is>
          <t>Améliorer les conditions de travail des personnels du numérique, des doctorants et des contractuels, et les exiger des prestataires.</t>
        </is>
      </c>
    </row>
    <row r="19" spans="1:2">
      <c r="A19" t="inlineStr">
        <is>
          <t>3.6</t>
        </is>
      </c>
      <c r="B19" t="inlineStr">
        <is>
          <t>Fixer des règles éthiques pour les algorithmes et l'intelligence artificielle, en formation comme en recherche, avec le comité d'éthique de l'établissement.</t>
        </is>
      </c>
    </row>
    <row r="20" spans="1:2">
      <c r="A20" t="inlineStr">
        <is>
          <t>3.7</t>
        </is>
      </c>
      <c r="B20" t="inlineStr">
        <is>
          <t>Intégrer le numérique responsable à la démarche de développement durable et de responsabilité sociétale (DD&amp;RS) de l'établissement, et la faire connaître.</t>
        </is>
      </c>
    </row>
    <row r="21" spans="1:2">
      <c r="A21" t="inlineStr">
        <is>
          <t>3.8</t>
        </is>
      </c>
      <c r="B21" t="inlineStr">
        <is>
          <t>Indiquer quand une intelligence artificielle répond ou participe à une évaluation, expliquer comment elle décide, et garder une décision humaine pour les sujets sensibles : notes, admission, orientation, suspicion de plagiat.</t>
        </is>
      </c>
    </row>
    <row r="22" spans="1:2">
      <c r="A22" t="inlineStr">
        <is>
          <t>4.1</t>
        </is>
      </c>
      <c r="B22" t="inlineStr">
        <is>
          <t>Mesurer l'empreinte environnementale du numérique de l'établissement et des projets de recherche avec des méthodes communes, pour se comparer.</t>
        </is>
      </c>
    </row>
    <row r="23" spans="1:2">
      <c r="A23" t="inlineStr">
        <is>
          <t>4.2</t>
        </is>
      </c>
      <c r="B23" t="inlineStr">
        <is>
          <t>Évaluer les services numériques au fil du temps, avec les étudiants et les personnels, et partager les résultats.</t>
        </is>
      </c>
    </row>
    <row r="24" spans="1:2">
      <c r="A24" t="inlineStr">
        <is>
          <t>4.3</t>
        </is>
      </c>
      <c r="B24" t="inlineStr">
        <is>
          <t>Expérimenter de nouveaux outils pour la pédagogie et la recherche. Évaluer leurs effets et expliquer les résultats à celles et ceux qui les utilisent.</t>
        </is>
      </c>
    </row>
    <row r="25" spans="1:2">
      <c r="A25" t="inlineStr">
        <is>
          <t>4.4</t>
        </is>
      </c>
      <c r="B25" t="inlineStr">
        <is>
          <t>Garder la maîtrise des données de recherche et de formation, des outils et des choix techniques : logiciels libres (Moodle, BigBlueButton, Nextcloud), hébergement de confiance, infrastructures mutualisées de l'enseignement supérieur et de la recherche (RENATER, mésocentres).</t>
        </is>
      </c>
    </row>
    <row r="26" spans="1:2">
      <c r="A26" t="inlineStr">
        <is>
          <t>5.1</t>
        </is>
      </c>
      <c r="B26" t="inlineStr">
        <is>
          <t>Concevoir les services numériques en réponse aux besoins sociaux des étudiants et des personnels : précarité, éloignement, handicap.</t>
        </is>
      </c>
    </row>
    <row r="27" spans="1:2">
      <c r="A27" t="inlineStr">
        <is>
          <t>5.2</t>
        </is>
      </c>
      <c r="B27" t="inlineStr">
        <is>
          <t>Faire connaître et soutenir les initiatives des personnels et des étudiants qui encouragent la coopération entre services et le bien-être au travail et aux études.</t>
        </is>
      </c>
    </row>
    <row r="28" spans="1:2">
      <c r="A28" t="inlineStr">
        <is>
          <t>5.3</t>
        </is>
      </c>
      <c r="B28" t="inlineStr">
        <is>
          <t>Associer les étudiants, les personnels, les chercheurs et les partenaires du territoire aux choix numériques, en s'appuyant sur leur expertise.</t>
        </is>
      </c>
    </row>
    <row r="29" spans="1:2">
      <c r="A29" t="inlineStr">
        <is>
          <t>5.4</t>
        </is>
      </c>
      <c r="B29" t="inlineStr">
        <is>
          <t>Former des diplômés capables d'innover pour mieux vivre ensemble et préserver les écosystèmes, en intégrant le numérique responsable dans les formations.</t>
        </is>
      </c>
    </row>
    <row r="30" spans="1:2">
      <c r="A30" t="inlineStr">
        <is>
          <t>5.5</t>
        </is>
      </c>
      <c r="B30" t="inlineStr">
        <is>
          <t>Suivre les résultats de la démarche avec quelques indicateurs, communs avec le plan de transition et le label DD&amp;RS.</t>
        </is>
      </c>
    </row>
    <row r="31" spans="1:2">
      <c r="A31" t="inlineStr">
        <is>
          <t>5.6</t>
        </is>
      </c>
      <c r="B31" t="inlineStr">
        <is>
          <t>Proposer des améliorations pour un numérique responsable, y compris des solutions sans outil numérique, comme des cours ou des examens sans écran.</t>
        </is>
      </c>
    </row>
    <row r="32" spans="1:2">
      <c r="A32" t="inlineStr">
        <is>
          <t>5.7</t>
        </is>
      </c>
      <c r="B32" t="inlineStr">
        <is>
          <t>Décider avec les enseignants, les chercheurs, les personnels et les étudiants comment utiliser l'intelligence artificielle. Les former à ses limites et préserver le sens de l'apprentissage et de la recherche.</t>
        </is>
      </c>
    </row>
  </sheetData>
  <pageMargins left="0.7" right="0.7" top="0.75" bottom="0.75" header="0.3" footer="0.3"/>
  <drawing r:id="logoINR20261007"/>
</worksheet>
</file>

<file path=xl/worksheets/sheet13.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Enseignement supérieur et recherche</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7" customHeight="1">
      <x:c r="A7" s="951"/>
      <x:c r="B7" s="1804" t="inlineStr">
        <x:is>
          <x:t xml:space="preserve">E.1</x:t>
        </x:is>
      </x:c>
      <x:c r="C7" s="1796" t="inlineStr">
        <x:is>
          <x:t xml:space="preserve">Rendre sobres le calcul et le stockage de la recherche : utiliser les mésocentres et les centres nationaux plutôt que des serveurs par équipe, mesurer l'empreinte des projets, et ne conserver que les données utiles.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E.2</x:t>
        </x:is>
      </x:c>
      <x:c r="C8" s="1796" t="inlineStr">
        <x:is>
          <x:t xml:space="preserve">Garantir à chaque étudiant un accès égal aux outils et aux enseignements numériques : équipement, connexion, accessibilité des contenus et accompagnement.</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E.3</x:t>
        </x:is>
      </x:c>
      <x:c r="C9" s="1796" t="inlineStr">
        <x:is>
          <x:t xml:space="preserve">Ouvrir les publications, les données et les logiciels de recherche, selon le plan national pour la science ouverte (HAL, Recherche Data Gouv, Software Heritage), dans le respect de la vie privée.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E.4</x:t>
        </x:is>
      </x:c>
      <x:c r="C10" s="1796" t="inlineStr">
        <x:is>
          <x:t xml:space="preserve">Intégrer le numérique responsable au plan de transition, au schéma directeur du numérique et au label DD&amp;RS de l'établissement.</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E.5</x:t>
        </x:is>
      </x:c>
      <x:c r="C11" s="1796" t="inlineStr">
        <x:is>
          <x:t xml:space="preserve">Former tous les étudiants et les personnels au numérique responsable, dans le cadre de la formation à la transition écologique.</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enseignement supérieur et recherche</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